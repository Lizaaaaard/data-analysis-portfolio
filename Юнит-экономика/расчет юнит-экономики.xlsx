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OneDrive\Desktop\Новая папка\"/>
    </mc:Choice>
  </mc:AlternateContent>
  <xr:revisionPtr revIDLastSave="0" documentId="8_{9244DD13-EB59-40FA-90F5-30178BDD8655}" xr6:coauthVersionLast="47" xr6:coauthVersionMax="47" xr10:uidLastSave="{00000000-0000-0000-0000-000000000000}"/>
  <bookViews>
    <workbookView xWindow="-108" yWindow="-108" windowWidth="23256" windowHeight="12576" xr2:uid="{F4EBBE10-14F0-4260-9EF8-9699B046F6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" i="1" l="1"/>
  <c r="A22" i="1"/>
  <c r="C22" i="1"/>
  <c r="F22" i="1"/>
  <c r="E22" i="1"/>
  <c r="B22" i="1"/>
  <c r="B18" i="1"/>
  <c r="C18" i="1"/>
  <c r="A18" i="1"/>
  <c r="J18" i="1"/>
  <c r="E18" i="1"/>
  <c r="F18" i="1"/>
  <c r="G18" i="1"/>
  <c r="I18" i="1"/>
  <c r="H18" i="1"/>
  <c r="E8" i="1"/>
  <c r="C8" i="1"/>
  <c r="A14" i="1"/>
  <c r="C11" i="1"/>
  <c r="B11" i="1"/>
  <c r="A11" i="1"/>
  <c r="A8" i="1"/>
  <c r="N4" i="1"/>
  <c r="O4" i="1" s="1"/>
  <c r="K4" i="1"/>
  <c r="H4" i="1"/>
  <c r="J4" i="1" s="1"/>
  <c r="D4" i="1"/>
  <c r="F4" i="1" s="1"/>
  <c r="G4" i="1" s="1"/>
  <c r="C4" i="1"/>
  <c r="P4" i="1" s="1"/>
  <c r="Q4" i="1" l="1"/>
  <c r="R4" i="1" s="1"/>
  <c r="L4" i="1"/>
  <c r="E4" i="1"/>
</calcChain>
</file>

<file path=xl/sharedStrings.xml><?xml version="1.0" encoding="utf-8"?>
<sst xmlns="http://schemas.openxmlformats.org/spreadsheetml/2006/main" count="42" uniqueCount="37">
  <si>
    <t>Spent, руб</t>
  </si>
  <si>
    <t>Leads</t>
  </si>
  <si>
    <t>CR1</t>
  </si>
  <si>
    <t>CPL</t>
  </si>
  <si>
    <t>vLeads</t>
  </si>
  <si>
    <t>vCPL</t>
  </si>
  <si>
    <t>Purchases</t>
  </si>
  <si>
    <t>CAC</t>
  </si>
  <si>
    <t>targetLeads</t>
  </si>
  <si>
    <t>Clicks</t>
  </si>
  <si>
    <t>targetClicks</t>
  </si>
  <si>
    <t>diffCAC</t>
  </si>
  <si>
    <t>n-month Purchases</t>
  </si>
  <si>
    <t>n-monthCAC</t>
  </si>
  <si>
    <t>n-monthVLeads</t>
  </si>
  <si>
    <t>n-monthLeds</t>
  </si>
  <si>
    <t>n-monthCPL</t>
  </si>
  <si>
    <t>n-monthSpent</t>
  </si>
  <si>
    <t>n-monthVCPL</t>
  </si>
  <si>
    <t>AOV</t>
  </si>
  <si>
    <t>BaseCount</t>
  </si>
  <si>
    <t>ProCOunt</t>
  </si>
  <si>
    <t>VIPCount</t>
  </si>
  <si>
    <t>TotalSum</t>
  </si>
  <si>
    <t>MonthCountOfSale</t>
  </si>
  <si>
    <t>Marg</t>
  </si>
  <si>
    <t>Revenue</t>
  </si>
  <si>
    <t>MarketingCOGS</t>
  </si>
  <si>
    <t>1stSaleCOGS</t>
  </si>
  <si>
    <t>1stMonthCOGS</t>
  </si>
  <si>
    <t>LTV</t>
  </si>
  <si>
    <t>LT</t>
  </si>
  <si>
    <t>ARPPU</t>
  </si>
  <si>
    <t>LTV/CAC</t>
  </si>
  <si>
    <t>MargTotal</t>
  </si>
  <si>
    <t>Cost</t>
  </si>
  <si>
    <t>С одного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</si>
</sst>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C7BB-1FB1-41A6-B733-00A21092F4A4}">
  <dimension ref="A3:R26"/>
  <sheetViews>
    <sheetView tabSelected="1" workbookViewId="0">
      <selection activeCell="A27" sqref="A27"/>
    </sheetView>
  </sheetViews>
  <sheetFormatPr defaultRowHeight="14.4" x14ac:dyDescent="0.3"/>
  <cols>
    <col min="1" max="1" width="11.21875" customWidth="1"/>
    <col min="3" max="3" width="11.88671875" bestFit="1" customWidth="1"/>
    <col min="4" max="4" width="14.33203125" customWidth="1"/>
    <col min="5" max="5" width="11.6640625" customWidth="1"/>
    <col min="6" max="6" width="13.109375" customWidth="1"/>
    <col min="8" max="8" width="10.77734375" customWidth="1"/>
    <col min="10" max="10" width="10.6640625" customWidth="1"/>
    <col min="12" max="12" width="9.109375" bestFit="1" customWidth="1"/>
    <col min="13" max="13" width="16.6640625" customWidth="1"/>
    <col min="14" max="14" width="14.21875" customWidth="1"/>
    <col min="15" max="15" width="11.88671875" customWidth="1"/>
    <col min="16" max="16" width="11.44140625" customWidth="1"/>
    <col min="17" max="17" width="12.33203125" customWidth="1"/>
    <col min="18" max="18" width="10.88671875" customWidth="1"/>
  </cols>
  <sheetData>
    <row r="3" spans="1:18" x14ac:dyDescent="0.3">
      <c r="A3" t="s">
        <v>0</v>
      </c>
      <c r="B3" t="s">
        <v>1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2</v>
      </c>
      <c r="J3" t="s">
        <v>10</v>
      </c>
      <c r="K3" t="s">
        <v>9</v>
      </c>
      <c r="L3" t="s">
        <v>11</v>
      </c>
      <c r="M3" t="s">
        <v>12</v>
      </c>
      <c r="N3" t="s">
        <v>14</v>
      </c>
      <c r="O3" t="s">
        <v>15</v>
      </c>
      <c r="P3" t="s">
        <v>16</v>
      </c>
      <c r="Q3" t="s">
        <v>17</v>
      </c>
      <c r="R3" t="s">
        <v>13</v>
      </c>
    </row>
    <row r="4" spans="1:18" x14ac:dyDescent="0.3">
      <c r="A4" s="1">
        <v>4761182</v>
      </c>
      <c r="B4">
        <v>314</v>
      </c>
      <c r="C4" s="1">
        <f>A4/B4</f>
        <v>15163</v>
      </c>
      <c r="D4">
        <f>B4*0.75</f>
        <v>235.5</v>
      </c>
      <c r="E4">
        <f>A4/D4</f>
        <v>20217.333333333332</v>
      </c>
      <c r="F4">
        <f>D4*0.2</f>
        <v>47.1</v>
      </c>
      <c r="G4">
        <f>A4/F4</f>
        <v>101086.66666666666</v>
      </c>
      <c r="H4">
        <f>B4*1.15</f>
        <v>361.09999999999997</v>
      </c>
      <c r="I4" s="2">
        <v>2.5000000000000001E-2</v>
      </c>
      <c r="J4">
        <f>H4/I4</f>
        <v>14443.999999999998</v>
      </c>
      <c r="K4">
        <f>B4/I4</f>
        <v>12560</v>
      </c>
      <c r="L4" s="3">
        <f>R4-G4</f>
        <v>32600.449999999953</v>
      </c>
      <c r="M4">
        <v>345</v>
      </c>
      <c r="N4">
        <f>M4/0.2</f>
        <v>1725</v>
      </c>
      <c r="O4">
        <f>N4/0.75</f>
        <v>2300</v>
      </c>
      <c r="P4">
        <f>C4*1.15*1.15</f>
        <v>20053.067499999994</v>
      </c>
      <c r="Q4">
        <f>P4*O4</f>
        <v>46122055.249999985</v>
      </c>
      <c r="R4">
        <f>Q4/M4</f>
        <v>133687.11666666661</v>
      </c>
    </row>
    <row r="7" spans="1:18" x14ac:dyDescent="0.3">
      <c r="A7" t="s">
        <v>18</v>
      </c>
      <c r="C7" t="s">
        <v>19</v>
      </c>
      <c r="E7" t="s">
        <v>24</v>
      </c>
    </row>
    <row r="8" spans="1:18" x14ac:dyDescent="0.3">
      <c r="A8">
        <f>Q4/N4</f>
        <v>26737.423333333325</v>
      </c>
      <c r="C8">
        <f>A14/F4</f>
        <v>46500</v>
      </c>
      <c r="E8">
        <f>G4/C8</f>
        <v>2.1739068100358421</v>
      </c>
    </row>
    <row r="10" spans="1:18" x14ac:dyDescent="0.3">
      <c r="A10" t="s">
        <v>20</v>
      </c>
      <c r="B10" t="s">
        <v>21</v>
      </c>
      <c r="C10" t="s">
        <v>22</v>
      </c>
    </row>
    <row r="11" spans="1:18" x14ac:dyDescent="0.3">
      <c r="A11">
        <f>F4*0.55</f>
        <v>25.905000000000001</v>
      </c>
      <c r="B11">
        <f>F4*0.3</f>
        <v>14.13</v>
      </c>
      <c r="C11">
        <f>F4*0.15</f>
        <v>7.0650000000000004</v>
      </c>
    </row>
    <row r="13" spans="1:18" x14ac:dyDescent="0.3">
      <c r="A13" t="s">
        <v>23</v>
      </c>
    </row>
    <row r="14" spans="1:18" x14ac:dyDescent="0.3">
      <c r="A14">
        <f>A11*30000+B11*50000+C11*100000</f>
        <v>2190150</v>
      </c>
    </row>
    <row r="17" spans="1:10" x14ac:dyDescent="0.3">
      <c r="A17" t="s">
        <v>25</v>
      </c>
      <c r="B17" t="s">
        <v>35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I17" t="s">
        <v>32</v>
      </c>
      <c r="J17" t="s">
        <v>33</v>
      </c>
    </row>
    <row r="18" spans="1:10" x14ac:dyDescent="0.3">
      <c r="A18">
        <f>(C18-B18)/C18</f>
        <v>-1.5259713261648744</v>
      </c>
      <c r="B18">
        <f>G4+D18+E18+F18</f>
        <v>117457.66666666666</v>
      </c>
      <c r="C18">
        <f>C8</f>
        <v>46500</v>
      </c>
      <c r="D18">
        <v>10000</v>
      </c>
      <c r="E18">
        <f>C8*0.94*0.1</f>
        <v>4371</v>
      </c>
      <c r="F18">
        <f>2000</f>
        <v>2000</v>
      </c>
      <c r="G18">
        <f>H18*I18</f>
        <v>837000</v>
      </c>
      <c r="H18">
        <f>1.5*12</f>
        <v>18</v>
      </c>
      <c r="I18">
        <f>A14/F4</f>
        <v>46500</v>
      </c>
      <c r="J18">
        <f>G18/G4</f>
        <v>8.2800237420035625</v>
      </c>
    </row>
    <row r="21" spans="1:10" x14ac:dyDescent="0.3">
      <c r="A21" t="s">
        <v>34</v>
      </c>
      <c r="B21" t="s">
        <v>26</v>
      </c>
      <c r="C21" t="s">
        <v>35</v>
      </c>
      <c r="D21" t="s">
        <v>27</v>
      </c>
      <c r="E21" t="s">
        <v>28</v>
      </c>
      <c r="F21" t="s">
        <v>29</v>
      </c>
    </row>
    <row r="22" spans="1:10" x14ac:dyDescent="0.3">
      <c r="A22">
        <f>(B22-C22)/B22</f>
        <v>0.81904699322978902</v>
      </c>
      <c r="B22">
        <f>C8*H18</f>
        <v>837000</v>
      </c>
      <c r="C22">
        <f>G4+D22+E22+F22</f>
        <v>151457.66666666666</v>
      </c>
      <c r="D22">
        <v>10000</v>
      </c>
      <c r="E22">
        <f>C8*0.94*0.1</f>
        <v>4371</v>
      </c>
      <c r="F22">
        <f>2000*H18</f>
        <v>36000</v>
      </c>
    </row>
    <row r="25" spans="1:10" x14ac:dyDescent="0.3">
      <c r="A25" t="s">
        <v>36</v>
      </c>
    </row>
    <row r="26" spans="1:10" x14ac:dyDescent="0.3">
      <c r="A26">
        <f>B22-C22</f>
        <v>685542.33333333337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Рачевская</dc:creator>
  <cp:lastModifiedBy>Елизавета Рачевская</cp:lastModifiedBy>
  <dcterms:created xsi:type="dcterms:W3CDTF">2025-09-23T17:34:34Z</dcterms:created>
  <dcterms:modified xsi:type="dcterms:W3CDTF">2026-06-29T18:00:29Z</dcterms:modified>
</cp:coreProperties>
</file>