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Huawei\OneDrive\Desktop\"/>
    </mc:Choice>
  </mc:AlternateContent>
  <xr:revisionPtr revIDLastSave="0" documentId="13_ncr:1_{89E6B989-F5BD-4754-B62B-783BBD24FE60}" xr6:coauthVersionLast="47" xr6:coauthVersionMax="47" xr10:uidLastSave="{00000000-0000-0000-0000-000000000000}"/>
  <bookViews>
    <workbookView xWindow="-108" yWindow="-108" windowWidth="23256" windowHeight="12576" activeTab="5" xr2:uid="{00000000-000D-0000-FFFF-FFFF00000000}"/>
  </bookViews>
  <sheets>
    <sheet name="data (1)" sheetId="1" r:id="rId1"/>
    <sheet name="сводная" sheetId="4" r:id="rId2"/>
    <sheet name="расчеты" sheetId="3" r:id="rId3"/>
    <sheet name="вариация" sheetId="8" r:id="rId4"/>
    <sheet name="ABC-groups" sheetId="7" r:id="rId5"/>
    <sheet name="ABCDXYZ-groups" sheetId="11" r:id="rId6"/>
  </sheets>
  <definedNames>
    <definedName name="_xlcn.WorksheetConnection_data1A1V14491" hidden="1">'data (1)'!$A$1:$V$1449</definedName>
    <definedName name="_xlcn.WorksheetConnection_расчетыOO1" hidden="1">расчеты!$O:$O</definedName>
    <definedName name="_xlcn.WorksheetConnection_расчетыRR1" hidden="1">расчеты!$R:$R</definedName>
  </definedNames>
  <calcPr calcId="191029"/>
  <pivotCaches>
    <pivotCache cacheId="165" r:id="rId7"/>
    <pivotCache cacheId="166" r:id="rId8"/>
    <pivotCache cacheId="176" r:id="rId9"/>
  </pivotCaches>
  <extLst>
    <ext xmlns:x15="http://schemas.microsoft.com/office/spreadsheetml/2010/11/main" uri="{FCE2AD5D-F65C-4FA6-A056-5C36A1767C68}">
      <x15:dataModel>
        <x15:modelTables>
          <x15:modelTable id="Диапазон 1" name="Диапазон 1" connection="WorksheetConnection_расчеты!$O:$O"/>
          <x15:modelTable id="Диапазон" name="Диапазон" connection="WorksheetConnection_data (1)!$A$1:$V$1449"/>
          <x15:modelTable id="Диапазон 2" name="Диапазон 2" connection="WorksheetConnection_расчеты!$R:$R"/>
        </x15:modelTables>
      </x15:dataModel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2" i="3" l="1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48" i="3"/>
  <c r="Q49" i="3"/>
  <c r="Q50" i="3"/>
  <c r="Q51" i="3"/>
  <c r="Q52" i="3"/>
  <c r="Q53" i="3"/>
  <c r="Q54" i="3"/>
  <c r="Q55" i="3"/>
  <c r="Q56" i="3"/>
  <c r="Q57" i="3"/>
  <c r="Q58" i="3"/>
  <c r="Q59" i="3"/>
  <c r="Q60" i="3"/>
  <c r="Q61" i="3"/>
  <c r="Q62" i="3"/>
  <c r="Q63" i="3"/>
  <c r="Q64" i="3"/>
  <c r="Q65" i="3"/>
  <c r="Q66" i="3"/>
  <c r="Q67" i="3"/>
  <c r="Q68" i="3"/>
  <c r="Q69" i="3"/>
  <c r="Q70" i="3"/>
  <c r="Q71" i="3"/>
  <c r="Q72" i="3"/>
  <c r="Q73" i="3"/>
  <c r="Q74" i="3"/>
  <c r="Q75" i="3"/>
  <c r="Q76" i="3"/>
  <c r="Q77" i="3"/>
  <c r="Q78" i="3"/>
  <c r="Q79" i="3"/>
  <c r="Q80" i="3"/>
  <c r="Q81" i="3"/>
  <c r="Q82" i="3"/>
  <c r="Q83" i="3"/>
  <c r="Q84" i="3"/>
  <c r="Q85" i="3"/>
  <c r="Q86" i="3"/>
  <c r="Q87" i="3"/>
  <c r="Q88" i="3"/>
  <c r="Q89" i="3"/>
  <c r="Q90" i="3"/>
  <c r="Q91" i="3"/>
  <c r="Q92" i="3"/>
  <c r="Q93" i="3"/>
  <c r="Q94" i="3"/>
  <c r="Q95" i="3"/>
  <c r="Q96" i="3"/>
  <c r="Q97" i="3"/>
  <c r="Q98" i="3"/>
  <c r="Q99" i="3"/>
  <c r="Q100" i="3"/>
  <c r="Q101" i="3"/>
  <c r="Q102" i="3"/>
  <c r="Q103" i="3"/>
  <c r="Q104" i="3"/>
  <c r="Q105" i="3"/>
  <c r="Q106" i="3"/>
  <c r="Q107" i="3"/>
  <c r="Q108" i="3"/>
  <c r="Q109" i="3"/>
  <c r="Q110" i="3"/>
  <c r="Q111" i="3"/>
  <c r="Q112" i="3"/>
  <c r="Q113" i="3"/>
  <c r="Q114" i="3"/>
  <c r="Q115" i="3"/>
  <c r="Q116" i="3"/>
  <c r="Q117" i="3"/>
  <c r="Q118" i="3"/>
  <c r="Q119" i="3"/>
  <c r="Q120" i="3"/>
  <c r="Q121" i="3"/>
  <c r="Q122" i="3"/>
  <c r="Q123" i="3"/>
  <c r="Q124" i="3"/>
  <c r="Q125" i="3"/>
  <c r="Q126" i="3"/>
  <c r="Q127" i="3"/>
  <c r="Q128" i="3"/>
  <c r="Q129" i="3"/>
  <c r="Q130" i="3"/>
  <c r="Q131" i="3"/>
  <c r="Q132" i="3"/>
  <c r="Q133" i="3"/>
  <c r="Q134" i="3"/>
  <c r="Q135" i="3"/>
  <c r="Q136" i="3"/>
  <c r="Q137" i="3"/>
  <c r="Q138" i="3"/>
  <c r="Q139" i="3"/>
  <c r="Q140" i="3"/>
  <c r="Q141" i="3"/>
  <c r="Q142" i="3"/>
  <c r="Q143" i="3"/>
  <c r="Q144" i="3"/>
  <c r="Q145" i="3"/>
  <c r="Q146" i="3"/>
  <c r="Q147" i="3"/>
  <c r="Q148" i="3"/>
  <c r="Q149" i="3"/>
  <c r="Q150" i="3"/>
  <c r="Q151" i="3"/>
  <c r="Q152" i="3"/>
  <c r="Q153" i="3"/>
  <c r="Q154" i="3"/>
  <c r="Q155" i="3"/>
  <c r="Q156" i="3"/>
  <c r="Q157" i="3"/>
  <c r="Q158" i="3"/>
  <c r="Q159" i="3"/>
  <c r="Q160" i="3"/>
  <c r="Q161" i="3"/>
  <c r="Q162" i="3"/>
  <c r="Q163" i="3"/>
  <c r="Q164" i="3"/>
  <c r="Q165" i="3"/>
  <c r="Q166" i="3"/>
  <c r="Q167" i="3"/>
  <c r="Q168" i="3"/>
  <c r="Q169" i="3"/>
  <c r="Q170" i="3"/>
  <c r="Q171" i="3"/>
  <c r="Q172" i="3"/>
  <c r="Q173" i="3"/>
  <c r="Q174" i="3"/>
  <c r="Q175" i="3"/>
  <c r="Q176" i="3"/>
  <c r="Q177" i="3"/>
  <c r="Q178" i="3"/>
  <c r="Q179" i="3"/>
  <c r="Q180" i="3"/>
  <c r="Q181" i="3"/>
  <c r="Q182" i="3"/>
  <c r="Q183" i="3"/>
  <c r="Q184" i="3"/>
  <c r="Q185" i="3"/>
  <c r="Q186" i="3"/>
  <c r="Q187" i="3"/>
  <c r="Q188" i="3"/>
  <c r="Q189" i="3"/>
  <c r="Q190" i="3"/>
  <c r="Q191" i="3"/>
  <c r="Q192" i="3"/>
  <c r="Q193" i="3"/>
  <c r="Q194" i="3"/>
  <c r="Q195" i="3"/>
  <c r="Q196" i="3"/>
  <c r="Q197" i="3"/>
  <c r="Q198" i="3"/>
  <c r="Q199" i="3"/>
  <c r="Q200" i="3"/>
  <c r="Q201" i="3"/>
  <c r="Q202" i="3"/>
  <c r="Q203" i="3"/>
  <c r="Q204" i="3"/>
  <c r="Q205" i="3"/>
  <c r="Q206" i="3"/>
  <c r="Q207" i="3"/>
  <c r="Q208" i="3"/>
  <c r="Q209" i="3"/>
  <c r="Q210" i="3"/>
  <c r="Q211" i="3"/>
  <c r="Q212" i="3"/>
  <c r="Q213" i="3"/>
  <c r="Q214" i="3"/>
  <c r="Q215" i="3"/>
  <c r="Q216" i="3"/>
  <c r="Q217" i="3"/>
  <c r="Q218" i="3"/>
  <c r="Q219" i="3"/>
  <c r="Q220" i="3"/>
  <c r="Q221" i="3"/>
  <c r="Q222" i="3"/>
  <c r="Q223" i="3"/>
  <c r="Q224" i="3"/>
  <c r="Q225" i="3"/>
  <c r="Q226" i="3"/>
  <c r="Q227" i="3"/>
  <c r="Q228" i="3"/>
  <c r="Q229" i="3"/>
  <c r="Q230" i="3"/>
  <c r="Q231" i="3"/>
  <c r="Q232" i="3"/>
  <c r="Q233" i="3"/>
  <c r="Q234" i="3"/>
  <c r="Q235" i="3"/>
  <c r="Q236" i="3"/>
  <c r="Q237" i="3"/>
  <c r="Q238" i="3"/>
  <c r="Q239" i="3"/>
  <c r="Q240" i="3"/>
  <c r="Q241" i="3"/>
  <c r="Q242" i="3"/>
  <c r="Q243" i="3"/>
  <c r="Q244" i="3"/>
  <c r="Q245" i="3"/>
  <c r="Q246" i="3"/>
  <c r="Q247" i="3"/>
  <c r="Q248" i="3"/>
  <c r="Q249" i="3"/>
  <c r="Q250" i="3"/>
  <c r="Q251" i="3"/>
  <c r="Q252" i="3"/>
  <c r="Q253" i="3"/>
  <c r="Q254" i="3"/>
  <c r="Q255" i="3"/>
  <c r="Q256" i="3"/>
  <c r="Q257" i="3"/>
  <c r="Q258" i="3"/>
  <c r="Q259" i="3"/>
  <c r="Q260" i="3"/>
  <c r="Q261" i="3"/>
  <c r="Q262" i="3"/>
  <c r="Q263" i="3"/>
  <c r="Q264" i="3"/>
  <c r="Q265" i="3"/>
  <c r="Q266" i="3"/>
  <c r="Q267" i="3"/>
  <c r="Q268" i="3"/>
  <c r="Q269" i="3"/>
  <c r="Q270" i="3"/>
  <c r="Q271" i="3"/>
  <c r="Q272" i="3"/>
  <c r="Q273" i="3"/>
  <c r="Q274" i="3"/>
  <c r="Q275" i="3"/>
  <c r="Q276" i="3"/>
  <c r="Q277" i="3"/>
  <c r="Q278" i="3"/>
  <c r="Q279" i="3"/>
  <c r="Q280" i="3"/>
  <c r="Q281" i="3"/>
  <c r="Q282" i="3"/>
  <c r="Q283" i="3"/>
  <c r="Q284" i="3"/>
  <c r="Q285" i="3"/>
  <c r="Q286" i="3"/>
  <c r="Q287" i="3"/>
  <c r="Q288" i="3"/>
  <c r="Q289" i="3"/>
  <c r="Q290" i="3"/>
  <c r="Q291" i="3"/>
  <c r="Q292" i="3"/>
  <c r="Q293" i="3"/>
  <c r="Q294" i="3"/>
  <c r="Q295" i="3"/>
  <c r="Q296" i="3"/>
  <c r="Q297" i="3"/>
  <c r="Q298" i="3"/>
  <c r="Q299" i="3"/>
  <c r="Q300" i="3"/>
  <c r="Q301" i="3"/>
  <c r="Q302" i="3"/>
  <c r="Q303" i="3"/>
  <c r="Q304" i="3"/>
  <c r="Q305" i="3"/>
  <c r="Q306" i="3"/>
  <c r="Q307" i="3"/>
  <c r="Q308" i="3"/>
  <c r="Q309" i="3"/>
  <c r="Q310" i="3"/>
  <c r="Q311" i="3"/>
  <c r="Q312" i="3"/>
  <c r="Q313" i="3"/>
  <c r="Q314" i="3"/>
  <c r="Q315" i="3"/>
  <c r="Q316" i="3"/>
  <c r="Q317" i="3"/>
  <c r="Q318" i="3"/>
  <c r="Q319" i="3"/>
  <c r="Q320" i="3"/>
  <c r="Q321" i="3"/>
  <c r="Q322" i="3"/>
  <c r="Q323" i="3"/>
  <c r="Q324" i="3"/>
  <c r="Q325" i="3"/>
  <c r="Q326" i="3"/>
  <c r="Q327" i="3"/>
  <c r="Q328" i="3"/>
  <c r="Q329" i="3"/>
  <c r="Q330" i="3"/>
  <c r="Q331" i="3"/>
  <c r="Q332" i="3"/>
  <c r="Q333" i="3"/>
  <c r="Q334" i="3"/>
  <c r="Q335" i="3"/>
  <c r="Q336" i="3"/>
  <c r="Q337" i="3"/>
  <c r="Q338" i="3"/>
  <c r="Q339" i="3"/>
  <c r="Q340" i="3"/>
  <c r="Q341" i="3"/>
  <c r="Q342" i="3"/>
  <c r="Q343" i="3"/>
  <c r="Q344" i="3"/>
  <c r="Q345" i="3"/>
  <c r="Q346" i="3"/>
  <c r="Q347" i="3"/>
  <c r="Q348" i="3"/>
  <c r="Q349" i="3"/>
  <c r="Q350" i="3"/>
  <c r="Q351" i="3"/>
  <c r="Q352" i="3"/>
  <c r="Q353" i="3"/>
  <c r="Q354" i="3"/>
  <c r="Q355" i="3"/>
  <c r="Q356" i="3"/>
  <c r="Q357" i="3"/>
  <c r="Q358" i="3"/>
  <c r="Q359" i="3"/>
  <c r="Q360" i="3"/>
  <c r="Q361" i="3"/>
  <c r="Q362" i="3"/>
  <c r="Q363" i="3"/>
  <c r="Q364" i="3"/>
  <c r="Q365" i="3"/>
  <c r="Q366" i="3"/>
  <c r="Q367" i="3"/>
  <c r="Q368" i="3"/>
  <c r="Q369" i="3"/>
  <c r="Q370" i="3"/>
  <c r="Q371" i="3"/>
  <c r="Q372" i="3"/>
  <c r="Q373" i="3"/>
  <c r="Q374" i="3"/>
  <c r="Q375" i="3"/>
  <c r="Q376" i="3"/>
  <c r="Q377" i="3"/>
  <c r="Q378" i="3"/>
  <c r="Q379" i="3"/>
  <c r="Q380" i="3"/>
  <c r="Q381" i="3"/>
  <c r="Q382" i="3"/>
  <c r="Q383" i="3"/>
  <c r="Q384" i="3"/>
  <c r="Q385" i="3"/>
  <c r="Q386" i="3"/>
  <c r="Q387" i="3"/>
  <c r="Q388" i="3"/>
  <c r="Q389" i="3"/>
  <c r="Q390" i="3"/>
  <c r="Q391" i="3"/>
  <c r="Q392" i="3"/>
  <c r="Q393" i="3"/>
  <c r="Q394" i="3"/>
  <c r="Q395" i="3"/>
  <c r="Q396" i="3"/>
  <c r="Q397" i="3"/>
  <c r="Q398" i="3"/>
  <c r="Q399" i="3"/>
  <c r="Q400" i="3"/>
  <c r="Q401" i="3"/>
  <c r="Q402" i="3"/>
  <c r="Q403" i="3"/>
  <c r="Q404" i="3"/>
  <c r="Q405" i="3"/>
  <c r="Q406" i="3"/>
  <c r="Q407" i="3"/>
  <c r="Q408" i="3"/>
  <c r="Q409" i="3"/>
  <c r="Q410" i="3"/>
  <c r="Q411" i="3"/>
  <c r="Q412" i="3"/>
  <c r="Q413" i="3"/>
  <c r="Q414" i="3"/>
  <c r="Q415" i="3"/>
  <c r="Q416" i="3"/>
  <c r="Q417" i="3"/>
  <c r="Q418" i="3"/>
  <c r="Q419" i="3"/>
  <c r="Q420" i="3"/>
  <c r="Q421" i="3"/>
  <c r="Q422" i="3"/>
  <c r="Q423" i="3"/>
  <c r="Q424" i="3"/>
  <c r="Q425" i="3"/>
  <c r="Q426" i="3"/>
  <c r="Q427" i="3"/>
  <c r="Q428" i="3"/>
  <c r="Q429" i="3"/>
  <c r="Q430" i="3"/>
  <c r="Q431" i="3"/>
  <c r="Q432" i="3"/>
  <c r="Q433" i="3"/>
  <c r="Q434" i="3"/>
  <c r="Q435" i="3"/>
  <c r="Q436" i="3"/>
  <c r="Q437" i="3"/>
  <c r="Q438" i="3"/>
  <c r="Q439" i="3"/>
  <c r="Q440" i="3"/>
  <c r="Q441" i="3"/>
  <c r="Q442" i="3"/>
  <c r="Q443" i="3"/>
  <c r="Q444" i="3"/>
  <c r="Q445" i="3"/>
  <c r="Q446" i="3"/>
  <c r="Q447" i="3"/>
  <c r="Q448" i="3"/>
  <c r="Q449" i="3"/>
  <c r="Q450" i="3"/>
  <c r="Q451" i="3"/>
  <c r="Q452" i="3"/>
  <c r="Q453" i="3"/>
  <c r="Q454" i="3"/>
  <c r="Q455" i="3"/>
  <c r="Q456" i="3"/>
  <c r="Q457" i="3"/>
  <c r="Q458" i="3"/>
  <c r="Q459" i="3"/>
  <c r="Q460" i="3"/>
  <c r="Q461" i="3"/>
  <c r="Q462" i="3"/>
  <c r="Q463" i="3"/>
  <c r="Q464" i="3"/>
  <c r="Q465" i="3"/>
  <c r="Q466" i="3"/>
  <c r="Q467" i="3"/>
  <c r="Q468" i="3"/>
  <c r="Q469" i="3"/>
  <c r="Q470" i="3"/>
  <c r="Q471" i="3"/>
  <c r="Q472" i="3"/>
  <c r="Q473" i="3"/>
  <c r="Q474" i="3"/>
  <c r="Q475" i="3"/>
  <c r="Q476" i="3"/>
  <c r="Q477" i="3"/>
  <c r="Q478" i="3"/>
  <c r="Q479" i="3"/>
  <c r="Q480" i="3"/>
  <c r="Q481" i="3"/>
  <c r="Q482" i="3"/>
  <c r="Q483" i="3"/>
  <c r="Q484" i="3"/>
  <c r="Q485" i="3"/>
  <c r="Q486" i="3"/>
  <c r="Q487" i="3"/>
  <c r="Q488" i="3"/>
  <c r="Q489" i="3"/>
  <c r="Q490" i="3"/>
  <c r="Q491" i="3"/>
  <c r="Q492" i="3"/>
  <c r="Q493" i="3"/>
  <c r="Q494" i="3"/>
  <c r="Q495" i="3"/>
  <c r="Q496" i="3"/>
  <c r="Q497" i="3"/>
  <c r="Q498" i="3"/>
  <c r="Q499" i="3"/>
  <c r="Q500" i="3"/>
  <c r="Q501" i="3"/>
  <c r="Q502" i="3"/>
  <c r="Q503" i="3"/>
  <c r="Q504" i="3"/>
  <c r="Q505" i="3"/>
  <c r="Q506" i="3"/>
  <c r="Q507" i="3"/>
  <c r="Q508" i="3"/>
  <c r="Q509" i="3"/>
  <c r="Q510" i="3"/>
  <c r="Q511" i="3"/>
  <c r="Q512" i="3"/>
  <c r="Q513" i="3"/>
  <c r="Q514" i="3"/>
  <c r="Q515" i="3"/>
  <c r="Q516" i="3"/>
  <c r="Q517" i="3"/>
  <c r="Q518" i="3"/>
  <c r="Q519" i="3"/>
  <c r="Q520" i="3"/>
  <c r="Q521" i="3"/>
  <c r="Q522" i="3"/>
  <c r="Q523" i="3"/>
  <c r="Q524" i="3"/>
  <c r="Q525" i="3"/>
  <c r="Q526" i="3"/>
  <c r="Q527" i="3"/>
  <c r="Q528" i="3"/>
  <c r="Q529" i="3"/>
  <c r="Q530" i="3"/>
  <c r="Q531" i="3"/>
  <c r="Q532" i="3"/>
  <c r="Q533" i="3"/>
  <c r="Q534" i="3"/>
  <c r="Q535" i="3"/>
  <c r="Q536" i="3"/>
  <c r="Q537" i="3"/>
  <c r="Q538" i="3"/>
  <c r="Q539" i="3"/>
  <c r="Q540" i="3"/>
  <c r="Q541" i="3"/>
  <c r="Q542" i="3"/>
  <c r="Q543" i="3"/>
  <c r="Q544" i="3"/>
  <c r="Q545" i="3"/>
  <c r="Q546" i="3"/>
  <c r="Q547" i="3"/>
  <c r="Q548" i="3"/>
  <c r="Q549" i="3"/>
  <c r="Q550" i="3"/>
  <c r="Q551" i="3"/>
  <c r="Q552" i="3"/>
  <c r="Q553" i="3"/>
  <c r="Q554" i="3"/>
  <c r="Q555" i="3"/>
  <c r="Q556" i="3"/>
  <c r="Q557" i="3"/>
  <c r="Q558" i="3"/>
  <c r="Q559" i="3"/>
  <c r="Q560" i="3"/>
  <c r="Q561" i="3"/>
  <c r="Q562" i="3"/>
  <c r="Q563" i="3"/>
  <c r="Q564" i="3"/>
  <c r="Q565" i="3"/>
  <c r="Q566" i="3"/>
  <c r="Q567" i="3"/>
  <c r="Q568" i="3"/>
  <c r="Q569" i="3"/>
  <c r="Q570" i="3"/>
  <c r="Q571" i="3"/>
  <c r="Q572" i="3"/>
  <c r="Q573" i="3"/>
  <c r="Q574" i="3"/>
  <c r="Q575" i="3"/>
  <c r="Q576" i="3"/>
  <c r="Q577" i="3"/>
  <c r="Q578" i="3"/>
  <c r="Q579" i="3"/>
  <c r="Q580" i="3"/>
  <c r="Q581" i="3"/>
  <c r="Q582" i="3"/>
  <c r="Q583" i="3"/>
  <c r="Q584" i="3"/>
  <c r="Q585" i="3"/>
  <c r="Q586" i="3"/>
  <c r="Q587" i="3"/>
  <c r="Q588" i="3"/>
  <c r="Q589" i="3"/>
  <c r="Q590" i="3"/>
  <c r="Q591" i="3"/>
  <c r="Q592" i="3"/>
  <c r="Q593" i="3"/>
  <c r="Q594" i="3"/>
  <c r="Q595" i="3"/>
  <c r="Q596" i="3"/>
  <c r="Q597" i="3"/>
  <c r="Q598" i="3"/>
  <c r="Q599" i="3"/>
  <c r="Q600" i="3"/>
  <c r="Q601" i="3"/>
  <c r="Q602" i="3"/>
  <c r="Q603" i="3"/>
  <c r="Q604" i="3"/>
  <c r="Q605" i="3"/>
  <c r="Q606" i="3"/>
  <c r="Q607" i="3"/>
  <c r="Q608" i="3"/>
  <c r="Q609" i="3"/>
  <c r="Q610" i="3"/>
  <c r="Q611" i="3"/>
  <c r="Q612" i="3"/>
  <c r="Q613" i="3"/>
  <c r="Q614" i="3"/>
  <c r="Q615" i="3"/>
  <c r="Q616" i="3"/>
  <c r="Q617" i="3"/>
  <c r="Q618" i="3"/>
  <c r="Q619" i="3"/>
  <c r="Q620" i="3"/>
  <c r="Q621" i="3"/>
  <c r="Q622" i="3"/>
  <c r="Q623" i="3"/>
  <c r="Q624" i="3"/>
  <c r="Q625" i="3"/>
  <c r="Q626" i="3"/>
  <c r="Q627" i="3"/>
  <c r="Q628" i="3"/>
  <c r="Q629" i="3"/>
  <c r="Q630" i="3"/>
  <c r="Q631" i="3"/>
  <c r="Q632" i="3"/>
  <c r="Q633" i="3"/>
  <c r="Q634" i="3"/>
  <c r="Q635" i="3"/>
  <c r="Q636" i="3"/>
  <c r="Q637" i="3"/>
  <c r="Q638" i="3"/>
  <c r="Q639" i="3"/>
  <c r="Q640" i="3"/>
  <c r="Q641" i="3"/>
  <c r="Q642" i="3"/>
  <c r="Q643" i="3"/>
  <c r="Q644" i="3"/>
  <c r="Q645" i="3"/>
  <c r="Q646" i="3"/>
  <c r="Q647" i="3"/>
  <c r="Q648" i="3"/>
  <c r="Q649" i="3"/>
  <c r="Q650" i="3"/>
  <c r="Q651" i="3"/>
  <c r="Q652" i="3"/>
  <c r="Q653" i="3"/>
  <c r="Q654" i="3"/>
  <c r="Q655" i="3"/>
  <c r="Q656" i="3"/>
  <c r="Q657" i="3"/>
  <c r="Q658" i="3"/>
  <c r="Q659" i="3"/>
  <c r="Q660" i="3"/>
  <c r="Q661" i="3"/>
  <c r="Q662" i="3"/>
  <c r="Q663" i="3"/>
  <c r="Q664" i="3"/>
  <c r="Q665" i="3"/>
  <c r="Q666" i="3"/>
  <c r="Q667" i="3"/>
  <c r="Q668" i="3"/>
  <c r="Q669" i="3"/>
  <c r="Q670" i="3"/>
  <c r="Q671" i="3"/>
  <c r="Q672" i="3"/>
  <c r="Q673" i="3"/>
  <c r="Q674" i="3"/>
  <c r="Q675" i="3"/>
  <c r="Q676" i="3"/>
  <c r="Q677" i="3"/>
  <c r="Q678" i="3"/>
  <c r="Q679" i="3"/>
  <c r="Q680" i="3"/>
  <c r="Q681" i="3"/>
  <c r="Q682" i="3"/>
  <c r="Q683" i="3"/>
  <c r="Q684" i="3"/>
  <c r="Q685" i="3"/>
  <c r="Q686" i="3"/>
  <c r="Q687" i="3"/>
  <c r="Q688" i="3"/>
  <c r="Q689" i="3"/>
  <c r="Q690" i="3"/>
  <c r="Q691" i="3"/>
  <c r="Q692" i="3"/>
  <c r="Q693" i="3"/>
  <c r="Q694" i="3"/>
  <c r="Q695" i="3"/>
  <c r="Q696" i="3"/>
  <c r="Q697" i="3"/>
  <c r="Q698" i="3"/>
  <c r="Q699" i="3"/>
  <c r="Q700" i="3"/>
  <c r="Q701" i="3"/>
  <c r="Q702" i="3"/>
  <c r="Q703" i="3"/>
  <c r="Q704" i="3"/>
  <c r="Q705" i="3"/>
  <c r="Q706" i="3"/>
  <c r="Q707" i="3"/>
  <c r="Q708" i="3"/>
  <c r="Q709" i="3"/>
  <c r="Q710" i="3"/>
  <c r="Q711" i="3"/>
  <c r="Q712" i="3"/>
  <c r="Q713" i="3"/>
  <c r="Q714" i="3"/>
  <c r="Q715" i="3"/>
  <c r="Q716" i="3"/>
  <c r="Q717" i="3"/>
  <c r="Q718" i="3"/>
  <c r="Q719" i="3"/>
  <c r="Q720" i="3"/>
  <c r="Q721" i="3"/>
  <c r="Q722" i="3"/>
  <c r="Q723" i="3"/>
  <c r="Q724" i="3"/>
  <c r="Q725" i="3"/>
  <c r="Q726" i="3"/>
  <c r="Q727" i="3"/>
  <c r="Q728" i="3"/>
  <c r="Q729" i="3"/>
  <c r="Q730" i="3"/>
  <c r="Q731" i="3"/>
  <c r="Q732" i="3"/>
  <c r="Q733" i="3"/>
  <c r="Q734" i="3"/>
  <c r="Q735" i="3"/>
  <c r="Q736" i="3"/>
  <c r="Q737" i="3"/>
  <c r="Q738" i="3"/>
  <c r="Q739" i="3"/>
  <c r="Q740" i="3"/>
  <c r="Q741" i="3"/>
  <c r="Q742" i="3"/>
  <c r="Q743" i="3"/>
  <c r="Q744" i="3"/>
  <c r="Q745" i="3"/>
  <c r="Q746" i="3"/>
  <c r="Q747" i="3"/>
  <c r="Q748" i="3"/>
  <c r="Q749" i="3"/>
  <c r="Q750" i="3"/>
  <c r="Q751" i="3"/>
  <c r="Q752" i="3"/>
  <c r="Q753" i="3"/>
  <c r="Q754" i="3"/>
  <c r="Q755" i="3"/>
  <c r="Q756" i="3"/>
  <c r="Q757" i="3"/>
  <c r="Q758" i="3"/>
  <c r="Q759" i="3"/>
  <c r="Q760" i="3"/>
  <c r="Q761" i="3"/>
  <c r="Q762" i="3"/>
  <c r="Q763" i="3"/>
  <c r="Q764" i="3"/>
  <c r="Q765" i="3"/>
  <c r="Q766" i="3"/>
  <c r="Q767" i="3"/>
  <c r="Q768" i="3"/>
  <c r="Q769" i="3"/>
  <c r="Q770" i="3"/>
  <c r="Q771" i="3"/>
  <c r="Q772" i="3"/>
  <c r="Q773" i="3"/>
  <c r="Q774" i="3"/>
  <c r="Q775" i="3"/>
  <c r="Q776" i="3"/>
  <c r="Q777" i="3"/>
  <c r="Q778" i="3"/>
  <c r="Q779" i="3"/>
  <c r="Q780" i="3"/>
  <c r="Q781" i="3"/>
  <c r="Q782" i="3"/>
  <c r="Q783" i="3"/>
  <c r="Q784" i="3"/>
  <c r="Q785" i="3"/>
  <c r="Q786" i="3"/>
  <c r="Q787" i="3"/>
  <c r="Q788" i="3"/>
  <c r="Q789" i="3"/>
  <c r="Q790" i="3"/>
  <c r="Q791" i="3"/>
  <c r="Q792" i="3"/>
  <c r="Q793" i="3"/>
  <c r="Q794" i="3"/>
  <c r="Q795" i="3"/>
  <c r="Q796" i="3"/>
  <c r="Q797" i="3"/>
  <c r="Q798" i="3"/>
  <c r="Q799" i="3"/>
  <c r="Q800" i="3"/>
  <c r="Q801" i="3"/>
  <c r="Q802" i="3"/>
  <c r="Q803" i="3"/>
  <c r="Q804" i="3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P74" i="3"/>
  <c r="P75" i="3"/>
  <c r="P76" i="3"/>
  <c r="P77" i="3"/>
  <c r="P78" i="3"/>
  <c r="P79" i="3"/>
  <c r="P80" i="3"/>
  <c r="P81" i="3"/>
  <c r="P82" i="3"/>
  <c r="P83" i="3"/>
  <c r="P84" i="3"/>
  <c r="P85" i="3"/>
  <c r="P86" i="3"/>
  <c r="P87" i="3"/>
  <c r="P88" i="3"/>
  <c r="P89" i="3"/>
  <c r="P90" i="3"/>
  <c r="P91" i="3"/>
  <c r="P92" i="3"/>
  <c r="P93" i="3"/>
  <c r="P94" i="3"/>
  <c r="P95" i="3"/>
  <c r="P96" i="3"/>
  <c r="P97" i="3"/>
  <c r="P98" i="3"/>
  <c r="P99" i="3"/>
  <c r="P100" i="3"/>
  <c r="P101" i="3"/>
  <c r="P102" i="3"/>
  <c r="P103" i="3"/>
  <c r="P104" i="3"/>
  <c r="P105" i="3"/>
  <c r="P106" i="3"/>
  <c r="P107" i="3"/>
  <c r="P108" i="3"/>
  <c r="P109" i="3"/>
  <c r="P110" i="3"/>
  <c r="P111" i="3"/>
  <c r="P112" i="3"/>
  <c r="P113" i="3"/>
  <c r="P114" i="3"/>
  <c r="P115" i="3"/>
  <c r="P116" i="3"/>
  <c r="P117" i="3"/>
  <c r="P118" i="3"/>
  <c r="P119" i="3"/>
  <c r="P120" i="3"/>
  <c r="P121" i="3"/>
  <c r="P122" i="3"/>
  <c r="P123" i="3"/>
  <c r="P124" i="3"/>
  <c r="P125" i="3"/>
  <c r="P126" i="3"/>
  <c r="P127" i="3"/>
  <c r="P128" i="3"/>
  <c r="P129" i="3"/>
  <c r="P130" i="3"/>
  <c r="P131" i="3"/>
  <c r="P132" i="3"/>
  <c r="P133" i="3"/>
  <c r="P134" i="3"/>
  <c r="P135" i="3"/>
  <c r="P136" i="3"/>
  <c r="P137" i="3"/>
  <c r="P138" i="3"/>
  <c r="P139" i="3"/>
  <c r="P140" i="3"/>
  <c r="P141" i="3"/>
  <c r="P142" i="3"/>
  <c r="P143" i="3"/>
  <c r="P144" i="3"/>
  <c r="P145" i="3"/>
  <c r="P146" i="3"/>
  <c r="P147" i="3"/>
  <c r="P148" i="3"/>
  <c r="P149" i="3"/>
  <c r="P150" i="3"/>
  <c r="P151" i="3"/>
  <c r="P152" i="3"/>
  <c r="P153" i="3"/>
  <c r="P154" i="3"/>
  <c r="P155" i="3"/>
  <c r="P156" i="3"/>
  <c r="P157" i="3"/>
  <c r="P158" i="3"/>
  <c r="P159" i="3"/>
  <c r="P160" i="3"/>
  <c r="P161" i="3"/>
  <c r="P162" i="3"/>
  <c r="P163" i="3"/>
  <c r="P164" i="3"/>
  <c r="P165" i="3"/>
  <c r="P166" i="3"/>
  <c r="P167" i="3"/>
  <c r="P168" i="3"/>
  <c r="P169" i="3"/>
  <c r="P170" i="3"/>
  <c r="P171" i="3"/>
  <c r="P172" i="3"/>
  <c r="P173" i="3"/>
  <c r="P174" i="3"/>
  <c r="P175" i="3"/>
  <c r="P176" i="3"/>
  <c r="P177" i="3"/>
  <c r="P178" i="3"/>
  <c r="P179" i="3"/>
  <c r="P180" i="3"/>
  <c r="P181" i="3"/>
  <c r="P182" i="3"/>
  <c r="P183" i="3"/>
  <c r="P184" i="3"/>
  <c r="P185" i="3"/>
  <c r="P186" i="3"/>
  <c r="P187" i="3"/>
  <c r="P188" i="3"/>
  <c r="P189" i="3"/>
  <c r="P190" i="3"/>
  <c r="P191" i="3"/>
  <c r="P192" i="3"/>
  <c r="P193" i="3"/>
  <c r="P194" i="3"/>
  <c r="P195" i="3"/>
  <c r="P196" i="3"/>
  <c r="P197" i="3"/>
  <c r="P198" i="3"/>
  <c r="P199" i="3"/>
  <c r="P200" i="3"/>
  <c r="P201" i="3"/>
  <c r="P202" i="3"/>
  <c r="P203" i="3"/>
  <c r="P204" i="3"/>
  <c r="P205" i="3"/>
  <c r="P206" i="3"/>
  <c r="P207" i="3"/>
  <c r="P208" i="3"/>
  <c r="P209" i="3"/>
  <c r="P210" i="3"/>
  <c r="P211" i="3"/>
  <c r="P212" i="3"/>
  <c r="P213" i="3"/>
  <c r="P214" i="3"/>
  <c r="P215" i="3"/>
  <c r="P216" i="3"/>
  <c r="P217" i="3"/>
  <c r="P218" i="3"/>
  <c r="P219" i="3"/>
  <c r="P220" i="3"/>
  <c r="P221" i="3"/>
  <c r="P222" i="3"/>
  <c r="P223" i="3"/>
  <c r="P224" i="3"/>
  <c r="P225" i="3"/>
  <c r="P226" i="3"/>
  <c r="P227" i="3"/>
  <c r="P228" i="3"/>
  <c r="P229" i="3"/>
  <c r="P230" i="3"/>
  <c r="P231" i="3"/>
  <c r="P232" i="3"/>
  <c r="P233" i="3"/>
  <c r="P234" i="3"/>
  <c r="P235" i="3"/>
  <c r="P236" i="3"/>
  <c r="P237" i="3"/>
  <c r="P238" i="3"/>
  <c r="P239" i="3"/>
  <c r="P240" i="3"/>
  <c r="P241" i="3"/>
  <c r="P242" i="3"/>
  <c r="P243" i="3"/>
  <c r="P244" i="3"/>
  <c r="P245" i="3"/>
  <c r="P246" i="3"/>
  <c r="P247" i="3"/>
  <c r="P248" i="3"/>
  <c r="P249" i="3"/>
  <c r="P250" i="3"/>
  <c r="P251" i="3"/>
  <c r="P252" i="3"/>
  <c r="P253" i="3"/>
  <c r="P254" i="3"/>
  <c r="P255" i="3"/>
  <c r="P256" i="3"/>
  <c r="P257" i="3"/>
  <c r="P258" i="3"/>
  <c r="P259" i="3"/>
  <c r="P260" i="3"/>
  <c r="P261" i="3"/>
  <c r="P262" i="3"/>
  <c r="P263" i="3"/>
  <c r="P264" i="3"/>
  <c r="P265" i="3"/>
  <c r="P266" i="3"/>
  <c r="P267" i="3"/>
  <c r="P268" i="3"/>
  <c r="P269" i="3"/>
  <c r="P270" i="3"/>
  <c r="P271" i="3"/>
  <c r="P272" i="3"/>
  <c r="P273" i="3"/>
  <c r="P274" i="3"/>
  <c r="P275" i="3"/>
  <c r="P276" i="3"/>
  <c r="P277" i="3"/>
  <c r="P278" i="3"/>
  <c r="P279" i="3"/>
  <c r="P280" i="3"/>
  <c r="P281" i="3"/>
  <c r="P282" i="3"/>
  <c r="P283" i="3"/>
  <c r="P284" i="3"/>
  <c r="P285" i="3"/>
  <c r="P286" i="3"/>
  <c r="P287" i="3"/>
  <c r="P288" i="3"/>
  <c r="P289" i="3"/>
  <c r="P290" i="3"/>
  <c r="P291" i="3"/>
  <c r="P292" i="3"/>
  <c r="P293" i="3"/>
  <c r="P294" i="3"/>
  <c r="P295" i="3"/>
  <c r="P296" i="3"/>
  <c r="P297" i="3"/>
  <c r="P298" i="3"/>
  <c r="P299" i="3"/>
  <c r="P300" i="3"/>
  <c r="P301" i="3"/>
  <c r="P302" i="3"/>
  <c r="P303" i="3"/>
  <c r="P304" i="3"/>
  <c r="P305" i="3"/>
  <c r="P306" i="3"/>
  <c r="P307" i="3"/>
  <c r="P308" i="3"/>
  <c r="P309" i="3"/>
  <c r="P310" i="3"/>
  <c r="P311" i="3"/>
  <c r="P312" i="3"/>
  <c r="P313" i="3"/>
  <c r="P314" i="3"/>
  <c r="P315" i="3"/>
  <c r="P316" i="3"/>
  <c r="P317" i="3"/>
  <c r="P318" i="3"/>
  <c r="P319" i="3"/>
  <c r="P320" i="3"/>
  <c r="P321" i="3"/>
  <c r="P322" i="3"/>
  <c r="P323" i="3"/>
  <c r="P324" i="3"/>
  <c r="P325" i="3"/>
  <c r="P326" i="3"/>
  <c r="P327" i="3"/>
  <c r="P328" i="3"/>
  <c r="P329" i="3"/>
  <c r="P330" i="3"/>
  <c r="P331" i="3"/>
  <c r="P332" i="3"/>
  <c r="P333" i="3"/>
  <c r="P334" i="3"/>
  <c r="P335" i="3"/>
  <c r="P336" i="3"/>
  <c r="P337" i="3"/>
  <c r="P338" i="3"/>
  <c r="P339" i="3"/>
  <c r="P340" i="3"/>
  <c r="P341" i="3"/>
  <c r="P342" i="3"/>
  <c r="P343" i="3"/>
  <c r="P344" i="3"/>
  <c r="P345" i="3"/>
  <c r="P346" i="3"/>
  <c r="P347" i="3"/>
  <c r="P348" i="3"/>
  <c r="P349" i="3"/>
  <c r="P350" i="3"/>
  <c r="P351" i="3"/>
  <c r="P352" i="3"/>
  <c r="P353" i="3"/>
  <c r="P354" i="3"/>
  <c r="P355" i="3"/>
  <c r="P356" i="3"/>
  <c r="P357" i="3"/>
  <c r="P358" i="3"/>
  <c r="P359" i="3"/>
  <c r="P360" i="3"/>
  <c r="P361" i="3"/>
  <c r="P362" i="3"/>
  <c r="P363" i="3"/>
  <c r="P364" i="3"/>
  <c r="P365" i="3"/>
  <c r="P366" i="3"/>
  <c r="P367" i="3"/>
  <c r="P368" i="3"/>
  <c r="P369" i="3"/>
  <c r="P370" i="3"/>
  <c r="P371" i="3"/>
  <c r="P372" i="3"/>
  <c r="P373" i="3"/>
  <c r="P374" i="3"/>
  <c r="P375" i="3"/>
  <c r="P376" i="3"/>
  <c r="P377" i="3"/>
  <c r="P378" i="3"/>
  <c r="P379" i="3"/>
  <c r="P380" i="3"/>
  <c r="P381" i="3"/>
  <c r="P382" i="3"/>
  <c r="P383" i="3"/>
  <c r="P384" i="3"/>
  <c r="P385" i="3"/>
  <c r="P386" i="3"/>
  <c r="P387" i="3"/>
  <c r="P388" i="3"/>
  <c r="P389" i="3"/>
  <c r="P390" i="3"/>
  <c r="P391" i="3"/>
  <c r="P392" i="3"/>
  <c r="P393" i="3"/>
  <c r="P394" i="3"/>
  <c r="P395" i="3"/>
  <c r="P396" i="3"/>
  <c r="P397" i="3"/>
  <c r="P398" i="3"/>
  <c r="P399" i="3"/>
  <c r="P400" i="3"/>
  <c r="P401" i="3"/>
  <c r="P402" i="3"/>
  <c r="P403" i="3"/>
  <c r="P404" i="3"/>
  <c r="P405" i="3"/>
  <c r="P406" i="3"/>
  <c r="P407" i="3"/>
  <c r="P408" i="3"/>
  <c r="P409" i="3"/>
  <c r="P410" i="3"/>
  <c r="P411" i="3"/>
  <c r="P412" i="3"/>
  <c r="P413" i="3"/>
  <c r="P414" i="3"/>
  <c r="P415" i="3"/>
  <c r="P416" i="3"/>
  <c r="P417" i="3"/>
  <c r="P418" i="3"/>
  <c r="P419" i="3"/>
  <c r="P420" i="3"/>
  <c r="P421" i="3"/>
  <c r="P422" i="3"/>
  <c r="P423" i="3"/>
  <c r="P424" i="3"/>
  <c r="P425" i="3"/>
  <c r="P426" i="3"/>
  <c r="P427" i="3"/>
  <c r="P428" i="3"/>
  <c r="P429" i="3"/>
  <c r="P430" i="3"/>
  <c r="P431" i="3"/>
  <c r="P432" i="3"/>
  <c r="P433" i="3"/>
  <c r="P434" i="3"/>
  <c r="P435" i="3"/>
  <c r="P436" i="3"/>
  <c r="P437" i="3"/>
  <c r="P438" i="3"/>
  <c r="P439" i="3"/>
  <c r="P440" i="3"/>
  <c r="P441" i="3"/>
  <c r="P442" i="3"/>
  <c r="P443" i="3"/>
  <c r="P444" i="3"/>
  <c r="P445" i="3"/>
  <c r="P446" i="3"/>
  <c r="P447" i="3"/>
  <c r="P448" i="3"/>
  <c r="P449" i="3"/>
  <c r="P450" i="3"/>
  <c r="P451" i="3"/>
  <c r="P452" i="3"/>
  <c r="P453" i="3"/>
  <c r="P454" i="3"/>
  <c r="P455" i="3"/>
  <c r="P456" i="3"/>
  <c r="P457" i="3"/>
  <c r="P458" i="3"/>
  <c r="P459" i="3"/>
  <c r="P460" i="3"/>
  <c r="P461" i="3"/>
  <c r="P462" i="3"/>
  <c r="P463" i="3"/>
  <c r="P464" i="3"/>
  <c r="P465" i="3"/>
  <c r="P466" i="3"/>
  <c r="P467" i="3"/>
  <c r="P468" i="3"/>
  <c r="P469" i="3"/>
  <c r="P470" i="3"/>
  <c r="P471" i="3"/>
  <c r="P472" i="3"/>
  <c r="P473" i="3"/>
  <c r="P474" i="3"/>
  <c r="P475" i="3"/>
  <c r="P476" i="3"/>
  <c r="P477" i="3"/>
  <c r="P478" i="3"/>
  <c r="P479" i="3"/>
  <c r="P480" i="3"/>
  <c r="P481" i="3"/>
  <c r="P482" i="3"/>
  <c r="P483" i="3"/>
  <c r="P484" i="3"/>
  <c r="P485" i="3"/>
  <c r="P486" i="3"/>
  <c r="P487" i="3"/>
  <c r="P488" i="3"/>
  <c r="P489" i="3"/>
  <c r="P490" i="3"/>
  <c r="P491" i="3"/>
  <c r="P492" i="3"/>
  <c r="P493" i="3"/>
  <c r="P494" i="3"/>
  <c r="P495" i="3"/>
  <c r="P496" i="3"/>
  <c r="P497" i="3"/>
  <c r="P498" i="3"/>
  <c r="P499" i="3"/>
  <c r="P500" i="3"/>
  <c r="P501" i="3"/>
  <c r="P502" i="3"/>
  <c r="P503" i="3"/>
  <c r="P504" i="3"/>
  <c r="P505" i="3"/>
  <c r="P506" i="3"/>
  <c r="P507" i="3"/>
  <c r="P508" i="3"/>
  <c r="P509" i="3"/>
  <c r="P510" i="3"/>
  <c r="P511" i="3"/>
  <c r="P512" i="3"/>
  <c r="P513" i="3"/>
  <c r="P514" i="3"/>
  <c r="P515" i="3"/>
  <c r="P516" i="3"/>
  <c r="P517" i="3"/>
  <c r="P518" i="3"/>
  <c r="P519" i="3"/>
  <c r="P520" i="3"/>
  <c r="P521" i="3"/>
  <c r="P522" i="3"/>
  <c r="P523" i="3"/>
  <c r="P524" i="3"/>
  <c r="P525" i="3"/>
  <c r="P526" i="3"/>
  <c r="P527" i="3"/>
  <c r="P528" i="3"/>
  <c r="P529" i="3"/>
  <c r="P530" i="3"/>
  <c r="P531" i="3"/>
  <c r="P532" i="3"/>
  <c r="P533" i="3"/>
  <c r="P534" i="3"/>
  <c r="P535" i="3"/>
  <c r="P536" i="3"/>
  <c r="P537" i="3"/>
  <c r="P538" i="3"/>
  <c r="P539" i="3"/>
  <c r="P540" i="3"/>
  <c r="P541" i="3"/>
  <c r="P542" i="3"/>
  <c r="P543" i="3"/>
  <c r="P544" i="3"/>
  <c r="P545" i="3"/>
  <c r="P546" i="3"/>
  <c r="P547" i="3"/>
  <c r="P548" i="3"/>
  <c r="P549" i="3"/>
  <c r="P550" i="3"/>
  <c r="P551" i="3"/>
  <c r="P552" i="3"/>
  <c r="P553" i="3"/>
  <c r="P554" i="3"/>
  <c r="P555" i="3"/>
  <c r="P556" i="3"/>
  <c r="P557" i="3"/>
  <c r="P558" i="3"/>
  <c r="P559" i="3"/>
  <c r="P560" i="3"/>
  <c r="P561" i="3"/>
  <c r="P562" i="3"/>
  <c r="P563" i="3"/>
  <c r="P564" i="3"/>
  <c r="P565" i="3"/>
  <c r="P566" i="3"/>
  <c r="P567" i="3"/>
  <c r="P568" i="3"/>
  <c r="P569" i="3"/>
  <c r="P570" i="3"/>
  <c r="P571" i="3"/>
  <c r="P572" i="3"/>
  <c r="P573" i="3"/>
  <c r="P574" i="3"/>
  <c r="P575" i="3"/>
  <c r="P576" i="3"/>
  <c r="P577" i="3"/>
  <c r="P578" i="3"/>
  <c r="P579" i="3"/>
  <c r="P580" i="3"/>
  <c r="P581" i="3"/>
  <c r="P582" i="3"/>
  <c r="P583" i="3"/>
  <c r="P584" i="3"/>
  <c r="P585" i="3"/>
  <c r="P586" i="3"/>
  <c r="P587" i="3"/>
  <c r="P588" i="3"/>
  <c r="P589" i="3"/>
  <c r="P590" i="3"/>
  <c r="P591" i="3"/>
  <c r="P592" i="3"/>
  <c r="P593" i="3"/>
  <c r="P594" i="3"/>
  <c r="P595" i="3"/>
  <c r="P596" i="3"/>
  <c r="P597" i="3"/>
  <c r="P598" i="3"/>
  <c r="P599" i="3"/>
  <c r="P600" i="3"/>
  <c r="P601" i="3"/>
  <c r="P602" i="3"/>
  <c r="P603" i="3"/>
  <c r="P604" i="3"/>
  <c r="P605" i="3"/>
  <c r="P606" i="3"/>
  <c r="P607" i="3"/>
  <c r="P608" i="3"/>
  <c r="P609" i="3"/>
  <c r="P610" i="3"/>
  <c r="P611" i="3"/>
  <c r="P612" i="3"/>
  <c r="P613" i="3"/>
  <c r="P614" i="3"/>
  <c r="P615" i="3"/>
  <c r="P616" i="3"/>
  <c r="P617" i="3"/>
  <c r="P618" i="3"/>
  <c r="P619" i="3"/>
  <c r="P620" i="3"/>
  <c r="P621" i="3"/>
  <c r="P622" i="3"/>
  <c r="P623" i="3"/>
  <c r="P624" i="3"/>
  <c r="P625" i="3"/>
  <c r="P626" i="3"/>
  <c r="P627" i="3"/>
  <c r="P628" i="3"/>
  <c r="P629" i="3"/>
  <c r="P630" i="3"/>
  <c r="P631" i="3"/>
  <c r="P632" i="3"/>
  <c r="P633" i="3"/>
  <c r="P634" i="3"/>
  <c r="P635" i="3"/>
  <c r="P636" i="3"/>
  <c r="P637" i="3"/>
  <c r="P638" i="3"/>
  <c r="P639" i="3"/>
  <c r="P640" i="3"/>
  <c r="P641" i="3"/>
  <c r="P642" i="3"/>
  <c r="P643" i="3"/>
  <c r="P644" i="3"/>
  <c r="P645" i="3"/>
  <c r="P646" i="3"/>
  <c r="P647" i="3"/>
  <c r="P648" i="3"/>
  <c r="P649" i="3"/>
  <c r="P650" i="3"/>
  <c r="P651" i="3"/>
  <c r="P652" i="3"/>
  <c r="P653" i="3"/>
  <c r="P654" i="3"/>
  <c r="P655" i="3"/>
  <c r="P656" i="3"/>
  <c r="P657" i="3"/>
  <c r="P658" i="3"/>
  <c r="P659" i="3"/>
  <c r="P660" i="3"/>
  <c r="P661" i="3"/>
  <c r="P662" i="3"/>
  <c r="P663" i="3"/>
  <c r="P664" i="3"/>
  <c r="P665" i="3"/>
  <c r="P666" i="3"/>
  <c r="P667" i="3"/>
  <c r="P668" i="3"/>
  <c r="P669" i="3"/>
  <c r="P670" i="3"/>
  <c r="P671" i="3"/>
  <c r="P672" i="3"/>
  <c r="P673" i="3"/>
  <c r="P674" i="3"/>
  <c r="P675" i="3"/>
  <c r="P676" i="3"/>
  <c r="P677" i="3"/>
  <c r="P678" i="3"/>
  <c r="P679" i="3"/>
  <c r="P680" i="3"/>
  <c r="P681" i="3"/>
  <c r="P682" i="3"/>
  <c r="P683" i="3"/>
  <c r="P684" i="3"/>
  <c r="P685" i="3"/>
  <c r="P686" i="3"/>
  <c r="P687" i="3"/>
  <c r="P688" i="3"/>
  <c r="P689" i="3"/>
  <c r="P690" i="3"/>
  <c r="P691" i="3"/>
  <c r="P692" i="3"/>
  <c r="P693" i="3"/>
  <c r="P694" i="3"/>
  <c r="P695" i="3"/>
  <c r="P696" i="3"/>
  <c r="P697" i="3"/>
  <c r="P698" i="3"/>
  <c r="P699" i="3"/>
  <c r="P700" i="3"/>
  <c r="P701" i="3"/>
  <c r="P702" i="3"/>
  <c r="P703" i="3"/>
  <c r="P704" i="3"/>
  <c r="P705" i="3"/>
  <c r="P706" i="3"/>
  <c r="P707" i="3"/>
  <c r="P708" i="3"/>
  <c r="P709" i="3"/>
  <c r="P710" i="3"/>
  <c r="P711" i="3"/>
  <c r="P712" i="3"/>
  <c r="P713" i="3"/>
  <c r="P714" i="3"/>
  <c r="P715" i="3"/>
  <c r="P716" i="3"/>
  <c r="P717" i="3"/>
  <c r="P718" i="3"/>
  <c r="P719" i="3"/>
  <c r="P720" i="3"/>
  <c r="P721" i="3"/>
  <c r="P722" i="3"/>
  <c r="P723" i="3"/>
  <c r="P724" i="3"/>
  <c r="P725" i="3"/>
  <c r="P726" i="3"/>
  <c r="P727" i="3"/>
  <c r="P728" i="3"/>
  <c r="P729" i="3"/>
  <c r="P730" i="3"/>
  <c r="P731" i="3"/>
  <c r="P732" i="3"/>
  <c r="P733" i="3"/>
  <c r="P734" i="3"/>
  <c r="P735" i="3"/>
  <c r="P736" i="3"/>
  <c r="P737" i="3"/>
  <c r="P738" i="3"/>
  <c r="P739" i="3"/>
  <c r="P740" i="3"/>
  <c r="P741" i="3"/>
  <c r="P742" i="3"/>
  <c r="P743" i="3"/>
  <c r="P744" i="3"/>
  <c r="P745" i="3"/>
  <c r="P746" i="3"/>
  <c r="P747" i="3"/>
  <c r="P748" i="3"/>
  <c r="P749" i="3"/>
  <c r="P750" i="3"/>
  <c r="P751" i="3"/>
  <c r="P752" i="3"/>
  <c r="P753" i="3"/>
  <c r="P754" i="3"/>
  <c r="P755" i="3"/>
  <c r="P756" i="3"/>
  <c r="P757" i="3"/>
  <c r="P758" i="3"/>
  <c r="P759" i="3"/>
  <c r="P760" i="3"/>
  <c r="P761" i="3"/>
  <c r="P762" i="3"/>
  <c r="P763" i="3"/>
  <c r="P764" i="3"/>
  <c r="P765" i="3"/>
  <c r="P766" i="3"/>
  <c r="P767" i="3"/>
  <c r="P768" i="3"/>
  <c r="P769" i="3"/>
  <c r="P770" i="3"/>
  <c r="P771" i="3"/>
  <c r="P772" i="3"/>
  <c r="P773" i="3"/>
  <c r="P774" i="3"/>
  <c r="P775" i="3"/>
  <c r="P776" i="3"/>
  <c r="P777" i="3"/>
  <c r="P778" i="3"/>
  <c r="P779" i="3"/>
  <c r="P780" i="3"/>
  <c r="P781" i="3"/>
  <c r="P782" i="3"/>
  <c r="P783" i="3"/>
  <c r="P784" i="3"/>
  <c r="P785" i="3"/>
  <c r="P786" i="3"/>
  <c r="P787" i="3"/>
  <c r="P788" i="3"/>
  <c r="P789" i="3"/>
  <c r="P790" i="3"/>
  <c r="P791" i="3"/>
  <c r="P792" i="3"/>
  <c r="P793" i="3"/>
  <c r="P794" i="3"/>
  <c r="P795" i="3"/>
  <c r="P796" i="3"/>
  <c r="P797" i="3"/>
  <c r="P798" i="3"/>
  <c r="P799" i="3"/>
  <c r="P800" i="3"/>
  <c r="P801" i="3"/>
  <c r="P802" i="3"/>
  <c r="P803" i="3"/>
  <c r="P804" i="3"/>
  <c r="P2" i="3"/>
  <c r="R372" i="3" l="1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B639" i="8"/>
  <c r="B640" i="8"/>
  <c r="B641" i="8"/>
  <c r="B642" i="8"/>
  <c r="B643" i="8"/>
  <c r="B644" i="8"/>
  <c r="B645" i="8"/>
  <c r="B646" i="8"/>
  <c r="B647" i="8"/>
  <c r="B648" i="8"/>
  <c r="B649" i="8"/>
  <c r="B650" i="8"/>
  <c r="B651" i="8"/>
  <c r="B652" i="8"/>
  <c r="B653" i="8"/>
  <c r="B654" i="8"/>
  <c r="B655" i="8"/>
  <c r="B656" i="8"/>
  <c r="B657" i="8"/>
  <c r="B658" i="8"/>
  <c r="B659" i="8"/>
  <c r="B660" i="8"/>
  <c r="B661" i="8"/>
  <c r="B662" i="8"/>
  <c r="B663" i="8"/>
  <c r="B664" i="8"/>
  <c r="B665" i="8"/>
  <c r="B666" i="8"/>
  <c r="B667" i="8"/>
  <c r="B668" i="8"/>
  <c r="B669" i="8"/>
  <c r="B670" i="8"/>
  <c r="B671" i="8"/>
  <c r="B672" i="8"/>
  <c r="B673" i="8"/>
  <c r="B674" i="8"/>
  <c r="B675" i="8"/>
  <c r="B676" i="8"/>
  <c r="B677" i="8"/>
  <c r="B678" i="8"/>
  <c r="B679" i="8"/>
  <c r="B680" i="8"/>
  <c r="B681" i="8"/>
  <c r="B682" i="8"/>
  <c r="B683" i="8"/>
  <c r="B684" i="8"/>
  <c r="B685" i="8"/>
  <c r="B686" i="8"/>
  <c r="B687" i="8"/>
  <c r="B688" i="8"/>
  <c r="B689" i="8"/>
  <c r="B690" i="8"/>
  <c r="B691" i="8"/>
  <c r="B692" i="8"/>
  <c r="B693" i="8"/>
  <c r="B694" i="8"/>
  <c r="B695" i="8"/>
  <c r="B696" i="8"/>
  <c r="B697" i="8"/>
  <c r="B698" i="8"/>
  <c r="B699" i="8"/>
  <c r="B700" i="8"/>
  <c r="B701" i="8"/>
  <c r="B702" i="8"/>
  <c r="B703" i="8"/>
  <c r="B704" i="8"/>
  <c r="B705" i="8"/>
  <c r="B706" i="8"/>
  <c r="B707" i="8"/>
  <c r="B708" i="8"/>
  <c r="B709" i="8"/>
  <c r="B710" i="8"/>
  <c r="B711" i="8"/>
  <c r="B712" i="8"/>
  <c r="B713" i="8"/>
  <c r="B714" i="8"/>
  <c r="B715" i="8"/>
  <c r="B716" i="8"/>
  <c r="B717" i="8"/>
  <c r="B718" i="8"/>
  <c r="B719" i="8"/>
  <c r="B720" i="8"/>
  <c r="B721" i="8"/>
  <c r="B722" i="8"/>
  <c r="B723" i="8"/>
  <c r="B724" i="8"/>
  <c r="B725" i="8"/>
  <c r="B726" i="8"/>
  <c r="B727" i="8"/>
  <c r="B728" i="8"/>
  <c r="B729" i="8"/>
  <c r="B730" i="8"/>
  <c r="B731" i="8"/>
  <c r="B732" i="8"/>
  <c r="B733" i="8"/>
  <c r="B734" i="8"/>
  <c r="B735" i="8"/>
  <c r="B736" i="8"/>
  <c r="B737" i="8"/>
  <c r="B738" i="8"/>
  <c r="B739" i="8"/>
  <c r="B740" i="8"/>
  <c r="B741" i="8"/>
  <c r="B742" i="8"/>
  <c r="B743" i="8"/>
  <c r="B744" i="8"/>
  <c r="B745" i="8"/>
  <c r="B746" i="8"/>
  <c r="B747" i="8"/>
  <c r="B748" i="8"/>
  <c r="B749" i="8"/>
  <c r="B750" i="8"/>
  <c r="B751" i="8"/>
  <c r="B752" i="8"/>
  <c r="B753" i="8"/>
  <c r="B754" i="8"/>
  <c r="B755" i="8"/>
  <c r="B756" i="8"/>
  <c r="B757" i="8"/>
  <c r="B758" i="8"/>
  <c r="B759" i="8"/>
  <c r="B760" i="8"/>
  <c r="B761" i="8"/>
  <c r="B762" i="8"/>
  <c r="B763" i="8"/>
  <c r="B764" i="8"/>
  <c r="B765" i="8"/>
  <c r="B766" i="8"/>
  <c r="B767" i="8"/>
  <c r="B768" i="8"/>
  <c r="B769" i="8"/>
  <c r="B770" i="8"/>
  <c r="B771" i="8"/>
  <c r="B772" i="8"/>
  <c r="B773" i="8"/>
  <c r="B774" i="8"/>
  <c r="B775" i="8"/>
  <c r="B776" i="8"/>
  <c r="B777" i="8"/>
  <c r="B778" i="8"/>
  <c r="B779" i="8"/>
  <c r="B780" i="8"/>
  <c r="B781" i="8"/>
  <c r="B782" i="8"/>
  <c r="B783" i="8"/>
  <c r="B784" i="8"/>
  <c r="B785" i="8"/>
  <c r="B786" i="8"/>
  <c r="B787" i="8"/>
  <c r="B788" i="8"/>
  <c r="B789" i="8"/>
  <c r="B790" i="8"/>
  <c r="B791" i="8"/>
  <c r="B792" i="8"/>
  <c r="B793" i="8"/>
  <c r="B794" i="8"/>
  <c r="B795" i="8"/>
  <c r="B796" i="8"/>
  <c r="B797" i="8"/>
  <c r="B798" i="8"/>
  <c r="B799" i="8"/>
  <c r="B800" i="8"/>
  <c r="B801" i="8"/>
  <c r="B802" i="8"/>
  <c r="B803" i="8"/>
  <c r="B804" i="8"/>
  <c r="B805" i="8"/>
  <c r="B3" i="8"/>
  <c r="H4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H258" i="8"/>
  <c r="H259" i="8"/>
  <c r="H260" i="8"/>
  <c r="H261" i="8"/>
  <c r="H262" i="8"/>
  <c r="H263" i="8"/>
  <c r="H264" i="8"/>
  <c r="H265" i="8"/>
  <c r="H266" i="8"/>
  <c r="H267" i="8"/>
  <c r="H268" i="8"/>
  <c r="H269" i="8"/>
  <c r="H270" i="8"/>
  <c r="H271" i="8"/>
  <c r="H272" i="8"/>
  <c r="H273" i="8"/>
  <c r="H274" i="8"/>
  <c r="H275" i="8"/>
  <c r="H276" i="8"/>
  <c r="H277" i="8"/>
  <c r="H278" i="8"/>
  <c r="H279" i="8"/>
  <c r="H280" i="8"/>
  <c r="H281" i="8"/>
  <c r="H282" i="8"/>
  <c r="H283" i="8"/>
  <c r="H284" i="8"/>
  <c r="H285" i="8"/>
  <c r="H286" i="8"/>
  <c r="H287" i="8"/>
  <c r="H288" i="8"/>
  <c r="H289" i="8"/>
  <c r="H290" i="8"/>
  <c r="H291" i="8"/>
  <c r="H292" i="8"/>
  <c r="H293" i="8"/>
  <c r="H294" i="8"/>
  <c r="H295" i="8"/>
  <c r="H296" i="8"/>
  <c r="H297" i="8"/>
  <c r="H298" i="8"/>
  <c r="H299" i="8"/>
  <c r="H300" i="8"/>
  <c r="H301" i="8"/>
  <c r="H302" i="8"/>
  <c r="H303" i="8"/>
  <c r="H304" i="8"/>
  <c r="H305" i="8"/>
  <c r="H306" i="8"/>
  <c r="H307" i="8"/>
  <c r="H308" i="8"/>
  <c r="H309" i="8"/>
  <c r="H310" i="8"/>
  <c r="H311" i="8"/>
  <c r="H312" i="8"/>
  <c r="H313" i="8"/>
  <c r="H314" i="8"/>
  <c r="H315" i="8"/>
  <c r="H316" i="8"/>
  <c r="H317" i="8"/>
  <c r="H318" i="8"/>
  <c r="H319" i="8"/>
  <c r="H320" i="8"/>
  <c r="H321" i="8"/>
  <c r="H322" i="8"/>
  <c r="H323" i="8"/>
  <c r="H324" i="8"/>
  <c r="H325" i="8"/>
  <c r="H326" i="8"/>
  <c r="H327" i="8"/>
  <c r="H328" i="8"/>
  <c r="H329" i="8"/>
  <c r="H330" i="8"/>
  <c r="H331" i="8"/>
  <c r="H332" i="8"/>
  <c r="H333" i="8"/>
  <c r="H334" i="8"/>
  <c r="H335" i="8"/>
  <c r="H336" i="8"/>
  <c r="H337" i="8"/>
  <c r="H338" i="8"/>
  <c r="H339" i="8"/>
  <c r="H340" i="8"/>
  <c r="H341" i="8"/>
  <c r="H342" i="8"/>
  <c r="H343" i="8"/>
  <c r="H344" i="8"/>
  <c r="H345" i="8"/>
  <c r="H346" i="8"/>
  <c r="H347" i="8"/>
  <c r="H348" i="8"/>
  <c r="H349" i="8"/>
  <c r="H350" i="8"/>
  <c r="H351" i="8"/>
  <c r="H352" i="8"/>
  <c r="H353" i="8"/>
  <c r="H354" i="8"/>
  <c r="H355" i="8"/>
  <c r="H356" i="8"/>
  <c r="H357" i="8"/>
  <c r="H358" i="8"/>
  <c r="H359" i="8"/>
  <c r="H360" i="8"/>
  <c r="H361" i="8"/>
  <c r="H362" i="8"/>
  <c r="H363" i="8"/>
  <c r="H364" i="8"/>
  <c r="H365" i="8"/>
  <c r="H366" i="8"/>
  <c r="H367" i="8"/>
  <c r="H368" i="8"/>
  <c r="H369" i="8"/>
  <c r="H370" i="8"/>
  <c r="H371" i="8"/>
  <c r="H372" i="8"/>
  <c r="H373" i="8"/>
  <c r="H374" i="8"/>
  <c r="H375" i="8"/>
  <c r="H376" i="8"/>
  <c r="H377" i="8"/>
  <c r="H378" i="8"/>
  <c r="H379" i="8"/>
  <c r="H380" i="8"/>
  <c r="H381" i="8"/>
  <c r="H382" i="8"/>
  <c r="H383" i="8"/>
  <c r="H384" i="8"/>
  <c r="H385" i="8"/>
  <c r="H386" i="8"/>
  <c r="H387" i="8"/>
  <c r="H388" i="8"/>
  <c r="H389" i="8"/>
  <c r="H390" i="8"/>
  <c r="H391" i="8"/>
  <c r="H392" i="8"/>
  <c r="H393" i="8"/>
  <c r="H394" i="8"/>
  <c r="H395" i="8"/>
  <c r="H396" i="8"/>
  <c r="H397" i="8"/>
  <c r="H398" i="8"/>
  <c r="H399" i="8"/>
  <c r="H400" i="8"/>
  <c r="H401" i="8"/>
  <c r="H402" i="8"/>
  <c r="H403" i="8"/>
  <c r="H404" i="8"/>
  <c r="H405" i="8"/>
  <c r="H406" i="8"/>
  <c r="H407" i="8"/>
  <c r="H408" i="8"/>
  <c r="H409" i="8"/>
  <c r="H410" i="8"/>
  <c r="H411" i="8"/>
  <c r="H412" i="8"/>
  <c r="H413" i="8"/>
  <c r="H414" i="8"/>
  <c r="H415" i="8"/>
  <c r="H416" i="8"/>
  <c r="H417" i="8"/>
  <c r="H418" i="8"/>
  <c r="H419" i="8"/>
  <c r="H420" i="8"/>
  <c r="H421" i="8"/>
  <c r="H422" i="8"/>
  <c r="H423" i="8"/>
  <c r="H424" i="8"/>
  <c r="H425" i="8"/>
  <c r="H426" i="8"/>
  <c r="H427" i="8"/>
  <c r="H428" i="8"/>
  <c r="H429" i="8"/>
  <c r="H430" i="8"/>
  <c r="H431" i="8"/>
  <c r="H432" i="8"/>
  <c r="H433" i="8"/>
  <c r="H434" i="8"/>
  <c r="H435" i="8"/>
  <c r="H436" i="8"/>
  <c r="H437" i="8"/>
  <c r="H438" i="8"/>
  <c r="H439" i="8"/>
  <c r="H440" i="8"/>
  <c r="H441" i="8"/>
  <c r="H442" i="8"/>
  <c r="H443" i="8"/>
  <c r="H444" i="8"/>
  <c r="H445" i="8"/>
  <c r="H446" i="8"/>
  <c r="H447" i="8"/>
  <c r="H448" i="8"/>
  <c r="H449" i="8"/>
  <c r="H450" i="8"/>
  <c r="H451" i="8"/>
  <c r="H452" i="8"/>
  <c r="H453" i="8"/>
  <c r="H454" i="8"/>
  <c r="H455" i="8"/>
  <c r="H456" i="8"/>
  <c r="H457" i="8"/>
  <c r="H458" i="8"/>
  <c r="H459" i="8"/>
  <c r="H460" i="8"/>
  <c r="H461" i="8"/>
  <c r="H462" i="8"/>
  <c r="H463" i="8"/>
  <c r="H464" i="8"/>
  <c r="H465" i="8"/>
  <c r="H466" i="8"/>
  <c r="H467" i="8"/>
  <c r="H468" i="8"/>
  <c r="H469" i="8"/>
  <c r="H470" i="8"/>
  <c r="H471" i="8"/>
  <c r="H472" i="8"/>
  <c r="H473" i="8"/>
  <c r="H474" i="8"/>
  <c r="H475" i="8"/>
  <c r="H476" i="8"/>
  <c r="H477" i="8"/>
  <c r="H478" i="8"/>
  <c r="H479" i="8"/>
  <c r="H480" i="8"/>
  <c r="H481" i="8"/>
  <c r="H482" i="8"/>
  <c r="H483" i="8"/>
  <c r="H484" i="8"/>
  <c r="H485" i="8"/>
  <c r="H486" i="8"/>
  <c r="H487" i="8"/>
  <c r="H488" i="8"/>
  <c r="H489" i="8"/>
  <c r="H490" i="8"/>
  <c r="H491" i="8"/>
  <c r="H492" i="8"/>
  <c r="H493" i="8"/>
  <c r="H494" i="8"/>
  <c r="H495" i="8"/>
  <c r="H496" i="8"/>
  <c r="H497" i="8"/>
  <c r="H498" i="8"/>
  <c r="H499" i="8"/>
  <c r="H500" i="8"/>
  <c r="H501" i="8"/>
  <c r="H502" i="8"/>
  <c r="H503" i="8"/>
  <c r="H504" i="8"/>
  <c r="H505" i="8"/>
  <c r="H506" i="8"/>
  <c r="H507" i="8"/>
  <c r="H508" i="8"/>
  <c r="H509" i="8"/>
  <c r="H510" i="8"/>
  <c r="H511" i="8"/>
  <c r="H512" i="8"/>
  <c r="H513" i="8"/>
  <c r="H514" i="8"/>
  <c r="H515" i="8"/>
  <c r="H516" i="8"/>
  <c r="H517" i="8"/>
  <c r="H518" i="8"/>
  <c r="H519" i="8"/>
  <c r="H520" i="8"/>
  <c r="H521" i="8"/>
  <c r="H522" i="8"/>
  <c r="H523" i="8"/>
  <c r="H524" i="8"/>
  <c r="H525" i="8"/>
  <c r="H526" i="8"/>
  <c r="H527" i="8"/>
  <c r="H528" i="8"/>
  <c r="H529" i="8"/>
  <c r="H530" i="8"/>
  <c r="H531" i="8"/>
  <c r="H532" i="8"/>
  <c r="H533" i="8"/>
  <c r="H534" i="8"/>
  <c r="H535" i="8"/>
  <c r="H536" i="8"/>
  <c r="H537" i="8"/>
  <c r="H538" i="8"/>
  <c r="H539" i="8"/>
  <c r="H540" i="8"/>
  <c r="H541" i="8"/>
  <c r="H542" i="8"/>
  <c r="H543" i="8"/>
  <c r="H544" i="8"/>
  <c r="H545" i="8"/>
  <c r="H546" i="8"/>
  <c r="H547" i="8"/>
  <c r="H548" i="8"/>
  <c r="H549" i="8"/>
  <c r="H550" i="8"/>
  <c r="H551" i="8"/>
  <c r="H552" i="8"/>
  <c r="H553" i="8"/>
  <c r="H554" i="8"/>
  <c r="H555" i="8"/>
  <c r="H556" i="8"/>
  <c r="H557" i="8"/>
  <c r="H558" i="8"/>
  <c r="H559" i="8"/>
  <c r="H560" i="8"/>
  <c r="H561" i="8"/>
  <c r="H562" i="8"/>
  <c r="H563" i="8"/>
  <c r="H564" i="8"/>
  <c r="H565" i="8"/>
  <c r="H566" i="8"/>
  <c r="H567" i="8"/>
  <c r="H568" i="8"/>
  <c r="H569" i="8"/>
  <c r="H570" i="8"/>
  <c r="H571" i="8"/>
  <c r="H572" i="8"/>
  <c r="H573" i="8"/>
  <c r="H574" i="8"/>
  <c r="H575" i="8"/>
  <c r="H576" i="8"/>
  <c r="H577" i="8"/>
  <c r="H578" i="8"/>
  <c r="H579" i="8"/>
  <c r="H580" i="8"/>
  <c r="H581" i="8"/>
  <c r="H582" i="8"/>
  <c r="H583" i="8"/>
  <c r="H584" i="8"/>
  <c r="H585" i="8"/>
  <c r="H586" i="8"/>
  <c r="H587" i="8"/>
  <c r="H588" i="8"/>
  <c r="H589" i="8"/>
  <c r="H590" i="8"/>
  <c r="H591" i="8"/>
  <c r="H592" i="8"/>
  <c r="H593" i="8"/>
  <c r="H594" i="8"/>
  <c r="H595" i="8"/>
  <c r="H596" i="8"/>
  <c r="H597" i="8"/>
  <c r="H598" i="8"/>
  <c r="H599" i="8"/>
  <c r="H600" i="8"/>
  <c r="H601" i="8"/>
  <c r="H602" i="8"/>
  <c r="H603" i="8"/>
  <c r="H604" i="8"/>
  <c r="H605" i="8"/>
  <c r="H606" i="8"/>
  <c r="H607" i="8"/>
  <c r="H608" i="8"/>
  <c r="H609" i="8"/>
  <c r="H610" i="8"/>
  <c r="H611" i="8"/>
  <c r="H612" i="8"/>
  <c r="H613" i="8"/>
  <c r="H614" i="8"/>
  <c r="H615" i="8"/>
  <c r="H616" i="8"/>
  <c r="H617" i="8"/>
  <c r="H618" i="8"/>
  <c r="H619" i="8"/>
  <c r="H620" i="8"/>
  <c r="H621" i="8"/>
  <c r="H622" i="8"/>
  <c r="H623" i="8"/>
  <c r="H624" i="8"/>
  <c r="H625" i="8"/>
  <c r="H626" i="8"/>
  <c r="H627" i="8"/>
  <c r="H628" i="8"/>
  <c r="H629" i="8"/>
  <c r="H630" i="8"/>
  <c r="H631" i="8"/>
  <c r="H632" i="8"/>
  <c r="H633" i="8"/>
  <c r="H634" i="8"/>
  <c r="H635" i="8"/>
  <c r="H636" i="8"/>
  <c r="H637" i="8"/>
  <c r="H638" i="8"/>
  <c r="H639" i="8"/>
  <c r="H640" i="8"/>
  <c r="H641" i="8"/>
  <c r="H642" i="8"/>
  <c r="H643" i="8"/>
  <c r="H644" i="8"/>
  <c r="H645" i="8"/>
  <c r="H646" i="8"/>
  <c r="H647" i="8"/>
  <c r="H648" i="8"/>
  <c r="H649" i="8"/>
  <c r="H650" i="8"/>
  <c r="H651" i="8"/>
  <c r="H652" i="8"/>
  <c r="H653" i="8"/>
  <c r="H654" i="8"/>
  <c r="H655" i="8"/>
  <c r="H656" i="8"/>
  <c r="H657" i="8"/>
  <c r="H658" i="8"/>
  <c r="H659" i="8"/>
  <c r="H660" i="8"/>
  <c r="H661" i="8"/>
  <c r="H662" i="8"/>
  <c r="H663" i="8"/>
  <c r="H664" i="8"/>
  <c r="H665" i="8"/>
  <c r="H666" i="8"/>
  <c r="H667" i="8"/>
  <c r="H668" i="8"/>
  <c r="H669" i="8"/>
  <c r="H670" i="8"/>
  <c r="H671" i="8"/>
  <c r="H672" i="8"/>
  <c r="H673" i="8"/>
  <c r="H674" i="8"/>
  <c r="H675" i="8"/>
  <c r="H676" i="8"/>
  <c r="H677" i="8"/>
  <c r="H678" i="8"/>
  <c r="H679" i="8"/>
  <c r="H680" i="8"/>
  <c r="H681" i="8"/>
  <c r="H682" i="8"/>
  <c r="H683" i="8"/>
  <c r="H684" i="8"/>
  <c r="H685" i="8"/>
  <c r="H686" i="8"/>
  <c r="H687" i="8"/>
  <c r="H688" i="8"/>
  <c r="H689" i="8"/>
  <c r="H690" i="8"/>
  <c r="H691" i="8"/>
  <c r="H692" i="8"/>
  <c r="H693" i="8"/>
  <c r="H694" i="8"/>
  <c r="H695" i="8"/>
  <c r="H696" i="8"/>
  <c r="H697" i="8"/>
  <c r="H698" i="8"/>
  <c r="H699" i="8"/>
  <c r="H700" i="8"/>
  <c r="H701" i="8"/>
  <c r="H702" i="8"/>
  <c r="H703" i="8"/>
  <c r="H704" i="8"/>
  <c r="H705" i="8"/>
  <c r="H706" i="8"/>
  <c r="H707" i="8"/>
  <c r="H708" i="8"/>
  <c r="H709" i="8"/>
  <c r="H710" i="8"/>
  <c r="H711" i="8"/>
  <c r="H712" i="8"/>
  <c r="H713" i="8"/>
  <c r="H714" i="8"/>
  <c r="H715" i="8"/>
  <c r="H716" i="8"/>
  <c r="H717" i="8"/>
  <c r="H718" i="8"/>
  <c r="H719" i="8"/>
  <c r="H720" i="8"/>
  <c r="H721" i="8"/>
  <c r="H722" i="8"/>
  <c r="H723" i="8"/>
  <c r="H724" i="8"/>
  <c r="H725" i="8"/>
  <c r="H726" i="8"/>
  <c r="H727" i="8"/>
  <c r="H728" i="8"/>
  <c r="H729" i="8"/>
  <c r="H730" i="8"/>
  <c r="H731" i="8"/>
  <c r="H732" i="8"/>
  <c r="H733" i="8"/>
  <c r="H734" i="8"/>
  <c r="H735" i="8"/>
  <c r="H736" i="8"/>
  <c r="H737" i="8"/>
  <c r="H738" i="8"/>
  <c r="H739" i="8"/>
  <c r="H740" i="8"/>
  <c r="H741" i="8"/>
  <c r="H742" i="8"/>
  <c r="H743" i="8"/>
  <c r="H744" i="8"/>
  <c r="H745" i="8"/>
  <c r="H746" i="8"/>
  <c r="H747" i="8"/>
  <c r="H748" i="8"/>
  <c r="H749" i="8"/>
  <c r="H750" i="8"/>
  <c r="H751" i="8"/>
  <c r="H752" i="8"/>
  <c r="H753" i="8"/>
  <c r="H754" i="8"/>
  <c r="H755" i="8"/>
  <c r="H756" i="8"/>
  <c r="H757" i="8"/>
  <c r="H758" i="8"/>
  <c r="H759" i="8"/>
  <c r="H760" i="8"/>
  <c r="H761" i="8"/>
  <c r="H762" i="8"/>
  <c r="H763" i="8"/>
  <c r="H764" i="8"/>
  <c r="H765" i="8"/>
  <c r="H766" i="8"/>
  <c r="H767" i="8"/>
  <c r="H768" i="8"/>
  <c r="H769" i="8"/>
  <c r="H770" i="8"/>
  <c r="H771" i="8"/>
  <c r="H772" i="8"/>
  <c r="H773" i="8"/>
  <c r="H774" i="8"/>
  <c r="H775" i="8"/>
  <c r="H776" i="8"/>
  <c r="H777" i="8"/>
  <c r="H778" i="8"/>
  <c r="H779" i="8"/>
  <c r="H780" i="8"/>
  <c r="H781" i="8"/>
  <c r="H782" i="8"/>
  <c r="H783" i="8"/>
  <c r="H784" i="8"/>
  <c r="H785" i="8"/>
  <c r="H786" i="8"/>
  <c r="H787" i="8"/>
  <c r="H788" i="8"/>
  <c r="H789" i="8"/>
  <c r="H790" i="8"/>
  <c r="H791" i="8"/>
  <c r="H792" i="8"/>
  <c r="H793" i="8"/>
  <c r="H794" i="8"/>
  <c r="H795" i="8"/>
  <c r="H796" i="8"/>
  <c r="H797" i="8"/>
  <c r="H798" i="8"/>
  <c r="H799" i="8"/>
  <c r="H800" i="8"/>
  <c r="H801" i="8"/>
  <c r="H802" i="8"/>
  <c r="H803" i="8"/>
  <c r="H804" i="8"/>
  <c r="H805" i="8"/>
  <c r="H3" i="8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C639" i="8"/>
  <c r="C640" i="8"/>
  <c r="C641" i="8"/>
  <c r="C642" i="8"/>
  <c r="C643" i="8"/>
  <c r="C644" i="8"/>
  <c r="C645" i="8"/>
  <c r="C646" i="8"/>
  <c r="C647" i="8"/>
  <c r="C648" i="8"/>
  <c r="C649" i="8"/>
  <c r="C650" i="8"/>
  <c r="C651" i="8"/>
  <c r="C652" i="8"/>
  <c r="C653" i="8"/>
  <c r="C654" i="8"/>
  <c r="C655" i="8"/>
  <c r="C656" i="8"/>
  <c r="C657" i="8"/>
  <c r="C658" i="8"/>
  <c r="C659" i="8"/>
  <c r="C660" i="8"/>
  <c r="C661" i="8"/>
  <c r="C662" i="8"/>
  <c r="C663" i="8"/>
  <c r="C664" i="8"/>
  <c r="C665" i="8"/>
  <c r="C666" i="8"/>
  <c r="C667" i="8"/>
  <c r="C668" i="8"/>
  <c r="C669" i="8"/>
  <c r="C670" i="8"/>
  <c r="C671" i="8"/>
  <c r="C672" i="8"/>
  <c r="C673" i="8"/>
  <c r="C674" i="8"/>
  <c r="C675" i="8"/>
  <c r="C676" i="8"/>
  <c r="C677" i="8"/>
  <c r="C678" i="8"/>
  <c r="C679" i="8"/>
  <c r="C680" i="8"/>
  <c r="C681" i="8"/>
  <c r="C682" i="8"/>
  <c r="C683" i="8"/>
  <c r="C684" i="8"/>
  <c r="C685" i="8"/>
  <c r="C686" i="8"/>
  <c r="C687" i="8"/>
  <c r="C688" i="8"/>
  <c r="C689" i="8"/>
  <c r="C690" i="8"/>
  <c r="C691" i="8"/>
  <c r="C692" i="8"/>
  <c r="C693" i="8"/>
  <c r="C694" i="8"/>
  <c r="C695" i="8"/>
  <c r="C696" i="8"/>
  <c r="C697" i="8"/>
  <c r="C698" i="8"/>
  <c r="C699" i="8"/>
  <c r="C700" i="8"/>
  <c r="C701" i="8"/>
  <c r="C702" i="8"/>
  <c r="C703" i="8"/>
  <c r="C704" i="8"/>
  <c r="C705" i="8"/>
  <c r="C706" i="8"/>
  <c r="C707" i="8"/>
  <c r="C708" i="8"/>
  <c r="C709" i="8"/>
  <c r="C710" i="8"/>
  <c r="C711" i="8"/>
  <c r="C712" i="8"/>
  <c r="C713" i="8"/>
  <c r="C714" i="8"/>
  <c r="C715" i="8"/>
  <c r="C716" i="8"/>
  <c r="C717" i="8"/>
  <c r="C718" i="8"/>
  <c r="C719" i="8"/>
  <c r="C720" i="8"/>
  <c r="C721" i="8"/>
  <c r="C722" i="8"/>
  <c r="C723" i="8"/>
  <c r="C724" i="8"/>
  <c r="C725" i="8"/>
  <c r="C726" i="8"/>
  <c r="C727" i="8"/>
  <c r="C728" i="8"/>
  <c r="C729" i="8"/>
  <c r="C730" i="8"/>
  <c r="C731" i="8"/>
  <c r="C732" i="8"/>
  <c r="C733" i="8"/>
  <c r="C734" i="8"/>
  <c r="C735" i="8"/>
  <c r="C736" i="8"/>
  <c r="C737" i="8"/>
  <c r="C738" i="8"/>
  <c r="C739" i="8"/>
  <c r="C740" i="8"/>
  <c r="C741" i="8"/>
  <c r="C742" i="8"/>
  <c r="C743" i="8"/>
  <c r="C744" i="8"/>
  <c r="C745" i="8"/>
  <c r="C746" i="8"/>
  <c r="C747" i="8"/>
  <c r="C748" i="8"/>
  <c r="C749" i="8"/>
  <c r="C750" i="8"/>
  <c r="C751" i="8"/>
  <c r="C752" i="8"/>
  <c r="C753" i="8"/>
  <c r="C754" i="8"/>
  <c r="C755" i="8"/>
  <c r="C756" i="8"/>
  <c r="C757" i="8"/>
  <c r="C758" i="8"/>
  <c r="C759" i="8"/>
  <c r="C760" i="8"/>
  <c r="C761" i="8"/>
  <c r="C762" i="8"/>
  <c r="C763" i="8"/>
  <c r="C764" i="8"/>
  <c r="C765" i="8"/>
  <c r="C766" i="8"/>
  <c r="C767" i="8"/>
  <c r="C768" i="8"/>
  <c r="C769" i="8"/>
  <c r="C770" i="8"/>
  <c r="C771" i="8"/>
  <c r="C772" i="8"/>
  <c r="C773" i="8"/>
  <c r="C774" i="8"/>
  <c r="C775" i="8"/>
  <c r="C776" i="8"/>
  <c r="C777" i="8"/>
  <c r="C778" i="8"/>
  <c r="C779" i="8"/>
  <c r="C780" i="8"/>
  <c r="C781" i="8"/>
  <c r="C782" i="8"/>
  <c r="C783" i="8"/>
  <c r="C784" i="8"/>
  <c r="C785" i="8"/>
  <c r="C786" i="8"/>
  <c r="C787" i="8"/>
  <c r="C788" i="8"/>
  <c r="C789" i="8"/>
  <c r="C790" i="8"/>
  <c r="C791" i="8"/>
  <c r="C792" i="8"/>
  <c r="C793" i="8"/>
  <c r="C794" i="8"/>
  <c r="C795" i="8"/>
  <c r="C796" i="8"/>
  <c r="C797" i="8"/>
  <c r="C798" i="8"/>
  <c r="C799" i="8"/>
  <c r="C800" i="8"/>
  <c r="C801" i="8"/>
  <c r="C802" i="8"/>
  <c r="C803" i="8"/>
  <c r="C804" i="8"/>
  <c r="C805" i="8"/>
  <c r="D203" i="8"/>
  <c r="D230" i="8"/>
  <c r="D329" i="8"/>
  <c r="D340" i="8"/>
  <c r="D383" i="8"/>
  <c r="D394" i="8"/>
  <c r="D494" i="8"/>
  <c r="D502" i="8"/>
  <c r="D518" i="8"/>
  <c r="D532" i="8"/>
  <c r="D556" i="8"/>
  <c r="D565" i="8"/>
  <c r="D574" i="8"/>
  <c r="D583" i="8"/>
  <c r="D610" i="8"/>
  <c r="D619" i="8"/>
  <c r="D628" i="8"/>
  <c r="D637" i="8"/>
  <c r="D664" i="8"/>
  <c r="D673" i="8"/>
  <c r="D682" i="8"/>
  <c r="D691" i="8"/>
  <c r="D718" i="8"/>
  <c r="D727" i="8"/>
  <c r="D736" i="8"/>
  <c r="D745" i="8"/>
  <c r="D772" i="8"/>
  <c r="D781" i="8"/>
  <c r="D790" i="8"/>
  <c r="D799" i="8"/>
  <c r="D2" i="8"/>
  <c r="D257" i="8" s="1"/>
  <c r="X304" i="1"/>
  <c r="W304" i="1"/>
  <c r="D763" i="8" l="1"/>
  <c r="D709" i="8"/>
  <c r="D655" i="8"/>
  <c r="D601" i="8"/>
  <c r="D547" i="8"/>
  <c r="D478" i="8"/>
  <c r="D284" i="8"/>
  <c r="D754" i="8"/>
  <c r="D700" i="8"/>
  <c r="D646" i="8"/>
  <c r="D592" i="8"/>
  <c r="D538" i="8"/>
  <c r="D437" i="8"/>
  <c r="D9" i="8"/>
  <c r="D18" i="8"/>
  <c r="D27" i="8"/>
  <c r="D36" i="8"/>
  <c r="D45" i="8"/>
  <c r="D54" i="8"/>
  <c r="D63" i="8"/>
  <c r="D72" i="8"/>
  <c r="D5" i="8"/>
  <c r="D16" i="8"/>
  <c r="D29" i="8"/>
  <c r="D40" i="8"/>
  <c r="D42" i="8"/>
  <c r="D44" i="8"/>
  <c r="D55" i="8"/>
  <c r="D57" i="8"/>
  <c r="D59" i="8"/>
  <c r="D70" i="8"/>
  <c r="D86" i="8"/>
  <c r="D95" i="8"/>
  <c r="D152" i="8"/>
  <c r="D155" i="8"/>
  <c r="D158" i="8"/>
  <c r="D161" i="8"/>
  <c r="D164" i="8"/>
  <c r="D167" i="8"/>
  <c r="D4" i="8"/>
  <c r="D6" i="8"/>
  <c r="D8" i="8"/>
  <c r="D19" i="8"/>
  <c r="D21" i="8"/>
  <c r="D23" i="8"/>
  <c r="D34" i="8"/>
  <c r="D47" i="8"/>
  <c r="D58" i="8"/>
  <c r="D60" i="8"/>
  <c r="D62" i="8"/>
  <c r="D73" i="8"/>
  <c r="D75" i="8"/>
  <c r="D77" i="8"/>
  <c r="D83" i="8"/>
  <c r="D92" i="8"/>
  <c r="D151" i="8"/>
  <c r="D154" i="8"/>
  <c r="D157" i="8"/>
  <c r="D160" i="8"/>
  <c r="D163" i="8"/>
  <c r="D166" i="8"/>
  <c r="D169" i="8"/>
  <c r="D172" i="8"/>
  <c r="D175" i="8"/>
  <c r="D178" i="8"/>
  <c r="D181" i="8"/>
  <c r="D12" i="8"/>
  <c r="D22" i="8"/>
  <c r="D25" i="8"/>
  <c r="D38" i="8"/>
  <c r="D41" i="8"/>
  <c r="D51" i="8"/>
  <c r="D64" i="8"/>
  <c r="D80" i="8"/>
  <c r="D88" i="8"/>
  <c r="D103" i="8"/>
  <c r="D112" i="8"/>
  <c r="D121" i="8"/>
  <c r="D130" i="8"/>
  <c r="D139" i="8"/>
  <c r="D148" i="8"/>
  <c r="D150" i="8"/>
  <c r="D159" i="8"/>
  <c r="D168" i="8"/>
  <c r="D177" i="8"/>
  <c r="D10" i="8"/>
  <c r="D26" i="8"/>
  <c r="D39" i="8"/>
  <c r="D49" i="8"/>
  <c r="D52" i="8"/>
  <c r="D65" i="8"/>
  <c r="D68" i="8"/>
  <c r="D78" i="8"/>
  <c r="D81" i="8"/>
  <c r="D89" i="8"/>
  <c r="D97" i="8"/>
  <c r="D106" i="8"/>
  <c r="D115" i="8"/>
  <c r="D124" i="8"/>
  <c r="D133" i="8"/>
  <c r="D142" i="8"/>
  <c r="D153" i="8"/>
  <c r="D162" i="8"/>
  <c r="D174" i="8"/>
  <c r="D13" i="8"/>
  <c r="D32" i="8"/>
  <c r="D37" i="8"/>
  <c r="D61" i="8"/>
  <c r="D66" i="8"/>
  <c r="D71" i="8"/>
  <c r="D76" i="8"/>
  <c r="D100" i="8"/>
  <c r="D110" i="8"/>
  <c r="D117" i="8"/>
  <c r="D127" i="8"/>
  <c r="D137" i="8"/>
  <c r="D144" i="8"/>
  <c r="D14" i="8"/>
  <c r="D24" i="8"/>
  <c r="D48" i="8"/>
  <c r="D53" i="8"/>
  <c r="D90" i="8"/>
  <c r="D94" i="8"/>
  <c r="D101" i="8"/>
  <c r="D108" i="8"/>
  <c r="D118" i="8"/>
  <c r="D128" i="8"/>
  <c r="D135" i="8"/>
  <c r="D15" i="8"/>
  <c r="D20" i="8"/>
  <c r="D30" i="8"/>
  <c r="D69" i="8"/>
  <c r="D82" i="8"/>
  <c r="D87" i="8"/>
  <c r="D98" i="8"/>
  <c r="D102" i="8"/>
  <c r="D105" i="8"/>
  <c r="D122" i="8"/>
  <c r="D125" i="8"/>
  <c r="D129" i="8"/>
  <c r="D132" i="8"/>
  <c r="D149" i="8"/>
  <c r="D182" i="8"/>
  <c r="D189" i="8"/>
  <c r="D191" i="8"/>
  <c r="D198" i="8"/>
  <c r="D33" i="8"/>
  <c r="D43" i="8"/>
  <c r="D104" i="8"/>
  <c r="D111" i="8"/>
  <c r="D131" i="8"/>
  <c r="D138" i="8"/>
  <c r="D170" i="8"/>
  <c r="D173" i="8"/>
  <c r="D180" i="8"/>
  <c r="D183" i="8"/>
  <c r="D188" i="8"/>
  <c r="D199" i="8"/>
  <c r="D208" i="8"/>
  <c r="D217" i="8"/>
  <c r="D226" i="8"/>
  <c r="D235" i="8"/>
  <c r="D244" i="8"/>
  <c r="D253" i="8"/>
  <c r="D262" i="8"/>
  <c r="D271" i="8"/>
  <c r="D280" i="8"/>
  <c r="D289" i="8"/>
  <c r="D297" i="8"/>
  <c r="D306" i="8"/>
  <c r="D315" i="8"/>
  <c r="D324" i="8"/>
  <c r="D333" i="8"/>
  <c r="D342" i="8"/>
  <c r="D351" i="8"/>
  <c r="D360" i="8"/>
  <c r="D369" i="8"/>
  <c r="D378" i="8"/>
  <c r="D387" i="8"/>
  <c r="D396" i="8"/>
  <c r="D405" i="8"/>
  <c r="D414" i="8"/>
  <c r="D423" i="8"/>
  <c r="D432" i="8"/>
  <c r="D441" i="8"/>
  <c r="D450" i="8"/>
  <c r="D459" i="8"/>
  <c r="D468" i="8"/>
  <c r="D477" i="8"/>
  <c r="D486" i="8"/>
  <c r="D495" i="8"/>
  <c r="D504" i="8"/>
  <c r="D513" i="8"/>
  <c r="D7" i="8"/>
  <c r="D17" i="8"/>
  <c r="D46" i="8"/>
  <c r="D56" i="8"/>
  <c r="D84" i="8"/>
  <c r="D113" i="8"/>
  <c r="D120" i="8"/>
  <c r="D171" i="8"/>
  <c r="D192" i="8"/>
  <c r="D197" i="8"/>
  <c r="D202" i="8"/>
  <c r="D211" i="8"/>
  <c r="D220" i="8"/>
  <c r="D229" i="8"/>
  <c r="D238" i="8"/>
  <c r="D247" i="8"/>
  <c r="D256" i="8"/>
  <c r="D265" i="8"/>
  <c r="D274" i="8"/>
  <c r="D283" i="8"/>
  <c r="D292" i="8"/>
  <c r="D294" i="8"/>
  <c r="D303" i="8"/>
  <c r="D312" i="8"/>
  <c r="D321" i="8"/>
  <c r="D330" i="8"/>
  <c r="D339" i="8"/>
  <c r="D348" i="8"/>
  <c r="D357" i="8"/>
  <c r="D366" i="8"/>
  <c r="D375" i="8"/>
  <c r="D384" i="8"/>
  <c r="D393" i="8"/>
  <c r="D402" i="8"/>
  <c r="D411" i="8"/>
  <c r="D420" i="8"/>
  <c r="D429" i="8"/>
  <c r="D438" i="8"/>
  <c r="D447" i="8"/>
  <c r="D456" i="8"/>
  <c r="D465" i="8"/>
  <c r="D474" i="8"/>
  <c r="D483" i="8"/>
  <c r="D492" i="8"/>
  <c r="D501" i="8"/>
  <c r="D510" i="8"/>
  <c r="D519" i="8"/>
  <c r="D28" i="8"/>
  <c r="D67" i="8"/>
  <c r="D85" i="8"/>
  <c r="D93" i="8"/>
  <c r="D107" i="8"/>
  <c r="D114" i="8"/>
  <c r="D134" i="8"/>
  <c r="D140" i="8"/>
  <c r="D145" i="8"/>
  <c r="D184" i="8"/>
  <c r="D187" i="8"/>
  <c r="D195" i="8"/>
  <c r="D200" i="8"/>
  <c r="D207" i="8"/>
  <c r="D209" i="8"/>
  <c r="D216" i="8"/>
  <c r="D218" i="8"/>
  <c r="D225" i="8"/>
  <c r="D227" i="8"/>
  <c r="D234" i="8"/>
  <c r="D236" i="8"/>
  <c r="D243" i="8"/>
  <c r="D245" i="8"/>
  <c r="D252" i="8"/>
  <c r="D254" i="8"/>
  <c r="D261" i="8"/>
  <c r="D263" i="8"/>
  <c r="D270" i="8"/>
  <c r="D272" i="8"/>
  <c r="D279" i="8"/>
  <c r="D281" i="8"/>
  <c r="D288" i="8"/>
  <c r="D290" i="8"/>
  <c r="D296" i="8"/>
  <c r="D298" i="8"/>
  <c r="D305" i="8"/>
  <c r="D307" i="8"/>
  <c r="D314" i="8"/>
  <c r="D316" i="8"/>
  <c r="D323" i="8"/>
  <c r="D325" i="8"/>
  <c r="D332" i="8"/>
  <c r="D334" i="8"/>
  <c r="D341" i="8"/>
  <c r="D343" i="8"/>
  <c r="D350" i="8"/>
  <c r="D352" i="8"/>
  <c r="D359" i="8"/>
  <c r="D361" i="8"/>
  <c r="D368" i="8"/>
  <c r="D370" i="8"/>
  <c r="D377" i="8"/>
  <c r="D379" i="8"/>
  <c r="D386" i="8"/>
  <c r="D388" i="8"/>
  <c r="D395" i="8"/>
  <c r="D397" i="8"/>
  <c r="D404" i="8"/>
  <c r="D406" i="8"/>
  <c r="D413" i="8"/>
  <c r="D415" i="8"/>
  <c r="D422" i="8"/>
  <c r="D424" i="8"/>
  <c r="D431" i="8"/>
  <c r="D433" i="8"/>
  <c r="D35" i="8"/>
  <c r="D74" i="8"/>
  <c r="D91" i="8"/>
  <c r="D119" i="8"/>
  <c r="D143" i="8"/>
  <c r="D194" i="8"/>
  <c r="D204" i="8"/>
  <c r="D213" i="8"/>
  <c r="D222" i="8"/>
  <c r="D231" i="8"/>
  <c r="D240" i="8"/>
  <c r="D249" i="8"/>
  <c r="D258" i="8"/>
  <c r="D267" i="8"/>
  <c r="D276" i="8"/>
  <c r="D285" i="8"/>
  <c r="D301" i="8"/>
  <c r="D308" i="8"/>
  <c r="D319" i="8"/>
  <c r="D326" i="8"/>
  <c r="D337" i="8"/>
  <c r="D344" i="8"/>
  <c r="D355" i="8"/>
  <c r="D362" i="8"/>
  <c r="D373" i="8"/>
  <c r="D380" i="8"/>
  <c r="D391" i="8"/>
  <c r="D398" i="8"/>
  <c r="D409" i="8"/>
  <c r="D416" i="8"/>
  <c r="D427" i="8"/>
  <c r="D434" i="8"/>
  <c r="D443" i="8"/>
  <c r="D454" i="8"/>
  <c r="D462" i="8"/>
  <c r="D470" i="8"/>
  <c r="D481" i="8"/>
  <c r="D489" i="8"/>
  <c r="D497" i="8"/>
  <c r="D508" i="8"/>
  <c r="D516" i="8"/>
  <c r="D528" i="8"/>
  <c r="D79" i="8"/>
  <c r="D109" i="8"/>
  <c r="D136" i="8"/>
  <c r="D146" i="8"/>
  <c r="D156" i="8"/>
  <c r="D165" i="8"/>
  <c r="D190" i="8"/>
  <c r="D205" i="8"/>
  <c r="D214" i="8"/>
  <c r="D223" i="8"/>
  <c r="D232" i="8"/>
  <c r="D241" i="8"/>
  <c r="D250" i="8"/>
  <c r="D259" i="8"/>
  <c r="D268" i="8"/>
  <c r="D277" i="8"/>
  <c r="D286" i="8"/>
  <c r="D309" i="8"/>
  <c r="D327" i="8"/>
  <c r="D345" i="8"/>
  <c r="D363" i="8"/>
  <c r="D381" i="8"/>
  <c r="D399" i="8"/>
  <c r="D417" i="8"/>
  <c r="D435" i="8"/>
  <c r="D446" i="8"/>
  <c r="D449" i="8"/>
  <c r="D457" i="8"/>
  <c r="D460" i="8"/>
  <c r="D473" i="8"/>
  <c r="D476" i="8"/>
  <c r="D484" i="8"/>
  <c r="D487" i="8"/>
  <c r="D500" i="8"/>
  <c r="D503" i="8"/>
  <c r="D511" i="8"/>
  <c r="D514" i="8"/>
  <c r="D524" i="8"/>
  <c r="D526" i="8"/>
  <c r="D533" i="8"/>
  <c r="D535" i="8"/>
  <c r="D540" i="8"/>
  <c r="D543" i="8"/>
  <c r="D546" i="8"/>
  <c r="D549" i="8"/>
  <c r="D552" i="8"/>
  <c r="D555" i="8"/>
  <c r="D558" i="8"/>
  <c r="D561" i="8"/>
  <c r="D564" i="8"/>
  <c r="D567" i="8"/>
  <c r="D570" i="8"/>
  <c r="D573" i="8"/>
  <c r="D576" i="8"/>
  <c r="D579" i="8"/>
  <c r="D582" i="8"/>
  <c r="D585" i="8"/>
  <c r="D588" i="8"/>
  <c r="D591" i="8"/>
  <c r="D594" i="8"/>
  <c r="D597" i="8"/>
  <c r="D600" i="8"/>
  <c r="D603" i="8"/>
  <c r="D606" i="8"/>
  <c r="D609" i="8"/>
  <c r="D612" i="8"/>
  <c r="D615" i="8"/>
  <c r="D618" i="8"/>
  <c r="D621" i="8"/>
  <c r="D624" i="8"/>
  <c r="D627" i="8"/>
  <c r="D630" i="8"/>
  <c r="D633" i="8"/>
  <c r="D636" i="8"/>
  <c r="D639" i="8"/>
  <c r="D642" i="8"/>
  <c r="D645" i="8"/>
  <c r="D648" i="8"/>
  <c r="D651" i="8"/>
  <c r="D654" i="8"/>
  <c r="D657" i="8"/>
  <c r="D660" i="8"/>
  <c r="D663" i="8"/>
  <c r="D666" i="8"/>
  <c r="D669" i="8"/>
  <c r="D672" i="8"/>
  <c r="D675" i="8"/>
  <c r="D678" i="8"/>
  <c r="D681" i="8"/>
  <c r="D684" i="8"/>
  <c r="D687" i="8"/>
  <c r="D690" i="8"/>
  <c r="D693" i="8"/>
  <c r="D696" i="8"/>
  <c r="D699" i="8"/>
  <c r="D702" i="8"/>
  <c r="D705" i="8"/>
  <c r="D708" i="8"/>
  <c r="D711" i="8"/>
  <c r="D714" i="8"/>
  <c r="D717" i="8"/>
  <c r="D720" i="8"/>
  <c r="D723" i="8"/>
  <c r="D726" i="8"/>
  <c r="D729" i="8"/>
  <c r="D732" i="8"/>
  <c r="D735" i="8"/>
  <c r="D738" i="8"/>
  <c r="D741" i="8"/>
  <c r="D744" i="8"/>
  <c r="D747" i="8"/>
  <c r="D750" i="8"/>
  <c r="D753" i="8"/>
  <c r="D756" i="8"/>
  <c r="D759" i="8"/>
  <c r="D762" i="8"/>
  <c r="D765" i="8"/>
  <c r="D768" i="8"/>
  <c r="D771" i="8"/>
  <c r="D774" i="8"/>
  <c r="D777" i="8"/>
  <c r="D780" i="8"/>
  <c r="D783" i="8"/>
  <c r="D786" i="8"/>
  <c r="D789" i="8"/>
  <c r="D792" i="8"/>
  <c r="D795" i="8"/>
  <c r="D798" i="8"/>
  <c r="D801" i="8"/>
  <c r="D804" i="8"/>
  <c r="D96" i="8"/>
  <c r="D123" i="8"/>
  <c r="D147" i="8"/>
  <c r="D179" i="8"/>
  <c r="D185" i="8"/>
  <c r="D196" i="8"/>
  <c r="D201" i="8"/>
  <c r="D210" i="8"/>
  <c r="D219" i="8"/>
  <c r="D228" i="8"/>
  <c r="D237" i="8"/>
  <c r="D246" i="8"/>
  <c r="D255" i="8"/>
  <c r="D264" i="8"/>
  <c r="D273" i="8"/>
  <c r="D282" i="8"/>
  <c r="D291" i="8"/>
  <c r="D295" i="8"/>
  <c r="D302" i="8"/>
  <c r="D313" i="8"/>
  <c r="D320" i="8"/>
  <c r="D331" i="8"/>
  <c r="D338" i="8"/>
  <c r="D349" i="8"/>
  <c r="D356" i="8"/>
  <c r="D367" i="8"/>
  <c r="D374" i="8"/>
  <c r="D385" i="8"/>
  <c r="D392" i="8"/>
  <c r="D403" i="8"/>
  <c r="D410" i="8"/>
  <c r="D421" i="8"/>
  <c r="D428" i="8"/>
  <c r="D444" i="8"/>
  <c r="D452" i="8"/>
  <c r="D463" i="8"/>
  <c r="D471" i="8"/>
  <c r="D479" i="8"/>
  <c r="D490" i="8"/>
  <c r="D498" i="8"/>
  <c r="D506" i="8"/>
  <c r="D517" i="8"/>
  <c r="D522" i="8"/>
  <c r="D531" i="8"/>
  <c r="D537" i="8"/>
  <c r="D99" i="8"/>
  <c r="D126" i="8"/>
  <c r="D186" i="8"/>
  <c r="D206" i="8"/>
  <c r="D215" i="8"/>
  <c r="D224" i="8"/>
  <c r="D233" i="8"/>
  <c r="D242" i="8"/>
  <c r="D251" i="8"/>
  <c r="D260" i="8"/>
  <c r="D269" i="8"/>
  <c r="D278" i="8"/>
  <c r="D287" i="8"/>
  <c r="D299" i="8"/>
  <c r="D310" i="8"/>
  <c r="D317" i="8"/>
  <c r="D328" i="8"/>
  <c r="D335" i="8"/>
  <c r="D346" i="8"/>
  <c r="D353" i="8"/>
  <c r="D364" i="8"/>
  <c r="D371" i="8"/>
  <c r="D382" i="8"/>
  <c r="D389" i="8"/>
  <c r="D400" i="8"/>
  <c r="D407" i="8"/>
  <c r="D418" i="8"/>
  <c r="D425" i="8"/>
  <c r="D436" i="8"/>
  <c r="D439" i="8"/>
  <c r="D442" i="8"/>
  <c r="D455" i="8"/>
  <c r="D458" i="8"/>
  <c r="D466" i="8"/>
  <c r="D469" i="8"/>
  <c r="D482" i="8"/>
  <c r="D485" i="8"/>
  <c r="D493" i="8"/>
  <c r="D496" i="8"/>
  <c r="D509" i="8"/>
  <c r="D512" i="8"/>
  <c r="D520" i="8"/>
  <c r="D527" i="8"/>
  <c r="D529" i="8"/>
  <c r="D539" i="8"/>
  <c r="D542" i="8"/>
  <c r="D545" i="8"/>
  <c r="D548" i="8"/>
  <c r="D551" i="8"/>
  <c r="D554" i="8"/>
  <c r="D557" i="8"/>
  <c r="D560" i="8"/>
  <c r="D563" i="8"/>
  <c r="D566" i="8"/>
  <c r="D569" i="8"/>
  <c r="D572" i="8"/>
  <c r="D575" i="8"/>
  <c r="D578" i="8"/>
  <c r="D581" i="8"/>
  <c r="D584" i="8"/>
  <c r="D587" i="8"/>
  <c r="D590" i="8"/>
  <c r="D593" i="8"/>
  <c r="D596" i="8"/>
  <c r="D599" i="8"/>
  <c r="D602" i="8"/>
  <c r="D605" i="8"/>
  <c r="D608" i="8"/>
  <c r="D611" i="8"/>
  <c r="D614" i="8"/>
  <c r="D617" i="8"/>
  <c r="D620" i="8"/>
  <c r="D623" i="8"/>
  <c r="D626" i="8"/>
  <c r="D629" i="8"/>
  <c r="D632" i="8"/>
  <c r="D635" i="8"/>
  <c r="D638" i="8"/>
  <c r="D641" i="8"/>
  <c r="D644" i="8"/>
  <c r="D647" i="8"/>
  <c r="D650" i="8"/>
  <c r="D653" i="8"/>
  <c r="D656" i="8"/>
  <c r="D659" i="8"/>
  <c r="D662" i="8"/>
  <c r="D665" i="8"/>
  <c r="D668" i="8"/>
  <c r="D671" i="8"/>
  <c r="D674" i="8"/>
  <c r="D677" i="8"/>
  <c r="D680" i="8"/>
  <c r="D683" i="8"/>
  <c r="D686" i="8"/>
  <c r="D689" i="8"/>
  <c r="D692" i="8"/>
  <c r="D695" i="8"/>
  <c r="D698" i="8"/>
  <c r="D701" i="8"/>
  <c r="D704" i="8"/>
  <c r="D707" i="8"/>
  <c r="D710" i="8"/>
  <c r="D713" i="8"/>
  <c r="D716" i="8"/>
  <c r="D719" i="8"/>
  <c r="D722" i="8"/>
  <c r="D725" i="8"/>
  <c r="D728" i="8"/>
  <c r="D731" i="8"/>
  <c r="D734" i="8"/>
  <c r="D737" i="8"/>
  <c r="D740" i="8"/>
  <c r="D743" i="8"/>
  <c r="D746" i="8"/>
  <c r="D749" i="8"/>
  <c r="D752" i="8"/>
  <c r="D755" i="8"/>
  <c r="D758" i="8"/>
  <c r="D761" i="8"/>
  <c r="D764" i="8"/>
  <c r="D767" i="8"/>
  <c r="D770" i="8"/>
  <c r="D773" i="8"/>
  <c r="D776" i="8"/>
  <c r="D779" i="8"/>
  <c r="D782" i="8"/>
  <c r="D785" i="8"/>
  <c r="D788" i="8"/>
  <c r="D791" i="8"/>
  <c r="D794" i="8"/>
  <c r="D797" i="8"/>
  <c r="D800" i="8"/>
  <c r="D803" i="8"/>
  <c r="D3" i="8"/>
  <c r="E2" i="8"/>
  <c r="D11" i="8"/>
  <c r="D141" i="8"/>
  <c r="D461" i="8"/>
  <c r="D453" i="8"/>
  <c r="D445" i="8"/>
  <c r="D426" i="8"/>
  <c r="D372" i="8"/>
  <c r="D318" i="8"/>
  <c r="D525" i="8"/>
  <c r="D802" i="8"/>
  <c r="D793" i="8"/>
  <c r="D784" i="8"/>
  <c r="D775" i="8"/>
  <c r="D766" i="8"/>
  <c r="D757" i="8"/>
  <c r="D748" i="8"/>
  <c r="D739" i="8"/>
  <c r="D730" i="8"/>
  <c r="D721" i="8"/>
  <c r="D712" i="8"/>
  <c r="D703" i="8"/>
  <c r="D694" i="8"/>
  <c r="D685" i="8"/>
  <c r="D676" i="8"/>
  <c r="D667" i="8"/>
  <c r="D658" i="8"/>
  <c r="D649" i="8"/>
  <c r="D640" i="8"/>
  <c r="D631" i="8"/>
  <c r="D622" i="8"/>
  <c r="D613" i="8"/>
  <c r="D604" i="8"/>
  <c r="D595" i="8"/>
  <c r="D586" i="8"/>
  <c r="D577" i="8"/>
  <c r="D568" i="8"/>
  <c r="D559" i="8"/>
  <c r="D550" i="8"/>
  <c r="D541" i="8"/>
  <c r="D530" i="8"/>
  <c r="D523" i="8"/>
  <c r="D491" i="8"/>
  <c r="D475" i="8"/>
  <c r="D467" i="8"/>
  <c r="D451" i="8"/>
  <c r="D412" i="8"/>
  <c r="D401" i="8"/>
  <c r="D358" i="8"/>
  <c r="D347" i="8"/>
  <c r="D304" i="8"/>
  <c r="D293" i="8"/>
  <c r="D266" i="8"/>
  <c r="D248" i="8"/>
  <c r="D221" i="8"/>
  <c r="D193" i="8"/>
  <c r="D536" i="8"/>
  <c r="D515" i="8"/>
  <c r="D507" i="8"/>
  <c r="D499" i="8"/>
  <c r="D390" i="8"/>
  <c r="D336" i="8"/>
  <c r="D50" i="8"/>
  <c r="D742" i="8"/>
  <c r="D715" i="8"/>
  <c r="D706" i="8"/>
  <c r="D697" i="8"/>
  <c r="D688" i="8"/>
  <c r="D679" i="8"/>
  <c r="D661" i="8"/>
  <c r="D652" i="8"/>
  <c r="D643" i="8"/>
  <c r="D634" i="8"/>
  <c r="D625" i="8"/>
  <c r="D616" i="8"/>
  <c r="D607" i="8"/>
  <c r="D598" i="8"/>
  <c r="D589" i="8"/>
  <c r="D580" i="8"/>
  <c r="D571" i="8"/>
  <c r="D562" i="8"/>
  <c r="D553" i="8"/>
  <c r="D544" i="8"/>
  <c r="D521" i="8"/>
  <c r="D505" i="8"/>
  <c r="D464" i="8"/>
  <c r="D448" i="8"/>
  <c r="D440" i="8"/>
  <c r="D430" i="8"/>
  <c r="D419" i="8"/>
  <c r="D376" i="8"/>
  <c r="D365" i="8"/>
  <c r="D322" i="8"/>
  <c r="D311" i="8"/>
  <c r="D275" i="8"/>
  <c r="D239" i="8"/>
  <c r="D212" i="8"/>
  <c r="D31" i="8"/>
  <c r="D805" i="8"/>
  <c r="D796" i="8"/>
  <c r="D787" i="8"/>
  <c r="D778" i="8"/>
  <c r="D769" i="8"/>
  <c r="D760" i="8"/>
  <c r="D751" i="8"/>
  <c r="D733" i="8"/>
  <c r="D724" i="8"/>
  <c r="D670" i="8"/>
  <c r="D534" i="8"/>
  <c r="D488" i="8"/>
  <c r="D480" i="8"/>
  <c r="D472" i="8"/>
  <c r="D408" i="8"/>
  <c r="D354" i="8"/>
  <c r="D300" i="8"/>
  <c r="D176" i="8"/>
  <c r="D116" i="8"/>
  <c r="E5" i="8" l="1"/>
  <c r="E8" i="8"/>
  <c r="E11" i="8"/>
  <c r="E14" i="8"/>
  <c r="E17" i="8"/>
  <c r="E20" i="8"/>
  <c r="E23" i="8"/>
  <c r="E26" i="8"/>
  <c r="E29" i="8"/>
  <c r="E32" i="8"/>
  <c r="E35" i="8"/>
  <c r="E38" i="8"/>
  <c r="E41" i="8"/>
  <c r="E44" i="8"/>
  <c r="E47" i="8"/>
  <c r="E50" i="8"/>
  <c r="E53" i="8"/>
  <c r="E56" i="8"/>
  <c r="E59" i="8"/>
  <c r="E62" i="8"/>
  <c r="E65" i="8"/>
  <c r="E68" i="8"/>
  <c r="E71" i="8"/>
  <c r="E74" i="8"/>
  <c r="E77" i="8"/>
  <c r="E7" i="8"/>
  <c r="E16" i="8"/>
  <c r="E25" i="8"/>
  <c r="E34" i="8"/>
  <c r="E43" i="8"/>
  <c r="E52" i="8"/>
  <c r="E61" i="8"/>
  <c r="E70" i="8"/>
  <c r="E79" i="8"/>
  <c r="E82" i="8"/>
  <c r="E85" i="8"/>
  <c r="E88" i="8"/>
  <c r="E91" i="8"/>
  <c r="E94" i="8"/>
  <c r="E18" i="8"/>
  <c r="E31" i="8"/>
  <c r="E33" i="8"/>
  <c r="E46" i="8"/>
  <c r="E48" i="8"/>
  <c r="E72" i="8"/>
  <c r="E84" i="8"/>
  <c r="E93" i="8"/>
  <c r="E98" i="8"/>
  <c r="E101" i="8"/>
  <c r="E104" i="8"/>
  <c r="E107" i="8"/>
  <c r="E110" i="8"/>
  <c r="E113" i="8"/>
  <c r="E116" i="8"/>
  <c r="E119" i="8"/>
  <c r="E122" i="8"/>
  <c r="E125" i="8"/>
  <c r="E128" i="8"/>
  <c r="E131" i="8"/>
  <c r="E134" i="8"/>
  <c r="E137" i="8"/>
  <c r="E140" i="8"/>
  <c r="E143" i="8"/>
  <c r="E146" i="8"/>
  <c r="E149" i="8"/>
  <c r="E10" i="8"/>
  <c r="E12" i="8"/>
  <c r="E36" i="8"/>
  <c r="E49" i="8"/>
  <c r="E51" i="8"/>
  <c r="E64" i="8"/>
  <c r="E66" i="8"/>
  <c r="E81" i="8"/>
  <c r="E90" i="8"/>
  <c r="E97" i="8"/>
  <c r="E100" i="8"/>
  <c r="E103" i="8"/>
  <c r="E106" i="8"/>
  <c r="E109" i="8"/>
  <c r="E112" i="8"/>
  <c r="E115" i="8"/>
  <c r="E118" i="8"/>
  <c r="E121" i="8"/>
  <c r="E124" i="8"/>
  <c r="E127" i="8"/>
  <c r="E130" i="8"/>
  <c r="E133" i="8"/>
  <c r="E136" i="8"/>
  <c r="E139" i="8"/>
  <c r="E142" i="8"/>
  <c r="E145" i="8"/>
  <c r="E148" i="8"/>
  <c r="E15" i="8"/>
  <c r="E28" i="8"/>
  <c r="E54" i="8"/>
  <c r="E57" i="8"/>
  <c r="E67" i="8"/>
  <c r="E96" i="8"/>
  <c r="E105" i="8"/>
  <c r="E114" i="8"/>
  <c r="E123" i="8"/>
  <c r="E132" i="8"/>
  <c r="E141" i="8"/>
  <c r="E152" i="8"/>
  <c r="E161" i="8"/>
  <c r="E173" i="8"/>
  <c r="E175" i="8"/>
  <c r="E182" i="8"/>
  <c r="E185" i="8"/>
  <c r="E188" i="8"/>
  <c r="E191" i="8"/>
  <c r="E194" i="8"/>
  <c r="E197" i="8"/>
  <c r="E200" i="8"/>
  <c r="E203" i="8"/>
  <c r="E206" i="8"/>
  <c r="E209" i="8"/>
  <c r="E212" i="8"/>
  <c r="E215" i="8"/>
  <c r="E218" i="8"/>
  <c r="E221" i="8"/>
  <c r="E224" i="8"/>
  <c r="E227" i="8"/>
  <c r="E230" i="8"/>
  <c r="E233" i="8"/>
  <c r="E236" i="8"/>
  <c r="E239" i="8"/>
  <c r="E242" i="8"/>
  <c r="E245" i="8"/>
  <c r="E248" i="8"/>
  <c r="E251" i="8"/>
  <c r="E254" i="8"/>
  <c r="E257" i="8"/>
  <c r="E260" i="8"/>
  <c r="E263" i="8"/>
  <c r="E266" i="8"/>
  <c r="E269" i="8"/>
  <c r="E272" i="8"/>
  <c r="E275" i="8"/>
  <c r="E278" i="8"/>
  <c r="E281" i="8"/>
  <c r="E284" i="8"/>
  <c r="E287" i="8"/>
  <c r="E290" i="8"/>
  <c r="E293" i="8"/>
  <c r="E296" i="8"/>
  <c r="E299" i="8"/>
  <c r="E302" i="8"/>
  <c r="E305" i="8"/>
  <c r="E308" i="8"/>
  <c r="E311" i="8"/>
  <c r="E314" i="8"/>
  <c r="E317" i="8"/>
  <c r="E320" i="8"/>
  <c r="E323" i="8"/>
  <c r="E326" i="8"/>
  <c r="E329" i="8"/>
  <c r="E332" i="8"/>
  <c r="E335" i="8"/>
  <c r="E338" i="8"/>
  <c r="E341" i="8"/>
  <c r="E344" i="8"/>
  <c r="E347" i="8"/>
  <c r="E350" i="8"/>
  <c r="E353" i="8"/>
  <c r="E356" i="8"/>
  <c r="E359" i="8"/>
  <c r="E362" i="8"/>
  <c r="E365" i="8"/>
  <c r="E368" i="8"/>
  <c r="E371" i="8"/>
  <c r="E374" i="8"/>
  <c r="E377" i="8"/>
  <c r="E380" i="8"/>
  <c r="E383" i="8"/>
  <c r="E386" i="8"/>
  <c r="E389" i="8"/>
  <c r="E392" i="8"/>
  <c r="E395" i="8"/>
  <c r="E398" i="8"/>
  <c r="E401" i="8"/>
  <c r="E404" i="8"/>
  <c r="E407" i="8"/>
  <c r="E410" i="8"/>
  <c r="E413" i="8"/>
  <c r="E416" i="8"/>
  <c r="E419" i="8"/>
  <c r="E422" i="8"/>
  <c r="E425" i="8"/>
  <c r="E428" i="8"/>
  <c r="E431" i="8"/>
  <c r="E434" i="8"/>
  <c r="E437" i="8"/>
  <c r="E440" i="8"/>
  <c r="E443" i="8"/>
  <c r="E446" i="8"/>
  <c r="E449" i="8"/>
  <c r="E452" i="8"/>
  <c r="E455" i="8"/>
  <c r="E458" i="8"/>
  <c r="E461" i="8"/>
  <c r="E464" i="8"/>
  <c r="E467" i="8"/>
  <c r="E470" i="8"/>
  <c r="E473" i="8"/>
  <c r="E476" i="8"/>
  <c r="E479" i="8"/>
  <c r="E482" i="8"/>
  <c r="E485" i="8"/>
  <c r="E488" i="8"/>
  <c r="E491" i="8"/>
  <c r="E494" i="8"/>
  <c r="E497" i="8"/>
  <c r="E500" i="8"/>
  <c r="E503" i="8"/>
  <c r="E506" i="8"/>
  <c r="E509" i="8"/>
  <c r="E512" i="8"/>
  <c r="E515" i="8"/>
  <c r="E518" i="8"/>
  <c r="E13" i="8"/>
  <c r="E42" i="8"/>
  <c r="E55" i="8"/>
  <c r="E86" i="8"/>
  <c r="E99" i="8"/>
  <c r="E108" i="8"/>
  <c r="E117" i="8"/>
  <c r="E126" i="8"/>
  <c r="E135" i="8"/>
  <c r="E144" i="8"/>
  <c r="E155" i="8"/>
  <c r="E164" i="8"/>
  <c r="E170" i="8"/>
  <c r="E172" i="8"/>
  <c r="E179" i="8"/>
  <c r="E181" i="8"/>
  <c r="E184" i="8"/>
  <c r="E187" i="8"/>
  <c r="E190" i="8"/>
  <c r="E193" i="8"/>
  <c r="E196" i="8"/>
  <c r="E199" i="8"/>
  <c r="E202" i="8"/>
  <c r="E205" i="8"/>
  <c r="E208" i="8"/>
  <c r="E211" i="8"/>
  <c r="E214" i="8"/>
  <c r="E217" i="8"/>
  <c r="E220" i="8"/>
  <c r="E223" i="8"/>
  <c r="E226" i="8"/>
  <c r="E229" i="8"/>
  <c r="E232" i="8"/>
  <c r="E235" i="8"/>
  <c r="E238" i="8"/>
  <c r="E241" i="8"/>
  <c r="E244" i="8"/>
  <c r="E247" i="8"/>
  <c r="E250" i="8"/>
  <c r="E253" i="8"/>
  <c r="E256" i="8"/>
  <c r="E259" i="8"/>
  <c r="E262" i="8"/>
  <c r="E265" i="8"/>
  <c r="E268" i="8"/>
  <c r="E271" i="8"/>
  <c r="E274" i="8"/>
  <c r="E277" i="8"/>
  <c r="E280" i="8"/>
  <c r="E283" i="8"/>
  <c r="E286" i="8"/>
  <c r="E289" i="8"/>
  <c r="E292" i="8"/>
  <c r="E22" i="8"/>
  <c r="E27" i="8"/>
  <c r="E80" i="8"/>
  <c r="E120" i="8"/>
  <c r="E147" i="8"/>
  <c r="E150" i="8"/>
  <c r="E157" i="8"/>
  <c r="E9" i="8"/>
  <c r="E19" i="8"/>
  <c r="E58" i="8"/>
  <c r="E111" i="8"/>
  <c r="E24" i="8"/>
  <c r="E39" i="8"/>
  <c r="E63" i="8"/>
  <c r="E73" i="8"/>
  <c r="E78" i="8"/>
  <c r="E162" i="8"/>
  <c r="E165" i="8"/>
  <c r="E171" i="8"/>
  <c r="E174" i="8"/>
  <c r="E4" i="8"/>
  <c r="E89" i="8"/>
  <c r="E176" i="8"/>
  <c r="E201" i="8"/>
  <c r="E210" i="8"/>
  <c r="E219" i="8"/>
  <c r="E228" i="8"/>
  <c r="E237" i="8"/>
  <c r="E246" i="8"/>
  <c r="E255" i="8"/>
  <c r="E264" i="8"/>
  <c r="E273" i="8"/>
  <c r="E282" i="8"/>
  <c r="E291" i="8"/>
  <c r="E295" i="8"/>
  <c r="E304" i="8"/>
  <c r="E313" i="8"/>
  <c r="E322" i="8"/>
  <c r="E331" i="8"/>
  <c r="E340" i="8"/>
  <c r="E349" i="8"/>
  <c r="E358" i="8"/>
  <c r="E367" i="8"/>
  <c r="E376" i="8"/>
  <c r="E385" i="8"/>
  <c r="E394" i="8"/>
  <c r="E403" i="8"/>
  <c r="E412" i="8"/>
  <c r="E421" i="8"/>
  <c r="E430" i="8"/>
  <c r="E439" i="8"/>
  <c r="E448" i="8"/>
  <c r="E457" i="8"/>
  <c r="E466" i="8"/>
  <c r="E475" i="8"/>
  <c r="E484" i="8"/>
  <c r="E493" i="8"/>
  <c r="E502" i="8"/>
  <c r="E511" i="8"/>
  <c r="E520" i="8"/>
  <c r="E523" i="8"/>
  <c r="E526" i="8"/>
  <c r="E529" i="8"/>
  <c r="E532" i="8"/>
  <c r="E75" i="8"/>
  <c r="E92" i="8"/>
  <c r="E154" i="8"/>
  <c r="E159" i="8"/>
  <c r="E186" i="8"/>
  <c r="E189" i="8"/>
  <c r="E204" i="8"/>
  <c r="E213" i="8"/>
  <c r="E222" i="8"/>
  <c r="E231" i="8"/>
  <c r="E240" i="8"/>
  <c r="E249" i="8"/>
  <c r="E258" i="8"/>
  <c r="E267" i="8"/>
  <c r="E276" i="8"/>
  <c r="E285" i="8"/>
  <c r="E301" i="8"/>
  <c r="E310" i="8"/>
  <c r="E319" i="8"/>
  <c r="E328" i="8"/>
  <c r="E337" i="8"/>
  <c r="E346" i="8"/>
  <c r="E355" i="8"/>
  <c r="E364" i="8"/>
  <c r="E373" i="8"/>
  <c r="E382" i="8"/>
  <c r="E391" i="8"/>
  <c r="E400" i="8"/>
  <c r="E409" i="8"/>
  <c r="E418" i="8"/>
  <c r="E427" i="8"/>
  <c r="E436" i="8"/>
  <c r="E445" i="8"/>
  <c r="E454" i="8"/>
  <c r="E463" i="8"/>
  <c r="E472" i="8"/>
  <c r="E481" i="8"/>
  <c r="E490" i="8"/>
  <c r="E499" i="8"/>
  <c r="E508" i="8"/>
  <c r="E517" i="8"/>
  <c r="E522" i="8"/>
  <c r="E525" i="8"/>
  <c r="E528" i="8"/>
  <c r="E531" i="8"/>
  <c r="E534" i="8"/>
  <c r="E537" i="8"/>
  <c r="E37" i="8"/>
  <c r="E76" i="8"/>
  <c r="E160" i="8"/>
  <c r="E168" i="8"/>
  <c r="E178" i="8"/>
  <c r="E192" i="8"/>
  <c r="E294" i="8"/>
  <c r="E303" i="8"/>
  <c r="E312" i="8"/>
  <c r="E321" i="8"/>
  <c r="E330" i="8"/>
  <c r="E339" i="8"/>
  <c r="E348" i="8"/>
  <c r="E357" i="8"/>
  <c r="E366" i="8"/>
  <c r="E375" i="8"/>
  <c r="E384" i="8"/>
  <c r="E393" i="8"/>
  <c r="E402" i="8"/>
  <c r="E411" i="8"/>
  <c r="E420" i="8"/>
  <c r="E429" i="8"/>
  <c r="E153" i="8"/>
  <c r="E163" i="8"/>
  <c r="E177" i="8"/>
  <c r="E183" i="8"/>
  <c r="E297" i="8"/>
  <c r="E315" i="8"/>
  <c r="E333" i="8"/>
  <c r="E351" i="8"/>
  <c r="E369" i="8"/>
  <c r="E387" i="8"/>
  <c r="E405" i="8"/>
  <c r="E423" i="8"/>
  <c r="E451" i="8"/>
  <c r="E459" i="8"/>
  <c r="E478" i="8"/>
  <c r="E486" i="8"/>
  <c r="E505" i="8"/>
  <c r="E513" i="8"/>
  <c r="E521" i="8"/>
  <c r="E530" i="8"/>
  <c r="E538" i="8"/>
  <c r="E541" i="8"/>
  <c r="E544" i="8"/>
  <c r="E547" i="8"/>
  <c r="E550" i="8"/>
  <c r="E553" i="8"/>
  <c r="E556" i="8"/>
  <c r="E559" i="8"/>
  <c r="E562" i="8"/>
  <c r="E565" i="8"/>
  <c r="E568" i="8"/>
  <c r="E571" i="8"/>
  <c r="E574" i="8"/>
  <c r="E577" i="8"/>
  <c r="E580" i="8"/>
  <c r="E583" i="8"/>
  <c r="E586" i="8"/>
  <c r="E589" i="8"/>
  <c r="E592" i="8"/>
  <c r="E595" i="8"/>
  <c r="E598" i="8"/>
  <c r="E601" i="8"/>
  <c r="E604" i="8"/>
  <c r="E607" i="8"/>
  <c r="E610" i="8"/>
  <c r="E613" i="8"/>
  <c r="E616" i="8"/>
  <c r="E619" i="8"/>
  <c r="E622" i="8"/>
  <c r="E625" i="8"/>
  <c r="E628" i="8"/>
  <c r="E631" i="8"/>
  <c r="E634" i="8"/>
  <c r="E637" i="8"/>
  <c r="E640" i="8"/>
  <c r="E643" i="8"/>
  <c r="E646" i="8"/>
  <c r="E649" i="8"/>
  <c r="E652" i="8"/>
  <c r="E655" i="8"/>
  <c r="E658" i="8"/>
  <c r="E661" i="8"/>
  <c r="E664" i="8"/>
  <c r="E667" i="8"/>
  <c r="E670" i="8"/>
  <c r="E673" i="8"/>
  <c r="E676" i="8"/>
  <c r="E679" i="8"/>
  <c r="E682" i="8"/>
  <c r="E685" i="8"/>
  <c r="E688" i="8"/>
  <c r="E691" i="8"/>
  <c r="E694" i="8"/>
  <c r="E697" i="8"/>
  <c r="E700" i="8"/>
  <c r="E703" i="8"/>
  <c r="E706" i="8"/>
  <c r="E709" i="8"/>
  <c r="E712" i="8"/>
  <c r="E715" i="8"/>
  <c r="E718" i="8"/>
  <c r="E721" i="8"/>
  <c r="E724" i="8"/>
  <c r="E727" i="8"/>
  <c r="E730" i="8"/>
  <c r="E733" i="8"/>
  <c r="E736" i="8"/>
  <c r="E739" i="8"/>
  <c r="E742" i="8"/>
  <c r="E745" i="8"/>
  <c r="E748" i="8"/>
  <c r="E751" i="8"/>
  <c r="E754" i="8"/>
  <c r="E757" i="8"/>
  <c r="E760" i="8"/>
  <c r="E763" i="8"/>
  <c r="E766" i="8"/>
  <c r="E769" i="8"/>
  <c r="E772" i="8"/>
  <c r="E775" i="8"/>
  <c r="E778" i="8"/>
  <c r="E781" i="8"/>
  <c r="E784" i="8"/>
  <c r="E787" i="8"/>
  <c r="E790" i="8"/>
  <c r="E793" i="8"/>
  <c r="E796" i="8"/>
  <c r="E799" i="8"/>
  <c r="E802" i="8"/>
  <c r="E805" i="8"/>
  <c r="E40" i="8"/>
  <c r="E95" i="8"/>
  <c r="E195" i="8"/>
  <c r="E298" i="8"/>
  <c r="E316" i="8"/>
  <c r="E334" i="8"/>
  <c r="E352" i="8"/>
  <c r="E370" i="8"/>
  <c r="E388" i="8"/>
  <c r="E406" i="8"/>
  <c r="E424" i="8"/>
  <c r="E438" i="8"/>
  <c r="E462" i="8"/>
  <c r="E465" i="8"/>
  <c r="E489" i="8"/>
  <c r="E492" i="8"/>
  <c r="E516" i="8"/>
  <c r="E519" i="8"/>
  <c r="E21" i="8"/>
  <c r="E60" i="8"/>
  <c r="E156" i="8"/>
  <c r="E166" i="8"/>
  <c r="E309" i="8"/>
  <c r="E327" i="8"/>
  <c r="E345" i="8"/>
  <c r="E363" i="8"/>
  <c r="E381" i="8"/>
  <c r="E399" i="8"/>
  <c r="E417" i="8"/>
  <c r="E435" i="8"/>
  <c r="E441" i="8"/>
  <c r="E460" i="8"/>
  <c r="E468" i="8"/>
  <c r="E487" i="8"/>
  <c r="E495" i="8"/>
  <c r="E514" i="8"/>
  <c r="E524" i="8"/>
  <c r="E533" i="8"/>
  <c r="E535" i="8"/>
  <c r="E540" i="8"/>
  <c r="E543" i="8"/>
  <c r="E546" i="8"/>
  <c r="E549" i="8"/>
  <c r="E552" i="8"/>
  <c r="E555" i="8"/>
  <c r="E558" i="8"/>
  <c r="E561" i="8"/>
  <c r="E564" i="8"/>
  <c r="E567" i="8"/>
  <c r="E570" i="8"/>
  <c r="E573" i="8"/>
  <c r="E576" i="8"/>
  <c r="E579" i="8"/>
  <c r="E582" i="8"/>
  <c r="E585" i="8"/>
  <c r="E588" i="8"/>
  <c r="E591" i="8"/>
  <c r="E594" i="8"/>
  <c r="E597" i="8"/>
  <c r="E600" i="8"/>
  <c r="E603" i="8"/>
  <c r="E606" i="8"/>
  <c r="E609" i="8"/>
  <c r="E612" i="8"/>
  <c r="E615" i="8"/>
  <c r="E618" i="8"/>
  <c r="E621" i="8"/>
  <c r="E624" i="8"/>
  <c r="E627" i="8"/>
  <c r="E630" i="8"/>
  <c r="E633" i="8"/>
  <c r="E636" i="8"/>
  <c r="E639" i="8"/>
  <c r="E642" i="8"/>
  <c r="E645" i="8"/>
  <c r="E648" i="8"/>
  <c r="E651" i="8"/>
  <c r="E654" i="8"/>
  <c r="E657" i="8"/>
  <c r="E660" i="8"/>
  <c r="E663" i="8"/>
  <c r="E666" i="8"/>
  <c r="E669" i="8"/>
  <c r="E672" i="8"/>
  <c r="E675" i="8"/>
  <c r="E678" i="8"/>
  <c r="E681" i="8"/>
  <c r="E684" i="8"/>
  <c r="E687" i="8"/>
  <c r="E690" i="8"/>
  <c r="E693" i="8"/>
  <c r="E696" i="8"/>
  <c r="E699" i="8"/>
  <c r="E702" i="8"/>
  <c r="E705" i="8"/>
  <c r="E708" i="8"/>
  <c r="E711" i="8"/>
  <c r="E714" i="8"/>
  <c r="E717" i="8"/>
  <c r="E720" i="8"/>
  <c r="E723" i="8"/>
  <c r="E726" i="8"/>
  <c r="E729" i="8"/>
  <c r="E732" i="8"/>
  <c r="E735" i="8"/>
  <c r="E738" i="8"/>
  <c r="E741" i="8"/>
  <c r="E744" i="8"/>
  <c r="E747" i="8"/>
  <c r="E750" i="8"/>
  <c r="E753" i="8"/>
  <c r="E756" i="8"/>
  <c r="E759" i="8"/>
  <c r="E762" i="8"/>
  <c r="E765" i="8"/>
  <c r="E768" i="8"/>
  <c r="E771" i="8"/>
  <c r="E774" i="8"/>
  <c r="E777" i="8"/>
  <c r="E780" i="8"/>
  <c r="E783" i="8"/>
  <c r="E786" i="8"/>
  <c r="E789" i="8"/>
  <c r="E792" i="8"/>
  <c r="E795" i="8"/>
  <c r="E798" i="8"/>
  <c r="E801" i="8"/>
  <c r="E804" i="8"/>
  <c r="F2" i="8"/>
  <c r="E6" i="8"/>
  <c r="E45" i="8"/>
  <c r="E83" i="8"/>
  <c r="E138" i="8"/>
  <c r="E158" i="8"/>
  <c r="E167" i="8"/>
  <c r="E180" i="8"/>
  <c r="E306" i="8"/>
  <c r="E324" i="8"/>
  <c r="E342" i="8"/>
  <c r="E360" i="8"/>
  <c r="E378" i="8"/>
  <c r="E396" i="8"/>
  <c r="E414" i="8"/>
  <c r="E432" i="8"/>
  <c r="E444" i="8"/>
  <c r="E447" i="8"/>
  <c r="E471" i="8"/>
  <c r="E474" i="8"/>
  <c r="E498" i="8"/>
  <c r="E501" i="8"/>
  <c r="E129" i="8"/>
  <c r="E207" i="8"/>
  <c r="E216" i="8"/>
  <c r="E225" i="8"/>
  <c r="E234" i="8"/>
  <c r="E243" i="8"/>
  <c r="E252" i="8"/>
  <c r="E30" i="8"/>
  <c r="E69" i="8"/>
  <c r="E87" i="8"/>
  <c r="E102" i="8"/>
  <c r="E151" i="8"/>
  <c r="E169" i="8"/>
  <c r="E198" i="8"/>
  <c r="E261" i="8"/>
  <c r="E288" i="8"/>
  <c r="E343" i="8"/>
  <c r="E397" i="8"/>
  <c r="E496" i="8"/>
  <c r="E504" i="8"/>
  <c r="E527" i="8"/>
  <c r="E539" i="8"/>
  <c r="E548" i="8"/>
  <c r="E557" i="8"/>
  <c r="E566" i="8"/>
  <c r="E575" i="8"/>
  <c r="E584" i="8"/>
  <c r="E593" i="8"/>
  <c r="E602" i="8"/>
  <c r="E611" i="8"/>
  <c r="E620" i="8"/>
  <c r="E629" i="8"/>
  <c r="E638" i="8"/>
  <c r="E647" i="8"/>
  <c r="E656" i="8"/>
  <c r="E665" i="8"/>
  <c r="E674" i="8"/>
  <c r="E683" i="8"/>
  <c r="E692" i="8"/>
  <c r="E701" i="8"/>
  <c r="E710" i="8"/>
  <c r="E719" i="8"/>
  <c r="E728" i="8"/>
  <c r="E737" i="8"/>
  <c r="E746" i="8"/>
  <c r="E755" i="8"/>
  <c r="E764" i="8"/>
  <c r="E773" i="8"/>
  <c r="E782" i="8"/>
  <c r="E791" i="8"/>
  <c r="E800" i="8"/>
  <c r="E300" i="8"/>
  <c r="E354" i="8"/>
  <c r="E408" i="8"/>
  <c r="E456" i="8"/>
  <c r="E480" i="8"/>
  <c r="E279" i="8"/>
  <c r="E325" i="8"/>
  <c r="E379" i="8"/>
  <c r="E433" i="8"/>
  <c r="E442" i="8"/>
  <c r="E450" i="8"/>
  <c r="E545" i="8"/>
  <c r="E554" i="8"/>
  <c r="E563" i="8"/>
  <c r="E572" i="8"/>
  <c r="E581" i="8"/>
  <c r="E590" i="8"/>
  <c r="E599" i="8"/>
  <c r="E608" i="8"/>
  <c r="E617" i="8"/>
  <c r="E626" i="8"/>
  <c r="E635" i="8"/>
  <c r="E644" i="8"/>
  <c r="E653" i="8"/>
  <c r="E662" i="8"/>
  <c r="E671" i="8"/>
  <c r="E680" i="8"/>
  <c r="E689" i="8"/>
  <c r="E698" i="8"/>
  <c r="E707" i="8"/>
  <c r="E716" i="8"/>
  <c r="E725" i="8"/>
  <c r="E734" i="8"/>
  <c r="E743" i="8"/>
  <c r="E752" i="8"/>
  <c r="E761" i="8"/>
  <c r="E770" i="8"/>
  <c r="E779" i="8"/>
  <c r="E788" i="8"/>
  <c r="E797" i="8"/>
  <c r="E3" i="8"/>
  <c r="E336" i="8"/>
  <c r="E390" i="8"/>
  <c r="E483" i="8"/>
  <c r="E507" i="8"/>
  <c r="E536" i="8"/>
  <c r="E469" i="8"/>
  <c r="E542" i="8"/>
  <c r="E560" i="8"/>
  <c r="E569" i="8"/>
  <c r="E578" i="8"/>
  <c r="E587" i="8"/>
  <c r="E596" i="8"/>
  <c r="E605" i="8"/>
  <c r="E614" i="8"/>
  <c r="E632" i="8"/>
  <c r="E641" i="8"/>
  <c r="E650" i="8"/>
  <c r="E659" i="8"/>
  <c r="E668" i="8"/>
  <c r="E677" i="8"/>
  <c r="E686" i="8"/>
  <c r="E704" i="8"/>
  <c r="E722" i="8"/>
  <c r="E740" i="8"/>
  <c r="E758" i="8"/>
  <c r="E767" i="8"/>
  <c r="E776" i="8"/>
  <c r="E785" i="8"/>
  <c r="E803" i="8"/>
  <c r="E270" i="8"/>
  <c r="E307" i="8"/>
  <c r="E361" i="8"/>
  <c r="E415" i="8"/>
  <c r="E477" i="8"/>
  <c r="E551" i="8"/>
  <c r="E623" i="8"/>
  <c r="E695" i="8"/>
  <c r="E713" i="8"/>
  <c r="E731" i="8"/>
  <c r="E749" i="8"/>
  <c r="E794" i="8"/>
  <c r="E426" i="8"/>
  <c r="E372" i="8"/>
  <c r="E318" i="8"/>
  <c r="E453" i="8"/>
  <c r="E510" i="8"/>
  <c r="F5" i="8" l="1"/>
  <c r="F12" i="8"/>
  <c r="F14" i="8"/>
  <c r="F21" i="8"/>
  <c r="F23" i="8"/>
  <c r="F30" i="8"/>
  <c r="F32" i="8"/>
  <c r="F39" i="8"/>
  <c r="F41" i="8"/>
  <c r="F48" i="8"/>
  <c r="F50" i="8"/>
  <c r="F57" i="8"/>
  <c r="F59" i="8"/>
  <c r="F66" i="8"/>
  <c r="F68" i="8"/>
  <c r="F75" i="8"/>
  <c r="F77" i="8"/>
  <c r="F7" i="8"/>
  <c r="F9" i="8"/>
  <c r="F20" i="8"/>
  <c r="F22" i="8"/>
  <c r="F24" i="8"/>
  <c r="F35" i="8"/>
  <c r="F37" i="8"/>
  <c r="F61" i="8"/>
  <c r="F63" i="8"/>
  <c r="F74" i="8"/>
  <c r="F76" i="8"/>
  <c r="F78" i="8"/>
  <c r="F80" i="8"/>
  <c r="F82" i="8"/>
  <c r="F89" i="8"/>
  <c r="F91" i="8"/>
  <c r="F150" i="8"/>
  <c r="F153" i="8"/>
  <c r="F156" i="8"/>
  <c r="F159" i="8"/>
  <c r="F162" i="8"/>
  <c r="F165" i="8"/>
  <c r="F25" i="8"/>
  <c r="F27" i="8"/>
  <c r="F38" i="8"/>
  <c r="F40" i="8"/>
  <c r="F42" i="8"/>
  <c r="F53" i="8"/>
  <c r="F55" i="8"/>
  <c r="F79" i="8"/>
  <c r="F86" i="8"/>
  <c r="F88" i="8"/>
  <c r="F95" i="8"/>
  <c r="F152" i="8"/>
  <c r="F155" i="8"/>
  <c r="F158" i="8"/>
  <c r="F161" i="8"/>
  <c r="F164" i="8"/>
  <c r="F167" i="8"/>
  <c r="F170" i="8"/>
  <c r="F173" i="8"/>
  <c r="F176" i="8"/>
  <c r="F179" i="8"/>
  <c r="F18" i="8"/>
  <c r="F31" i="8"/>
  <c r="F44" i="8"/>
  <c r="F60" i="8"/>
  <c r="F70" i="8"/>
  <c r="F73" i="8"/>
  <c r="F85" i="8"/>
  <c r="F93" i="8"/>
  <c r="F98" i="8"/>
  <c r="F107" i="8"/>
  <c r="F116" i="8"/>
  <c r="F125" i="8"/>
  <c r="F134" i="8"/>
  <c r="F143" i="8"/>
  <c r="F154" i="8"/>
  <c r="F163" i="8"/>
  <c r="F171" i="8"/>
  <c r="F180" i="8"/>
  <c r="F6" i="8"/>
  <c r="F16" i="8"/>
  <c r="F19" i="8"/>
  <c r="F29" i="8"/>
  <c r="F45" i="8"/>
  <c r="F58" i="8"/>
  <c r="F71" i="8"/>
  <c r="F83" i="8"/>
  <c r="F94" i="8"/>
  <c r="F101" i="8"/>
  <c r="F110" i="8"/>
  <c r="F119" i="8"/>
  <c r="F128" i="8"/>
  <c r="F137" i="8"/>
  <c r="F146" i="8"/>
  <c r="F157" i="8"/>
  <c r="F166" i="8"/>
  <c r="F168" i="8"/>
  <c r="F177" i="8"/>
  <c r="F17" i="8"/>
  <c r="F46" i="8"/>
  <c r="F51" i="8"/>
  <c r="F56" i="8"/>
  <c r="F84" i="8"/>
  <c r="F92" i="8"/>
  <c r="F96" i="8"/>
  <c r="F103" i="8"/>
  <c r="F113" i="8"/>
  <c r="F123" i="8"/>
  <c r="F130" i="8"/>
  <c r="F140" i="8"/>
  <c r="F160" i="8"/>
  <c r="F4" i="8"/>
  <c r="F28" i="8"/>
  <c r="F33" i="8"/>
  <c r="F43" i="8"/>
  <c r="F67" i="8"/>
  <c r="F72" i="8"/>
  <c r="F104" i="8"/>
  <c r="F114" i="8"/>
  <c r="F121" i="8"/>
  <c r="F131" i="8"/>
  <c r="F10" i="8"/>
  <c r="F34" i="8"/>
  <c r="F49" i="8"/>
  <c r="F90" i="8"/>
  <c r="F108" i="8"/>
  <c r="F111" i="8"/>
  <c r="F115" i="8"/>
  <c r="F118" i="8"/>
  <c r="F135" i="8"/>
  <c r="F138" i="8"/>
  <c r="F142" i="8"/>
  <c r="F145" i="8"/>
  <c r="F184" i="8"/>
  <c r="F186" i="8"/>
  <c r="F193" i="8"/>
  <c r="F195" i="8"/>
  <c r="F13" i="8"/>
  <c r="F52" i="8"/>
  <c r="F62" i="8"/>
  <c r="F81" i="8"/>
  <c r="F97" i="8"/>
  <c r="F117" i="8"/>
  <c r="F124" i="8"/>
  <c r="F147" i="8"/>
  <c r="F185" i="8"/>
  <c r="F196" i="8"/>
  <c r="F203" i="8"/>
  <c r="F212" i="8"/>
  <c r="F221" i="8"/>
  <c r="F230" i="8"/>
  <c r="F239" i="8"/>
  <c r="F248" i="8"/>
  <c r="F257" i="8"/>
  <c r="F266" i="8"/>
  <c r="F275" i="8"/>
  <c r="F284" i="8"/>
  <c r="F293" i="8"/>
  <c r="F300" i="8"/>
  <c r="F302" i="8"/>
  <c r="F309" i="8"/>
  <c r="F311" i="8"/>
  <c r="F318" i="8"/>
  <c r="F320" i="8"/>
  <c r="F327" i="8"/>
  <c r="F329" i="8"/>
  <c r="F336" i="8"/>
  <c r="F338" i="8"/>
  <c r="F345" i="8"/>
  <c r="F347" i="8"/>
  <c r="F354" i="8"/>
  <c r="F356" i="8"/>
  <c r="F363" i="8"/>
  <c r="F365" i="8"/>
  <c r="F372" i="8"/>
  <c r="F374" i="8"/>
  <c r="F381" i="8"/>
  <c r="F383" i="8"/>
  <c r="F390" i="8"/>
  <c r="F392" i="8"/>
  <c r="F399" i="8"/>
  <c r="F401" i="8"/>
  <c r="F408" i="8"/>
  <c r="F410" i="8"/>
  <c r="F417" i="8"/>
  <c r="F419" i="8"/>
  <c r="F426" i="8"/>
  <c r="F428" i="8"/>
  <c r="F435" i="8"/>
  <c r="F437" i="8"/>
  <c r="F444" i="8"/>
  <c r="F446" i="8"/>
  <c r="F453" i="8"/>
  <c r="F455" i="8"/>
  <c r="F462" i="8"/>
  <c r="F464" i="8"/>
  <c r="F471" i="8"/>
  <c r="F473" i="8"/>
  <c r="F480" i="8"/>
  <c r="F482" i="8"/>
  <c r="F489" i="8"/>
  <c r="F491" i="8"/>
  <c r="F498" i="8"/>
  <c r="F500" i="8"/>
  <c r="F507" i="8"/>
  <c r="F509" i="8"/>
  <c r="F516" i="8"/>
  <c r="F518" i="8"/>
  <c r="F26" i="8"/>
  <c r="F36" i="8"/>
  <c r="F65" i="8"/>
  <c r="F99" i="8"/>
  <c r="F106" i="8"/>
  <c r="F126" i="8"/>
  <c r="F133" i="8"/>
  <c r="F139" i="8"/>
  <c r="F144" i="8"/>
  <c r="F149" i="8"/>
  <c r="F174" i="8"/>
  <c r="F183" i="8"/>
  <c r="F194" i="8"/>
  <c r="F206" i="8"/>
  <c r="F215" i="8"/>
  <c r="F224" i="8"/>
  <c r="F233" i="8"/>
  <c r="F242" i="8"/>
  <c r="F251" i="8"/>
  <c r="F260" i="8"/>
  <c r="F269" i="8"/>
  <c r="F278" i="8"/>
  <c r="F287" i="8"/>
  <c r="F297" i="8"/>
  <c r="F299" i="8"/>
  <c r="F306" i="8"/>
  <c r="F308" i="8"/>
  <c r="F315" i="8"/>
  <c r="F317" i="8"/>
  <c r="F324" i="8"/>
  <c r="F326" i="8"/>
  <c r="F333" i="8"/>
  <c r="F335" i="8"/>
  <c r="F342" i="8"/>
  <c r="F344" i="8"/>
  <c r="F351" i="8"/>
  <c r="F353" i="8"/>
  <c r="F360" i="8"/>
  <c r="F362" i="8"/>
  <c r="F369" i="8"/>
  <c r="F371" i="8"/>
  <c r="F378" i="8"/>
  <c r="F380" i="8"/>
  <c r="F387" i="8"/>
  <c r="F389" i="8"/>
  <c r="F396" i="8"/>
  <c r="F398" i="8"/>
  <c r="F405" i="8"/>
  <c r="F407" i="8"/>
  <c r="F414" i="8"/>
  <c r="F416" i="8"/>
  <c r="F423" i="8"/>
  <c r="F425" i="8"/>
  <c r="F432" i="8"/>
  <c r="F434" i="8"/>
  <c r="F441" i="8"/>
  <c r="F443" i="8"/>
  <c r="F450" i="8"/>
  <c r="F452" i="8"/>
  <c r="F459" i="8"/>
  <c r="F461" i="8"/>
  <c r="F468" i="8"/>
  <c r="F470" i="8"/>
  <c r="F477" i="8"/>
  <c r="F479" i="8"/>
  <c r="F486" i="8"/>
  <c r="F488" i="8"/>
  <c r="F495" i="8"/>
  <c r="F497" i="8"/>
  <c r="F504" i="8"/>
  <c r="F506" i="8"/>
  <c r="F513" i="8"/>
  <c r="F515" i="8"/>
  <c r="F8" i="8"/>
  <c r="F47" i="8"/>
  <c r="F100" i="8"/>
  <c r="F120" i="8"/>
  <c r="F127" i="8"/>
  <c r="F181" i="8"/>
  <c r="F189" i="8"/>
  <c r="F197" i="8"/>
  <c r="F202" i="8"/>
  <c r="F204" i="8"/>
  <c r="F211" i="8"/>
  <c r="F213" i="8"/>
  <c r="F220" i="8"/>
  <c r="F222" i="8"/>
  <c r="F229" i="8"/>
  <c r="F231" i="8"/>
  <c r="F238" i="8"/>
  <c r="F240" i="8"/>
  <c r="F247" i="8"/>
  <c r="F249" i="8"/>
  <c r="F256" i="8"/>
  <c r="F258" i="8"/>
  <c r="F265" i="8"/>
  <c r="F267" i="8"/>
  <c r="F274" i="8"/>
  <c r="F276" i="8"/>
  <c r="F283" i="8"/>
  <c r="F285" i="8"/>
  <c r="F292" i="8"/>
  <c r="F301" i="8"/>
  <c r="F310" i="8"/>
  <c r="F319" i="8"/>
  <c r="F328" i="8"/>
  <c r="F337" i="8"/>
  <c r="F346" i="8"/>
  <c r="F355" i="8"/>
  <c r="F364" i="8"/>
  <c r="F373" i="8"/>
  <c r="F382" i="8"/>
  <c r="F391" i="8"/>
  <c r="F400" i="8"/>
  <c r="F409" i="8"/>
  <c r="F418" i="8"/>
  <c r="F427" i="8"/>
  <c r="F436" i="8"/>
  <c r="F15" i="8"/>
  <c r="F54" i="8"/>
  <c r="F105" i="8"/>
  <c r="F132" i="8"/>
  <c r="F188" i="8"/>
  <c r="F199" i="8"/>
  <c r="F208" i="8"/>
  <c r="F217" i="8"/>
  <c r="F226" i="8"/>
  <c r="F235" i="8"/>
  <c r="F244" i="8"/>
  <c r="F253" i="8"/>
  <c r="F262" i="8"/>
  <c r="F271" i="8"/>
  <c r="F280" i="8"/>
  <c r="F289" i="8"/>
  <c r="F304" i="8"/>
  <c r="F322" i="8"/>
  <c r="F340" i="8"/>
  <c r="F358" i="8"/>
  <c r="F376" i="8"/>
  <c r="F394" i="8"/>
  <c r="F412" i="8"/>
  <c r="F430" i="8"/>
  <c r="F440" i="8"/>
  <c r="F448" i="8"/>
  <c r="F456" i="8"/>
  <c r="F467" i="8"/>
  <c r="F475" i="8"/>
  <c r="F483" i="8"/>
  <c r="F494" i="8"/>
  <c r="F502" i="8"/>
  <c r="F510" i="8"/>
  <c r="F523" i="8"/>
  <c r="F532" i="8"/>
  <c r="F536" i="8"/>
  <c r="F122" i="8"/>
  <c r="F172" i="8"/>
  <c r="F178" i="8"/>
  <c r="F200" i="8"/>
  <c r="F209" i="8"/>
  <c r="F218" i="8"/>
  <c r="F227" i="8"/>
  <c r="F236" i="8"/>
  <c r="F245" i="8"/>
  <c r="F254" i="8"/>
  <c r="F263" i="8"/>
  <c r="F272" i="8"/>
  <c r="F281" i="8"/>
  <c r="F290" i="8"/>
  <c r="F294" i="8"/>
  <c r="F305" i="8"/>
  <c r="F312" i="8"/>
  <c r="F323" i="8"/>
  <c r="F330" i="8"/>
  <c r="F341" i="8"/>
  <c r="F348" i="8"/>
  <c r="F359" i="8"/>
  <c r="F366" i="8"/>
  <c r="F377" i="8"/>
  <c r="F384" i="8"/>
  <c r="F395" i="8"/>
  <c r="F402" i="8"/>
  <c r="F413" i="8"/>
  <c r="F420" i="8"/>
  <c r="F431" i="8"/>
  <c r="F451" i="8"/>
  <c r="F454" i="8"/>
  <c r="F478" i="8"/>
  <c r="F481" i="8"/>
  <c r="F505" i="8"/>
  <c r="F508" i="8"/>
  <c r="F521" i="8"/>
  <c r="F528" i="8"/>
  <c r="F530" i="8"/>
  <c r="F538" i="8"/>
  <c r="F541" i="8"/>
  <c r="F544" i="8"/>
  <c r="F547" i="8"/>
  <c r="F550" i="8"/>
  <c r="F553" i="8"/>
  <c r="F556" i="8"/>
  <c r="F559" i="8"/>
  <c r="F562" i="8"/>
  <c r="F565" i="8"/>
  <c r="F568" i="8"/>
  <c r="F571" i="8"/>
  <c r="F574" i="8"/>
  <c r="F577" i="8"/>
  <c r="F580" i="8"/>
  <c r="F583" i="8"/>
  <c r="F586" i="8"/>
  <c r="F589" i="8"/>
  <c r="F592" i="8"/>
  <c r="F595" i="8"/>
  <c r="F598" i="8"/>
  <c r="F601" i="8"/>
  <c r="F604" i="8"/>
  <c r="F607" i="8"/>
  <c r="F610" i="8"/>
  <c r="F613" i="8"/>
  <c r="F616" i="8"/>
  <c r="F619" i="8"/>
  <c r="F622" i="8"/>
  <c r="F625" i="8"/>
  <c r="F628" i="8"/>
  <c r="F631" i="8"/>
  <c r="F634" i="8"/>
  <c r="F637" i="8"/>
  <c r="F640" i="8"/>
  <c r="F643" i="8"/>
  <c r="F646" i="8"/>
  <c r="F649" i="8"/>
  <c r="F652" i="8"/>
  <c r="F655" i="8"/>
  <c r="F658" i="8"/>
  <c r="F661" i="8"/>
  <c r="F664" i="8"/>
  <c r="F667" i="8"/>
  <c r="F670" i="8"/>
  <c r="F673" i="8"/>
  <c r="F676" i="8"/>
  <c r="F679" i="8"/>
  <c r="F682" i="8"/>
  <c r="F685" i="8"/>
  <c r="F688" i="8"/>
  <c r="F691" i="8"/>
  <c r="F694" i="8"/>
  <c r="F697" i="8"/>
  <c r="F700" i="8"/>
  <c r="F703" i="8"/>
  <c r="F706" i="8"/>
  <c r="F709" i="8"/>
  <c r="F712" i="8"/>
  <c r="F715" i="8"/>
  <c r="F718" i="8"/>
  <c r="F721" i="8"/>
  <c r="F724" i="8"/>
  <c r="F727" i="8"/>
  <c r="F730" i="8"/>
  <c r="F733" i="8"/>
  <c r="F736" i="8"/>
  <c r="F739" i="8"/>
  <c r="F742" i="8"/>
  <c r="F745" i="8"/>
  <c r="F748" i="8"/>
  <c r="F751" i="8"/>
  <c r="F754" i="8"/>
  <c r="F757" i="8"/>
  <c r="F760" i="8"/>
  <c r="F763" i="8"/>
  <c r="F766" i="8"/>
  <c r="F769" i="8"/>
  <c r="F772" i="8"/>
  <c r="F775" i="8"/>
  <c r="F778" i="8"/>
  <c r="F781" i="8"/>
  <c r="F784" i="8"/>
  <c r="F787" i="8"/>
  <c r="F790" i="8"/>
  <c r="F793" i="8"/>
  <c r="F796" i="8"/>
  <c r="F802" i="8"/>
  <c r="F805" i="8"/>
  <c r="G2" i="8"/>
  <c r="F799" i="8"/>
  <c r="F109" i="8"/>
  <c r="F136" i="8"/>
  <c r="F190" i="8"/>
  <c r="F205" i="8"/>
  <c r="F214" i="8"/>
  <c r="F223" i="8"/>
  <c r="F232" i="8"/>
  <c r="F241" i="8"/>
  <c r="F250" i="8"/>
  <c r="F259" i="8"/>
  <c r="F268" i="8"/>
  <c r="F277" i="8"/>
  <c r="F286" i="8"/>
  <c r="F298" i="8"/>
  <c r="F316" i="8"/>
  <c r="F334" i="8"/>
  <c r="F352" i="8"/>
  <c r="F370" i="8"/>
  <c r="F388" i="8"/>
  <c r="F406" i="8"/>
  <c r="F424" i="8"/>
  <c r="F438" i="8"/>
  <c r="F449" i="8"/>
  <c r="F457" i="8"/>
  <c r="F465" i="8"/>
  <c r="F476" i="8"/>
  <c r="F484" i="8"/>
  <c r="F492" i="8"/>
  <c r="F503" i="8"/>
  <c r="F511" i="8"/>
  <c r="F519" i="8"/>
  <c r="F526" i="8"/>
  <c r="F64" i="8"/>
  <c r="F112" i="8"/>
  <c r="F148" i="8"/>
  <c r="F191" i="8"/>
  <c r="F201" i="8"/>
  <c r="F210" i="8"/>
  <c r="F219" i="8"/>
  <c r="F228" i="8"/>
  <c r="F237" i="8"/>
  <c r="F246" i="8"/>
  <c r="F255" i="8"/>
  <c r="F264" i="8"/>
  <c r="F273" i="8"/>
  <c r="F282" i="8"/>
  <c r="F291" i="8"/>
  <c r="F295" i="8"/>
  <c r="F313" i="8"/>
  <c r="F331" i="8"/>
  <c r="F349" i="8"/>
  <c r="F367" i="8"/>
  <c r="F385" i="8"/>
  <c r="F403" i="8"/>
  <c r="F421" i="8"/>
  <c r="F460" i="8"/>
  <c r="F463" i="8"/>
  <c r="F487" i="8"/>
  <c r="F490" i="8"/>
  <c r="F514" i="8"/>
  <c r="F517" i="8"/>
  <c r="F522" i="8"/>
  <c r="F524" i="8"/>
  <c r="F531" i="8"/>
  <c r="F533" i="8"/>
  <c r="F535" i="8"/>
  <c r="F537" i="8"/>
  <c r="F540" i="8"/>
  <c r="F543" i="8"/>
  <c r="F546" i="8"/>
  <c r="F549" i="8"/>
  <c r="F552" i="8"/>
  <c r="F555" i="8"/>
  <c r="F558" i="8"/>
  <c r="F561" i="8"/>
  <c r="F564" i="8"/>
  <c r="F567" i="8"/>
  <c r="F570" i="8"/>
  <c r="F573" i="8"/>
  <c r="F576" i="8"/>
  <c r="F579" i="8"/>
  <c r="F582" i="8"/>
  <c r="F585" i="8"/>
  <c r="F588" i="8"/>
  <c r="F591" i="8"/>
  <c r="F594" i="8"/>
  <c r="F597" i="8"/>
  <c r="F600" i="8"/>
  <c r="F603" i="8"/>
  <c r="F606" i="8"/>
  <c r="F609" i="8"/>
  <c r="F612" i="8"/>
  <c r="F615" i="8"/>
  <c r="F618" i="8"/>
  <c r="F621" i="8"/>
  <c r="F624" i="8"/>
  <c r="F627" i="8"/>
  <c r="F630" i="8"/>
  <c r="F633" i="8"/>
  <c r="F636" i="8"/>
  <c r="F639" i="8"/>
  <c r="F642" i="8"/>
  <c r="F645" i="8"/>
  <c r="F648" i="8"/>
  <c r="F651" i="8"/>
  <c r="F654" i="8"/>
  <c r="F657" i="8"/>
  <c r="F660" i="8"/>
  <c r="F663" i="8"/>
  <c r="F666" i="8"/>
  <c r="F669" i="8"/>
  <c r="F672" i="8"/>
  <c r="F675" i="8"/>
  <c r="F678" i="8"/>
  <c r="F681" i="8"/>
  <c r="F684" i="8"/>
  <c r="F687" i="8"/>
  <c r="F690" i="8"/>
  <c r="F693" i="8"/>
  <c r="F696" i="8"/>
  <c r="F699" i="8"/>
  <c r="F702" i="8"/>
  <c r="F705" i="8"/>
  <c r="F708" i="8"/>
  <c r="F711" i="8"/>
  <c r="F714" i="8"/>
  <c r="F717" i="8"/>
  <c r="F720" i="8"/>
  <c r="F723" i="8"/>
  <c r="F726" i="8"/>
  <c r="F729" i="8"/>
  <c r="F732" i="8"/>
  <c r="F735" i="8"/>
  <c r="F738" i="8"/>
  <c r="F741" i="8"/>
  <c r="F744" i="8"/>
  <c r="F747" i="8"/>
  <c r="F750" i="8"/>
  <c r="F753" i="8"/>
  <c r="F756" i="8"/>
  <c r="F759" i="8"/>
  <c r="F762" i="8"/>
  <c r="F765" i="8"/>
  <c r="F768" i="8"/>
  <c r="F771" i="8"/>
  <c r="F774" i="8"/>
  <c r="F777" i="8"/>
  <c r="F780" i="8"/>
  <c r="F783" i="8"/>
  <c r="F786" i="8"/>
  <c r="F789" i="8"/>
  <c r="F792" i="8"/>
  <c r="F795" i="8"/>
  <c r="F798" i="8"/>
  <c r="F801" i="8"/>
  <c r="F804" i="8"/>
  <c r="F175" i="8"/>
  <c r="F187" i="8"/>
  <c r="F192" i="8"/>
  <c r="F11" i="8"/>
  <c r="F207" i="8"/>
  <c r="F234" i="8"/>
  <c r="F321" i="8"/>
  <c r="F332" i="8"/>
  <c r="F375" i="8"/>
  <c r="F386" i="8"/>
  <c r="F429" i="8"/>
  <c r="F439" i="8"/>
  <c r="F447" i="8"/>
  <c r="F512" i="8"/>
  <c r="F520" i="8"/>
  <c r="F710" i="8"/>
  <c r="F719" i="8"/>
  <c r="F737" i="8"/>
  <c r="F746" i="8"/>
  <c r="F755" i="8"/>
  <c r="F773" i="8"/>
  <c r="F782" i="8"/>
  <c r="F800" i="8"/>
  <c r="F129" i="8"/>
  <c r="F182" i="8"/>
  <c r="F261" i="8"/>
  <c r="F288" i="8"/>
  <c r="F343" i="8"/>
  <c r="F397" i="8"/>
  <c r="F472" i="8"/>
  <c r="F496" i="8"/>
  <c r="F527" i="8"/>
  <c r="F534" i="8"/>
  <c r="F539" i="8"/>
  <c r="F548" i="8"/>
  <c r="F557" i="8"/>
  <c r="F566" i="8"/>
  <c r="F575" i="8"/>
  <c r="F584" i="8"/>
  <c r="F593" i="8"/>
  <c r="F602" i="8"/>
  <c r="F611" i="8"/>
  <c r="F620" i="8"/>
  <c r="F629" i="8"/>
  <c r="F638" i="8"/>
  <c r="F647" i="8"/>
  <c r="F656" i="8"/>
  <c r="F665" i="8"/>
  <c r="F674" i="8"/>
  <c r="F683" i="8"/>
  <c r="F692" i="8"/>
  <c r="F701" i="8"/>
  <c r="F728" i="8"/>
  <c r="F764" i="8"/>
  <c r="F791" i="8"/>
  <c r="F141" i="8"/>
  <c r="F216" i="8"/>
  <c r="F243" i="8"/>
  <c r="F303" i="8"/>
  <c r="F314" i="8"/>
  <c r="F357" i="8"/>
  <c r="F368" i="8"/>
  <c r="F411" i="8"/>
  <c r="F422" i="8"/>
  <c r="F458" i="8"/>
  <c r="F466" i="8"/>
  <c r="F474" i="8"/>
  <c r="F529" i="8"/>
  <c r="F69" i="8"/>
  <c r="F151" i="8"/>
  <c r="F279" i="8"/>
  <c r="F325" i="8"/>
  <c r="F379" i="8"/>
  <c r="F433" i="8"/>
  <c r="F442" i="8"/>
  <c r="F499" i="8"/>
  <c r="F545" i="8"/>
  <c r="F554" i="8"/>
  <c r="F563" i="8"/>
  <c r="F572" i="8"/>
  <c r="F581" i="8"/>
  <c r="F590" i="8"/>
  <c r="F599" i="8"/>
  <c r="F608" i="8"/>
  <c r="F617" i="8"/>
  <c r="F626" i="8"/>
  <c r="F635" i="8"/>
  <c r="F644" i="8"/>
  <c r="F653" i="8"/>
  <c r="F662" i="8"/>
  <c r="F671" i="8"/>
  <c r="F680" i="8"/>
  <c r="F689" i="8"/>
  <c r="F698" i="8"/>
  <c r="F707" i="8"/>
  <c r="F716" i="8"/>
  <c r="F725" i="8"/>
  <c r="F734" i="8"/>
  <c r="F743" i="8"/>
  <c r="F752" i="8"/>
  <c r="F761" i="8"/>
  <c r="F770" i="8"/>
  <c r="F779" i="8"/>
  <c r="F788" i="8"/>
  <c r="F797" i="8"/>
  <c r="F3" i="8"/>
  <c r="F198" i="8"/>
  <c r="F493" i="8"/>
  <c r="F501" i="8"/>
  <c r="F87" i="8"/>
  <c r="F225" i="8"/>
  <c r="F252" i="8"/>
  <c r="F296" i="8"/>
  <c r="F339" i="8"/>
  <c r="F350" i="8"/>
  <c r="F393" i="8"/>
  <c r="F404" i="8"/>
  <c r="F485" i="8"/>
  <c r="F102" i="8"/>
  <c r="F415" i="8"/>
  <c r="F469" i="8"/>
  <c r="F551" i="8"/>
  <c r="F578" i="8"/>
  <c r="F605" i="8"/>
  <c r="F632" i="8"/>
  <c r="F659" i="8"/>
  <c r="F686" i="8"/>
  <c r="F713" i="8"/>
  <c r="F740" i="8"/>
  <c r="F767" i="8"/>
  <c r="F794" i="8"/>
  <c r="F169" i="8"/>
  <c r="F361" i="8"/>
  <c r="F525" i="8"/>
  <c r="F307" i="8"/>
  <c r="F560" i="8"/>
  <c r="F587" i="8"/>
  <c r="F614" i="8"/>
  <c r="F641" i="8"/>
  <c r="F668" i="8"/>
  <c r="F695" i="8"/>
  <c r="F722" i="8"/>
  <c r="F749" i="8"/>
  <c r="F776" i="8"/>
  <c r="F803" i="8"/>
  <c r="F270" i="8"/>
  <c r="F445" i="8"/>
  <c r="F542" i="8"/>
  <c r="F569" i="8"/>
  <c r="F596" i="8"/>
  <c r="F623" i="8"/>
  <c r="F650" i="8"/>
  <c r="F677" i="8"/>
  <c r="F704" i="8"/>
  <c r="F731" i="8"/>
  <c r="F758" i="8"/>
  <c r="F785" i="8"/>
  <c r="R151" i="3" l="1"/>
  <c r="R222" i="3"/>
  <c r="R26" i="3"/>
  <c r="R393" i="3"/>
  <c r="R348" i="3"/>
  <c r="R174" i="3"/>
  <c r="G6" i="8"/>
  <c r="R5" i="3" s="1"/>
  <c r="G9" i="8"/>
  <c r="R8" i="3" s="1"/>
  <c r="G12" i="8"/>
  <c r="R11" i="3" s="1"/>
  <c r="G15" i="8"/>
  <c r="R14" i="3" s="1"/>
  <c r="G18" i="8"/>
  <c r="R17" i="3" s="1"/>
  <c r="G21" i="8"/>
  <c r="R20" i="3" s="1"/>
  <c r="G24" i="8"/>
  <c r="R23" i="3" s="1"/>
  <c r="G27" i="8"/>
  <c r="G30" i="8"/>
  <c r="R29" i="3" s="1"/>
  <c r="G33" i="8"/>
  <c r="R32" i="3" s="1"/>
  <c r="G36" i="8"/>
  <c r="R35" i="3" s="1"/>
  <c r="G39" i="8"/>
  <c r="R38" i="3" s="1"/>
  <c r="G42" i="8"/>
  <c r="R41" i="3" s="1"/>
  <c r="G45" i="8"/>
  <c r="R44" i="3" s="1"/>
  <c r="G48" i="8"/>
  <c r="R47" i="3" s="1"/>
  <c r="G51" i="8"/>
  <c r="R50" i="3" s="1"/>
  <c r="G54" i="8"/>
  <c r="R53" i="3" s="1"/>
  <c r="G57" i="8"/>
  <c r="R56" i="3" s="1"/>
  <c r="G60" i="8"/>
  <c r="R59" i="3" s="1"/>
  <c r="G63" i="8"/>
  <c r="R62" i="3" s="1"/>
  <c r="G66" i="8"/>
  <c r="R65" i="3" s="1"/>
  <c r="G69" i="8"/>
  <c r="R68" i="3" s="1"/>
  <c r="G72" i="8"/>
  <c r="R71" i="3" s="1"/>
  <c r="G75" i="8"/>
  <c r="R74" i="3" s="1"/>
  <c r="G78" i="8"/>
  <c r="R77" i="3" s="1"/>
  <c r="G10" i="8"/>
  <c r="R9" i="3" s="1"/>
  <c r="G19" i="8"/>
  <c r="R18" i="3" s="1"/>
  <c r="G28" i="8"/>
  <c r="R27" i="3" s="1"/>
  <c r="G37" i="8"/>
  <c r="R36" i="3" s="1"/>
  <c r="G46" i="8"/>
  <c r="R45" i="3" s="1"/>
  <c r="G55" i="8"/>
  <c r="R54" i="3" s="1"/>
  <c r="G64" i="8"/>
  <c r="R63" i="3" s="1"/>
  <c r="G73" i="8"/>
  <c r="R72" i="3" s="1"/>
  <c r="G80" i="8"/>
  <c r="R79" i="3" s="1"/>
  <c r="G83" i="8"/>
  <c r="R82" i="3" s="1"/>
  <c r="G86" i="8"/>
  <c r="R85" i="3" s="1"/>
  <c r="G89" i="8"/>
  <c r="R88" i="3" s="1"/>
  <c r="G92" i="8"/>
  <c r="R91" i="3" s="1"/>
  <c r="G95" i="8"/>
  <c r="R94" i="3" s="1"/>
  <c r="G11" i="8"/>
  <c r="R10" i="3" s="1"/>
  <c r="G13" i="8"/>
  <c r="R12" i="3" s="1"/>
  <c r="G26" i="8"/>
  <c r="R25" i="3" s="1"/>
  <c r="G50" i="8"/>
  <c r="R49" i="3" s="1"/>
  <c r="G52" i="8"/>
  <c r="R51" i="3" s="1"/>
  <c r="G65" i="8"/>
  <c r="R64" i="3" s="1"/>
  <c r="G67" i="8"/>
  <c r="R66" i="3" s="1"/>
  <c r="G87" i="8"/>
  <c r="R86" i="3" s="1"/>
  <c r="G96" i="8"/>
  <c r="R95" i="3" s="1"/>
  <c r="G99" i="8"/>
  <c r="R98" i="3" s="1"/>
  <c r="G102" i="8"/>
  <c r="R101" i="3" s="1"/>
  <c r="G105" i="8"/>
  <c r="R104" i="3" s="1"/>
  <c r="G108" i="8"/>
  <c r="R107" i="3" s="1"/>
  <c r="G111" i="8"/>
  <c r="R110" i="3" s="1"/>
  <c r="G114" i="8"/>
  <c r="R113" i="3" s="1"/>
  <c r="G117" i="8"/>
  <c r="R116" i="3" s="1"/>
  <c r="G120" i="8"/>
  <c r="R119" i="3" s="1"/>
  <c r="G123" i="8"/>
  <c r="R122" i="3" s="1"/>
  <c r="G126" i="8"/>
  <c r="R125" i="3" s="1"/>
  <c r="G129" i="8"/>
  <c r="R128" i="3" s="1"/>
  <c r="G132" i="8"/>
  <c r="R131" i="3" s="1"/>
  <c r="G135" i="8"/>
  <c r="R134" i="3" s="1"/>
  <c r="G138" i="8"/>
  <c r="R137" i="3" s="1"/>
  <c r="G141" i="8"/>
  <c r="R140" i="3" s="1"/>
  <c r="G144" i="8"/>
  <c r="R143" i="3" s="1"/>
  <c r="G147" i="8"/>
  <c r="R146" i="3" s="1"/>
  <c r="G14" i="8"/>
  <c r="R13" i="3" s="1"/>
  <c r="G16" i="8"/>
  <c r="R15" i="3" s="1"/>
  <c r="G29" i="8"/>
  <c r="R28" i="3" s="1"/>
  <c r="G31" i="8"/>
  <c r="R30" i="3" s="1"/>
  <c r="G44" i="8"/>
  <c r="R43" i="3" s="1"/>
  <c r="G68" i="8"/>
  <c r="R67" i="3" s="1"/>
  <c r="G70" i="8"/>
  <c r="R69" i="3" s="1"/>
  <c r="G84" i="8"/>
  <c r="R83" i="3" s="1"/>
  <c r="G93" i="8"/>
  <c r="R92" i="3" s="1"/>
  <c r="G98" i="8"/>
  <c r="R97" i="3" s="1"/>
  <c r="G101" i="8"/>
  <c r="R100" i="3" s="1"/>
  <c r="G104" i="8"/>
  <c r="R103" i="3" s="1"/>
  <c r="G107" i="8"/>
  <c r="R106" i="3" s="1"/>
  <c r="G110" i="8"/>
  <c r="R109" i="3" s="1"/>
  <c r="G113" i="8"/>
  <c r="R112" i="3" s="1"/>
  <c r="G116" i="8"/>
  <c r="R115" i="3" s="1"/>
  <c r="G119" i="8"/>
  <c r="R118" i="3" s="1"/>
  <c r="G122" i="8"/>
  <c r="R121" i="3" s="1"/>
  <c r="G125" i="8"/>
  <c r="R124" i="3" s="1"/>
  <c r="G128" i="8"/>
  <c r="R127" i="3" s="1"/>
  <c r="G131" i="8"/>
  <c r="R130" i="3" s="1"/>
  <c r="G134" i="8"/>
  <c r="R133" i="3" s="1"/>
  <c r="G137" i="8"/>
  <c r="R136" i="3" s="1"/>
  <c r="G140" i="8"/>
  <c r="R139" i="3" s="1"/>
  <c r="G143" i="8"/>
  <c r="R142" i="3" s="1"/>
  <c r="G146" i="8"/>
  <c r="R145" i="3" s="1"/>
  <c r="G149" i="8"/>
  <c r="R148" i="3" s="1"/>
  <c r="G5" i="8"/>
  <c r="R4" i="3" s="1"/>
  <c r="G8" i="8"/>
  <c r="R7" i="3" s="1"/>
  <c r="G34" i="8"/>
  <c r="R33" i="3" s="1"/>
  <c r="G47" i="8"/>
  <c r="R46" i="3" s="1"/>
  <c r="G76" i="8"/>
  <c r="R75" i="3" s="1"/>
  <c r="G82" i="8"/>
  <c r="R81" i="3" s="1"/>
  <c r="G90" i="8"/>
  <c r="R89" i="3" s="1"/>
  <c r="G100" i="8"/>
  <c r="R99" i="3" s="1"/>
  <c r="G109" i="8"/>
  <c r="R108" i="3" s="1"/>
  <c r="G118" i="8"/>
  <c r="R117" i="3" s="1"/>
  <c r="G127" i="8"/>
  <c r="R126" i="3" s="1"/>
  <c r="G136" i="8"/>
  <c r="R135" i="3" s="1"/>
  <c r="G145" i="8"/>
  <c r="R144" i="3" s="1"/>
  <c r="G156" i="8"/>
  <c r="R155" i="3" s="1"/>
  <c r="G165" i="8"/>
  <c r="R164" i="3" s="1"/>
  <c r="G169" i="8"/>
  <c r="R168" i="3" s="1"/>
  <c r="G178" i="8"/>
  <c r="R177" i="3" s="1"/>
  <c r="G183" i="8"/>
  <c r="R182" i="3" s="1"/>
  <c r="G186" i="8"/>
  <c r="R185" i="3" s="1"/>
  <c r="G189" i="8"/>
  <c r="R188" i="3" s="1"/>
  <c r="G192" i="8"/>
  <c r="R191" i="3" s="1"/>
  <c r="G195" i="8"/>
  <c r="R194" i="3" s="1"/>
  <c r="G198" i="8"/>
  <c r="R197" i="3" s="1"/>
  <c r="G201" i="8"/>
  <c r="R200" i="3" s="1"/>
  <c r="G204" i="8"/>
  <c r="R203" i="3" s="1"/>
  <c r="G207" i="8"/>
  <c r="R206" i="3" s="1"/>
  <c r="G210" i="8"/>
  <c r="R209" i="3" s="1"/>
  <c r="G213" i="8"/>
  <c r="R212" i="3" s="1"/>
  <c r="G216" i="8"/>
  <c r="R215" i="3" s="1"/>
  <c r="G219" i="8"/>
  <c r="R218" i="3" s="1"/>
  <c r="G222" i="8"/>
  <c r="R221" i="3" s="1"/>
  <c r="G225" i="8"/>
  <c r="R224" i="3" s="1"/>
  <c r="G228" i="8"/>
  <c r="R227" i="3" s="1"/>
  <c r="G231" i="8"/>
  <c r="R230" i="3" s="1"/>
  <c r="G234" i="8"/>
  <c r="R233" i="3" s="1"/>
  <c r="G237" i="8"/>
  <c r="R236" i="3" s="1"/>
  <c r="G240" i="8"/>
  <c r="R239" i="3" s="1"/>
  <c r="G243" i="8"/>
  <c r="R242" i="3" s="1"/>
  <c r="G246" i="8"/>
  <c r="R245" i="3" s="1"/>
  <c r="G249" i="8"/>
  <c r="R248" i="3" s="1"/>
  <c r="G252" i="8"/>
  <c r="R251" i="3" s="1"/>
  <c r="G255" i="8"/>
  <c r="R254" i="3" s="1"/>
  <c r="G258" i="8"/>
  <c r="R257" i="3" s="1"/>
  <c r="G261" i="8"/>
  <c r="R260" i="3" s="1"/>
  <c r="G264" i="8"/>
  <c r="R263" i="3" s="1"/>
  <c r="G267" i="8"/>
  <c r="R266" i="3" s="1"/>
  <c r="G270" i="8"/>
  <c r="R269" i="3" s="1"/>
  <c r="G273" i="8"/>
  <c r="R272" i="3" s="1"/>
  <c r="G276" i="8"/>
  <c r="R275" i="3" s="1"/>
  <c r="G279" i="8"/>
  <c r="R278" i="3" s="1"/>
  <c r="G282" i="8"/>
  <c r="R281" i="3" s="1"/>
  <c r="G285" i="8"/>
  <c r="R284" i="3" s="1"/>
  <c r="G288" i="8"/>
  <c r="R287" i="3" s="1"/>
  <c r="G291" i="8"/>
  <c r="R290" i="3" s="1"/>
  <c r="G294" i="8"/>
  <c r="R293" i="3" s="1"/>
  <c r="G297" i="8"/>
  <c r="R296" i="3" s="1"/>
  <c r="G300" i="8"/>
  <c r="R299" i="3" s="1"/>
  <c r="G303" i="8"/>
  <c r="R302" i="3" s="1"/>
  <c r="G306" i="8"/>
  <c r="R305" i="3" s="1"/>
  <c r="G309" i="8"/>
  <c r="R308" i="3" s="1"/>
  <c r="G312" i="8"/>
  <c r="R311" i="3" s="1"/>
  <c r="G315" i="8"/>
  <c r="R314" i="3" s="1"/>
  <c r="G318" i="8"/>
  <c r="R317" i="3" s="1"/>
  <c r="G321" i="8"/>
  <c r="R320" i="3" s="1"/>
  <c r="G324" i="8"/>
  <c r="R323" i="3" s="1"/>
  <c r="G327" i="8"/>
  <c r="R326" i="3" s="1"/>
  <c r="G330" i="8"/>
  <c r="R329" i="3" s="1"/>
  <c r="G333" i="8"/>
  <c r="R332" i="3" s="1"/>
  <c r="G336" i="8"/>
  <c r="R335" i="3" s="1"/>
  <c r="G339" i="8"/>
  <c r="R338" i="3" s="1"/>
  <c r="G342" i="8"/>
  <c r="R341" i="3" s="1"/>
  <c r="G345" i="8"/>
  <c r="R344" i="3" s="1"/>
  <c r="G348" i="8"/>
  <c r="R347" i="3" s="1"/>
  <c r="G351" i="8"/>
  <c r="R350" i="3" s="1"/>
  <c r="G354" i="8"/>
  <c r="R353" i="3" s="1"/>
  <c r="G357" i="8"/>
  <c r="R356" i="3" s="1"/>
  <c r="G360" i="8"/>
  <c r="R359" i="3" s="1"/>
  <c r="G363" i="8"/>
  <c r="R362" i="3" s="1"/>
  <c r="G366" i="8"/>
  <c r="R365" i="3" s="1"/>
  <c r="G369" i="8"/>
  <c r="R368" i="3" s="1"/>
  <c r="G372" i="8"/>
  <c r="R371" i="3" s="1"/>
  <c r="G375" i="8"/>
  <c r="R374" i="3" s="1"/>
  <c r="G378" i="8"/>
  <c r="R377" i="3" s="1"/>
  <c r="G381" i="8"/>
  <c r="R380" i="3" s="1"/>
  <c r="G384" i="8"/>
  <c r="R383" i="3" s="1"/>
  <c r="G387" i="8"/>
  <c r="R386" i="3" s="1"/>
  <c r="G390" i="8"/>
  <c r="R389" i="3" s="1"/>
  <c r="G393" i="8"/>
  <c r="R392" i="3" s="1"/>
  <c r="G396" i="8"/>
  <c r="R395" i="3" s="1"/>
  <c r="G399" i="8"/>
  <c r="R398" i="3" s="1"/>
  <c r="G402" i="8"/>
  <c r="R401" i="3" s="1"/>
  <c r="G405" i="8"/>
  <c r="R404" i="3" s="1"/>
  <c r="G408" i="8"/>
  <c r="R407" i="3" s="1"/>
  <c r="G411" i="8"/>
  <c r="R410" i="3" s="1"/>
  <c r="G414" i="8"/>
  <c r="R413" i="3" s="1"/>
  <c r="G417" i="8"/>
  <c r="R416" i="3" s="1"/>
  <c r="G420" i="8"/>
  <c r="R419" i="3" s="1"/>
  <c r="G423" i="8"/>
  <c r="R422" i="3" s="1"/>
  <c r="G426" i="8"/>
  <c r="R425" i="3" s="1"/>
  <c r="G429" i="8"/>
  <c r="R428" i="3" s="1"/>
  <c r="G432" i="8"/>
  <c r="R431" i="3" s="1"/>
  <c r="G435" i="8"/>
  <c r="R434" i="3" s="1"/>
  <c r="G438" i="8"/>
  <c r="R437" i="3" s="1"/>
  <c r="G441" i="8"/>
  <c r="R440" i="3" s="1"/>
  <c r="G444" i="8"/>
  <c r="R443" i="3" s="1"/>
  <c r="G447" i="8"/>
  <c r="R446" i="3" s="1"/>
  <c r="G450" i="8"/>
  <c r="R449" i="3" s="1"/>
  <c r="G453" i="8"/>
  <c r="R452" i="3" s="1"/>
  <c r="G456" i="8"/>
  <c r="R455" i="3" s="1"/>
  <c r="G459" i="8"/>
  <c r="R458" i="3" s="1"/>
  <c r="G462" i="8"/>
  <c r="R461" i="3" s="1"/>
  <c r="G465" i="8"/>
  <c r="R464" i="3" s="1"/>
  <c r="G468" i="8"/>
  <c r="R467" i="3" s="1"/>
  <c r="G471" i="8"/>
  <c r="R470" i="3" s="1"/>
  <c r="G474" i="8"/>
  <c r="R473" i="3" s="1"/>
  <c r="G477" i="8"/>
  <c r="R476" i="3" s="1"/>
  <c r="G480" i="8"/>
  <c r="R479" i="3" s="1"/>
  <c r="G483" i="8"/>
  <c r="R482" i="3" s="1"/>
  <c r="G486" i="8"/>
  <c r="R485" i="3" s="1"/>
  <c r="G489" i="8"/>
  <c r="R488" i="3" s="1"/>
  <c r="G492" i="8"/>
  <c r="R491" i="3" s="1"/>
  <c r="G495" i="8"/>
  <c r="R494" i="3" s="1"/>
  <c r="G498" i="8"/>
  <c r="R497" i="3" s="1"/>
  <c r="G501" i="8"/>
  <c r="R500" i="3" s="1"/>
  <c r="G504" i="8"/>
  <c r="R503" i="3" s="1"/>
  <c r="G507" i="8"/>
  <c r="R506" i="3" s="1"/>
  <c r="G510" i="8"/>
  <c r="R509" i="3" s="1"/>
  <c r="G513" i="8"/>
  <c r="R512" i="3" s="1"/>
  <c r="G516" i="8"/>
  <c r="R515" i="3" s="1"/>
  <c r="G519" i="8"/>
  <c r="R518" i="3" s="1"/>
  <c r="G22" i="8"/>
  <c r="R21" i="3" s="1"/>
  <c r="G32" i="8"/>
  <c r="R31" i="3" s="1"/>
  <c r="G35" i="8"/>
  <c r="R34" i="3" s="1"/>
  <c r="G61" i="8"/>
  <c r="R60" i="3" s="1"/>
  <c r="G74" i="8"/>
  <c r="R73" i="3" s="1"/>
  <c r="G91" i="8"/>
  <c r="R90" i="3" s="1"/>
  <c r="G103" i="8"/>
  <c r="R102" i="3" s="1"/>
  <c r="G112" i="8"/>
  <c r="R111" i="3" s="1"/>
  <c r="G121" i="8"/>
  <c r="R120" i="3" s="1"/>
  <c r="G130" i="8"/>
  <c r="R129" i="3" s="1"/>
  <c r="G139" i="8"/>
  <c r="R138" i="3" s="1"/>
  <c r="G148" i="8"/>
  <c r="R147" i="3" s="1"/>
  <c r="G150" i="8"/>
  <c r="R149" i="3" s="1"/>
  <c r="G159" i="8"/>
  <c r="R158" i="3" s="1"/>
  <c r="G175" i="8"/>
  <c r="G182" i="8"/>
  <c r="R181" i="3" s="1"/>
  <c r="G185" i="8"/>
  <c r="R184" i="3" s="1"/>
  <c r="G188" i="8"/>
  <c r="R187" i="3" s="1"/>
  <c r="G191" i="8"/>
  <c r="R190" i="3" s="1"/>
  <c r="G194" i="8"/>
  <c r="R193" i="3" s="1"/>
  <c r="G197" i="8"/>
  <c r="R196" i="3" s="1"/>
  <c r="G200" i="8"/>
  <c r="R199" i="3" s="1"/>
  <c r="G203" i="8"/>
  <c r="R202" i="3" s="1"/>
  <c r="G206" i="8"/>
  <c r="R205" i="3" s="1"/>
  <c r="G209" i="8"/>
  <c r="R208" i="3" s="1"/>
  <c r="G212" i="8"/>
  <c r="R211" i="3" s="1"/>
  <c r="G215" i="8"/>
  <c r="R214" i="3" s="1"/>
  <c r="G218" i="8"/>
  <c r="R217" i="3" s="1"/>
  <c r="G221" i="8"/>
  <c r="R220" i="3" s="1"/>
  <c r="G224" i="8"/>
  <c r="R223" i="3" s="1"/>
  <c r="G227" i="8"/>
  <c r="R226" i="3" s="1"/>
  <c r="G230" i="8"/>
  <c r="R229" i="3" s="1"/>
  <c r="G233" i="8"/>
  <c r="R232" i="3" s="1"/>
  <c r="G236" i="8"/>
  <c r="R235" i="3" s="1"/>
  <c r="G239" i="8"/>
  <c r="R238" i="3" s="1"/>
  <c r="G242" i="8"/>
  <c r="R241" i="3" s="1"/>
  <c r="G245" i="8"/>
  <c r="R244" i="3" s="1"/>
  <c r="G248" i="8"/>
  <c r="R247" i="3" s="1"/>
  <c r="G251" i="8"/>
  <c r="R250" i="3" s="1"/>
  <c r="G254" i="8"/>
  <c r="R253" i="3" s="1"/>
  <c r="G257" i="8"/>
  <c r="R256" i="3" s="1"/>
  <c r="G260" i="8"/>
  <c r="R259" i="3" s="1"/>
  <c r="G263" i="8"/>
  <c r="R262" i="3" s="1"/>
  <c r="G266" i="8"/>
  <c r="R265" i="3" s="1"/>
  <c r="G269" i="8"/>
  <c r="R268" i="3" s="1"/>
  <c r="G272" i="8"/>
  <c r="R271" i="3" s="1"/>
  <c r="G275" i="8"/>
  <c r="R274" i="3" s="1"/>
  <c r="G278" i="8"/>
  <c r="R277" i="3" s="1"/>
  <c r="G281" i="8"/>
  <c r="R280" i="3" s="1"/>
  <c r="G284" i="8"/>
  <c r="R283" i="3" s="1"/>
  <c r="G287" i="8"/>
  <c r="R286" i="3" s="1"/>
  <c r="G290" i="8"/>
  <c r="R289" i="3" s="1"/>
  <c r="G7" i="8"/>
  <c r="R6" i="3" s="1"/>
  <c r="G41" i="8"/>
  <c r="R40" i="3" s="1"/>
  <c r="G88" i="8"/>
  <c r="R87" i="3" s="1"/>
  <c r="G106" i="8"/>
  <c r="R105" i="3" s="1"/>
  <c r="G133" i="8"/>
  <c r="R132" i="3" s="1"/>
  <c r="G153" i="8"/>
  <c r="R152" i="3" s="1"/>
  <c r="G38" i="8"/>
  <c r="R37" i="3" s="1"/>
  <c r="G62" i="8"/>
  <c r="R61" i="3" s="1"/>
  <c r="G77" i="8"/>
  <c r="R76" i="3" s="1"/>
  <c r="G81" i="8"/>
  <c r="R80" i="3" s="1"/>
  <c r="G85" i="8"/>
  <c r="R84" i="3" s="1"/>
  <c r="G97" i="8"/>
  <c r="R96" i="3" s="1"/>
  <c r="G124" i="8"/>
  <c r="R123" i="3" s="1"/>
  <c r="G4" i="8"/>
  <c r="R3" i="3" s="1"/>
  <c r="G43" i="8"/>
  <c r="R42" i="3" s="1"/>
  <c r="G53" i="8"/>
  <c r="R52" i="3" s="1"/>
  <c r="G58" i="8"/>
  <c r="R57" i="3" s="1"/>
  <c r="G94" i="8"/>
  <c r="R93" i="3" s="1"/>
  <c r="G151" i="8"/>
  <c r="R150" i="3" s="1"/>
  <c r="G155" i="8"/>
  <c r="R154" i="3" s="1"/>
  <c r="G158" i="8"/>
  <c r="R157" i="3" s="1"/>
  <c r="G168" i="8"/>
  <c r="R167" i="3" s="1"/>
  <c r="G176" i="8"/>
  <c r="R175" i="3" s="1"/>
  <c r="G179" i="8"/>
  <c r="R178" i="3" s="1"/>
  <c r="G23" i="8"/>
  <c r="R22" i="3" s="1"/>
  <c r="G71" i="8"/>
  <c r="R70" i="3" s="1"/>
  <c r="G142" i="8"/>
  <c r="R141" i="3" s="1"/>
  <c r="G152" i="8"/>
  <c r="G157" i="8"/>
  <c r="R156" i="3" s="1"/>
  <c r="G162" i="8"/>
  <c r="R161" i="3" s="1"/>
  <c r="G166" i="8"/>
  <c r="R165" i="3" s="1"/>
  <c r="G190" i="8"/>
  <c r="R189" i="3" s="1"/>
  <c r="G193" i="8"/>
  <c r="R192" i="3" s="1"/>
  <c r="G205" i="8"/>
  <c r="R204" i="3" s="1"/>
  <c r="G214" i="8"/>
  <c r="R213" i="3" s="1"/>
  <c r="G223" i="8"/>
  <c r="G232" i="8"/>
  <c r="R231" i="3" s="1"/>
  <c r="G241" i="8"/>
  <c r="R240" i="3" s="1"/>
  <c r="G250" i="8"/>
  <c r="R249" i="3" s="1"/>
  <c r="G259" i="8"/>
  <c r="R258" i="3" s="1"/>
  <c r="G268" i="8"/>
  <c r="R267" i="3" s="1"/>
  <c r="G277" i="8"/>
  <c r="R276" i="3" s="1"/>
  <c r="G286" i="8"/>
  <c r="R285" i="3" s="1"/>
  <c r="G298" i="8"/>
  <c r="R297" i="3" s="1"/>
  <c r="G307" i="8"/>
  <c r="R306" i="3" s="1"/>
  <c r="G316" i="8"/>
  <c r="R315" i="3" s="1"/>
  <c r="G325" i="8"/>
  <c r="R324" i="3" s="1"/>
  <c r="G334" i="8"/>
  <c r="R333" i="3" s="1"/>
  <c r="G343" i="8"/>
  <c r="R342" i="3" s="1"/>
  <c r="G352" i="8"/>
  <c r="R351" i="3" s="1"/>
  <c r="G361" i="8"/>
  <c r="R360" i="3" s="1"/>
  <c r="G370" i="8"/>
  <c r="R369" i="3" s="1"/>
  <c r="G379" i="8"/>
  <c r="R378" i="3" s="1"/>
  <c r="G388" i="8"/>
  <c r="R387" i="3" s="1"/>
  <c r="G397" i="8"/>
  <c r="R396" i="3" s="1"/>
  <c r="G406" i="8"/>
  <c r="R405" i="3" s="1"/>
  <c r="G415" i="8"/>
  <c r="R414" i="3" s="1"/>
  <c r="G424" i="8"/>
  <c r="R423" i="3" s="1"/>
  <c r="G433" i="8"/>
  <c r="R432" i="3" s="1"/>
  <c r="G442" i="8"/>
  <c r="R441" i="3" s="1"/>
  <c r="G451" i="8"/>
  <c r="R450" i="3" s="1"/>
  <c r="G460" i="8"/>
  <c r="R459" i="3" s="1"/>
  <c r="G469" i="8"/>
  <c r="R468" i="3" s="1"/>
  <c r="G478" i="8"/>
  <c r="R477" i="3" s="1"/>
  <c r="G487" i="8"/>
  <c r="R486" i="3" s="1"/>
  <c r="G496" i="8"/>
  <c r="R495" i="3" s="1"/>
  <c r="G505" i="8"/>
  <c r="R504" i="3" s="1"/>
  <c r="G514" i="8"/>
  <c r="R513" i="3" s="1"/>
  <c r="G521" i="8"/>
  <c r="R520" i="3" s="1"/>
  <c r="G524" i="8"/>
  <c r="R523" i="3" s="1"/>
  <c r="G527" i="8"/>
  <c r="R526" i="3" s="1"/>
  <c r="G530" i="8"/>
  <c r="R529" i="3" s="1"/>
  <c r="G533" i="8"/>
  <c r="R532" i="3" s="1"/>
  <c r="G163" i="8"/>
  <c r="R162" i="3" s="1"/>
  <c r="G167" i="8"/>
  <c r="R166" i="3" s="1"/>
  <c r="G177" i="8"/>
  <c r="R176" i="3" s="1"/>
  <c r="G180" i="8"/>
  <c r="R179" i="3" s="1"/>
  <c r="G199" i="8"/>
  <c r="R198" i="3" s="1"/>
  <c r="G208" i="8"/>
  <c r="R207" i="3" s="1"/>
  <c r="G217" i="8"/>
  <c r="R216" i="3" s="1"/>
  <c r="G226" i="8"/>
  <c r="R225" i="3" s="1"/>
  <c r="G235" i="8"/>
  <c r="R234" i="3" s="1"/>
  <c r="G244" i="8"/>
  <c r="R243" i="3" s="1"/>
  <c r="G253" i="8"/>
  <c r="R252" i="3" s="1"/>
  <c r="G262" i="8"/>
  <c r="R261" i="3" s="1"/>
  <c r="G271" i="8"/>
  <c r="R270" i="3" s="1"/>
  <c r="G280" i="8"/>
  <c r="R279" i="3" s="1"/>
  <c r="G289" i="8"/>
  <c r="R288" i="3" s="1"/>
  <c r="G295" i="8"/>
  <c r="R294" i="3" s="1"/>
  <c r="G304" i="8"/>
  <c r="R303" i="3" s="1"/>
  <c r="G313" i="8"/>
  <c r="R312" i="3" s="1"/>
  <c r="G322" i="8"/>
  <c r="R321" i="3" s="1"/>
  <c r="G331" i="8"/>
  <c r="R330" i="3" s="1"/>
  <c r="G340" i="8"/>
  <c r="R339" i="3" s="1"/>
  <c r="G349" i="8"/>
  <c r="G358" i="8"/>
  <c r="R357" i="3" s="1"/>
  <c r="G367" i="8"/>
  <c r="R366" i="3" s="1"/>
  <c r="G376" i="8"/>
  <c r="R375" i="3" s="1"/>
  <c r="G385" i="8"/>
  <c r="R384" i="3" s="1"/>
  <c r="G394" i="8"/>
  <c r="G403" i="8"/>
  <c r="R402" i="3" s="1"/>
  <c r="G412" i="8"/>
  <c r="R411" i="3" s="1"/>
  <c r="G421" i="8"/>
  <c r="R420" i="3" s="1"/>
  <c r="G430" i="8"/>
  <c r="R429" i="3" s="1"/>
  <c r="G439" i="8"/>
  <c r="R438" i="3" s="1"/>
  <c r="G448" i="8"/>
  <c r="R447" i="3" s="1"/>
  <c r="G457" i="8"/>
  <c r="R456" i="3" s="1"/>
  <c r="G466" i="8"/>
  <c r="R465" i="3" s="1"/>
  <c r="G475" i="8"/>
  <c r="R474" i="3" s="1"/>
  <c r="G484" i="8"/>
  <c r="R483" i="3" s="1"/>
  <c r="G493" i="8"/>
  <c r="R492" i="3" s="1"/>
  <c r="G502" i="8"/>
  <c r="R501" i="3" s="1"/>
  <c r="G511" i="8"/>
  <c r="R510" i="3" s="1"/>
  <c r="G520" i="8"/>
  <c r="R519" i="3" s="1"/>
  <c r="G523" i="8"/>
  <c r="R522" i="3" s="1"/>
  <c r="G526" i="8"/>
  <c r="R525" i="3" s="1"/>
  <c r="G529" i="8"/>
  <c r="R528" i="3" s="1"/>
  <c r="G532" i="8"/>
  <c r="R531" i="3" s="1"/>
  <c r="G535" i="8"/>
  <c r="R534" i="3" s="1"/>
  <c r="G17" i="8"/>
  <c r="R16" i="3" s="1"/>
  <c r="G56" i="8"/>
  <c r="R55" i="3" s="1"/>
  <c r="G154" i="8"/>
  <c r="R153" i="3" s="1"/>
  <c r="G164" i="8"/>
  <c r="R163" i="3" s="1"/>
  <c r="G171" i="8"/>
  <c r="R170" i="3" s="1"/>
  <c r="G174" i="8"/>
  <c r="R173" i="3" s="1"/>
  <c r="G299" i="8"/>
  <c r="R298" i="3" s="1"/>
  <c r="G308" i="8"/>
  <c r="R307" i="3" s="1"/>
  <c r="G317" i="8"/>
  <c r="R316" i="3" s="1"/>
  <c r="G326" i="8"/>
  <c r="R325" i="3" s="1"/>
  <c r="G335" i="8"/>
  <c r="R334" i="3" s="1"/>
  <c r="G344" i="8"/>
  <c r="R343" i="3" s="1"/>
  <c r="G353" i="8"/>
  <c r="R352" i="3" s="1"/>
  <c r="G362" i="8"/>
  <c r="R361" i="3" s="1"/>
  <c r="G371" i="8"/>
  <c r="R370" i="3" s="1"/>
  <c r="G380" i="8"/>
  <c r="R379" i="3" s="1"/>
  <c r="G389" i="8"/>
  <c r="R388" i="3" s="1"/>
  <c r="G398" i="8"/>
  <c r="R397" i="3" s="1"/>
  <c r="G407" i="8"/>
  <c r="R406" i="3" s="1"/>
  <c r="G416" i="8"/>
  <c r="R415" i="3" s="1"/>
  <c r="G425" i="8"/>
  <c r="R424" i="3" s="1"/>
  <c r="G434" i="8"/>
  <c r="R433" i="3" s="1"/>
  <c r="G170" i="8"/>
  <c r="R169" i="3" s="1"/>
  <c r="G293" i="8"/>
  <c r="R292" i="3" s="1"/>
  <c r="G311" i="8"/>
  <c r="R310" i="3" s="1"/>
  <c r="G329" i="8"/>
  <c r="R328" i="3" s="1"/>
  <c r="G347" i="8"/>
  <c r="R346" i="3" s="1"/>
  <c r="G365" i="8"/>
  <c r="R364" i="3" s="1"/>
  <c r="G383" i="8"/>
  <c r="R382" i="3" s="1"/>
  <c r="G401" i="8"/>
  <c r="R400" i="3" s="1"/>
  <c r="G419" i="8"/>
  <c r="R418" i="3" s="1"/>
  <c r="G437" i="8"/>
  <c r="R436" i="3" s="1"/>
  <c r="G445" i="8"/>
  <c r="R444" i="3" s="1"/>
  <c r="G464" i="8"/>
  <c r="R463" i="3" s="1"/>
  <c r="G472" i="8"/>
  <c r="R471" i="3" s="1"/>
  <c r="G491" i="8"/>
  <c r="R490" i="3" s="1"/>
  <c r="G499" i="8"/>
  <c r="R498" i="3" s="1"/>
  <c r="G518" i="8"/>
  <c r="R517" i="3" s="1"/>
  <c r="G525" i="8"/>
  <c r="R524" i="3" s="1"/>
  <c r="G534" i="8"/>
  <c r="R533" i="3" s="1"/>
  <c r="G539" i="8"/>
  <c r="R538" i="3" s="1"/>
  <c r="G542" i="8"/>
  <c r="R541" i="3" s="1"/>
  <c r="G545" i="8"/>
  <c r="R544" i="3" s="1"/>
  <c r="G548" i="8"/>
  <c r="R547" i="3" s="1"/>
  <c r="G551" i="8"/>
  <c r="R550" i="3" s="1"/>
  <c r="G554" i="8"/>
  <c r="R553" i="3" s="1"/>
  <c r="G557" i="8"/>
  <c r="R556" i="3" s="1"/>
  <c r="G560" i="8"/>
  <c r="R559" i="3" s="1"/>
  <c r="G563" i="8"/>
  <c r="R562" i="3" s="1"/>
  <c r="G566" i="8"/>
  <c r="R565" i="3" s="1"/>
  <c r="G569" i="8"/>
  <c r="R568" i="3" s="1"/>
  <c r="G572" i="8"/>
  <c r="R571" i="3" s="1"/>
  <c r="G575" i="8"/>
  <c r="R574" i="3" s="1"/>
  <c r="G578" i="8"/>
  <c r="R577" i="3" s="1"/>
  <c r="G581" i="8"/>
  <c r="R580" i="3" s="1"/>
  <c r="G584" i="8"/>
  <c r="R583" i="3" s="1"/>
  <c r="G587" i="8"/>
  <c r="R586" i="3" s="1"/>
  <c r="G590" i="8"/>
  <c r="R589" i="3" s="1"/>
  <c r="G593" i="8"/>
  <c r="R592" i="3" s="1"/>
  <c r="G596" i="8"/>
  <c r="R595" i="3" s="1"/>
  <c r="G599" i="8"/>
  <c r="R598" i="3" s="1"/>
  <c r="G602" i="8"/>
  <c r="R601" i="3" s="1"/>
  <c r="G605" i="8"/>
  <c r="R604" i="3" s="1"/>
  <c r="G608" i="8"/>
  <c r="R607" i="3" s="1"/>
  <c r="G611" i="8"/>
  <c r="R610" i="3" s="1"/>
  <c r="G614" i="8"/>
  <c r="R613" i="3" s="1"/>
  <c r="G617" i="8"/>
  <c r="R616" i="3" s="1"/>
  <c r="G620" i="8"/>
  <c r="R619" i="3" s="1"/>
  <c r="G623" i="8"/>
  <c r="R622" i="3" s="1"/>
  <c r="G626" i="8"/>
  <c r="R625" i="3" s="1"/>
  <c r="G629" i="8"/>
  <c r="R628" i="3" s="1"/>
  <c r="G632" i="8"/>
  <c r="R631" i="3" s="1"/>
  <c r="G635" i="8"/>
  <c r="R634" i="3" s="1"/>
  <c r="G638" i="8"/>
  <c r="R637" i="3" s="1"/>
  <c r="G641" i="8"/>
  <c r="R640" i="3" s="1"/>
  <c r="G644" i="8"/>
  <c r="R643" i="3" s="1"/>
  <c r="G647" i="8"/>
  <c r="R646" i="3" s="1"/>
  <c r="G650" i="8"/>
  <c r="R649" i="3" s="1"/>
  <c r="G653" i="8"/>
  <c r="R652" i="3" s="1"/>
  <c r="G656" i="8"/>
  <c r="R655" i="3" s="1"/>
  <c r="G659" i="8"/>
  <c r="R658" i="3" s="1"/>
  <c r="G662" i="8"/>
  <c r="R661" i="3" s="1"/>
  <c r="G665" i="8"/>
  <c r="R664" i="3" s="1"/>
  <c r="G668" i="8"/>
  <c r="R667" i="3" s="1"/>
  <c r="G671" i="8"/>
  <c r="R670" i="3" s="1"/>
  <c r="G674" i="8"/>
  <c r="R673" i="3" s="1"/>
  <c r="G677" i="8"/>
  <c r="R676" i="3" s="1"/>
  <c r="G680" i="8"/>
  <c r="R679" i="3" s="1"/>
  <c r="G683" i="8"/>
  <c r="R682" i="3" s="1"/>
  <c r="G686" i="8"/>
  <c r="R685" i="3" s="1"/>
  <c r="G689" i="8"/>
  <c r="R688" i="3" s="1"/>
  <c r="G692" i="8"/>
  <c r="R691" i="3" s="1"/>
  <c r="G695" i="8"/>
  <c r="R694" i="3" s="1"/>
  <c r="G698" i="8"/>
  <c r="R697" i="3" s="1"/>
  <c r="G701" i="8"/>
  <c r="R700" i="3" s="1"/>
  <c r="G704" i="8"/>
  <c r="R703" i="3" s="1"/>
  <c r="G707" i="8"/>
  <c r="R706" i="3" s="1"/>
  <c r="G710" i="8"/>
  <c r="R709" i="3" s="1"/>
  <c r="G713" i="8"/>
  <c r="R712" i="3" s="1"/>
  <c r="G716" i="8"/>
  <c r="R715" i="3" s="1"/>
  <c r="G719" i="8"/>
  <c r="R718" i="3" s="1"/>
  <c r="G722" i="8"/>
  <c r="R721" i="3" s="1"/>
  <c r="G725" i="8"/>
  <c r="R724" i="3" s="1"/>
  <c r="G728" i="8"/>
  <c r="R727" i="3" s="1"/>
  <c r="G731" i="8"/>
  <c r="R730" i="3" s="1"/>
  <c r="G734" i="8"/>
  <c r="R733" i="3" s="1"/>
  <c r="G737" i="8"/>
  <c r="R736" i="3" s="1"/>
  <c r="G740" i="8"/>
  <c r="R739" i="3" s="1"/>
  <c r="G743" i="8"/>
  <c r="R742" i="3" s="1"/>
  <c r="G746" i="8"/>
  <c r="R745" i="3" s="1"/>
  <c r="G749" i="8"/>
  <c r="R748" i="3" s="1"/>
  <c r="G752" i="8"/>
  <c r="R751" i="3" s="1"/>
  <c r="G755" i="8"/>
  <c r="R754" i="3" s="1"/>
  <c r="G758" i="8"/>
  <c r="R757" i="3" s="1"/>
  <c r="G761" i="8"/>
  <c r="R760" i="3" s="1"/>
  <c r="G764" i="8"/>
  <c r="R763" i="3" s="1"/>
  <c r="G767" i="8"/>
  <c r="R766" i="3" s="1"/>
  <c r="G770" i="8"/>
  <c r="R769" i="3" s="1"/>
  <c r="G773" i="8"/>
  <c r="R772" i="3" s="1"/>
  <c r="G776" i="8"/>
  <c r="R775" i="3" s="1"/>
  <c r="G779" i="8"/>
  <c r="R778" i="3" s="1"/>
  <c r="G782" i="8"/>
  <c r="R781" i="3" s="1"/>
  <c r="G785" i="8"/>
  <c r="R784" i="3" s="1"/>
  <c r="G788" i="8"/>
  <c r="R787" i="3" s="1"/>
  <c r="G791" i="8"/>
  <c r="R790" i="3" s="1"/>
  <c r="G794" i="8"/>
  <c r="R793" i="3" s="1"/>
  <c r="G797" i="8"/>
  <c r="R796" i="3" s="1"/>
  <c r="G800" i="8"/>
  <c r="R799" i="3" s="1"/>
  <c r="G803" i="8"/>
  <c r="R802" i="3" s="1"/>
  <c r="G3" i="8"/>
  <c r="R2" i="3" s="1"/>
  <c r="G20" i="8"/>
  <c r="R19" i="3" s="1"/>
  <c r="G59" i="8"/>
  <c r="R58" i="3" s="1"/>
  <c r="G184" i="8"/>
  <c r="R183" i="3" s="1"/>
  <c r="G301" i="8"/>
  <c r="R300" i="3" s="1"/>
  <c r="G319" i="8"/>
  <c r="R318" i="3" s="1"/>
  <c r="G337" i="8"/>
  <c r="R336" i="3" s="1"/>
  <c r="G355" i="8"/>
  <c r="R354" i="3" s="1"/>
  <c r="G373" i="8"/>
  <c r="G391" i="8"/>
  <c r="R390" i="3" s="1"/>
  <c r="G409" i="8"/>
  <c r="R408" i="3" s="1"/>
  <c r="G427" i="8"/>
  <c r="R426" i="3" s="1"/>
  <c r="G440" i="8"/>
  <c r="R439" i="3" s="1"/>
  <c r="G443" i="8"/>
  <c r="R442" i="3" s="1"/>
  <c r="G467" i="8"/>
  <c r="R466" i="3" s="1"/>
  <c r="G470" i="8"/>
  <c r="R469" i="3" s="1"/>
  <c r="G494" i="8"/>
  <c r="R493" i="3" s="1"/>
  <c r="G497" i="8"/>
  <c r="R496" i="3" s="1"/>
  <c r="G536" i="8"/>
  <c r="R535" i="3" s="1"/>
  <c r="G40" i="8"/>
  <c r="R39" i="3" s="1"/>
  <c r="G79" i="8"/>
  <c r="R78" i="3" s="1"/>
  <c r="G172" i="8"/>
  <c r="R171" i="3" s="1"/>
  <c r="G305" i="8"/>
  <c r="R304" i="3" s="1"/>
  <c r="G323" i="8"/>
  <c r="R322" i="3" s="1"/>
  <c r="G341" i="8"/>
  <c r="R340" i="3" s="1"/>
  <c r="G359" i="8"/>
  <c r="R358" i="3" s="1"/>
  <c r="G377" i="8"/>
  <c r="R376" i="3" s="1"/>
  <c r="G395" i="8"/>
  <c r="R394" i="3" s="1"/>
  <c r="G413" i="8"/>
  <c r="R412" i="3" s="1"/>
  <c r="G431" i="8"/>
  <c r="R430" i="3" s="1"/>
  <c r="G446" i="8"/>
  <c r="R445" i="3" s="1"/>
  <c r="G454" i="8"/>
  <c r="R453" i="3" s="1"/>
  <c r="G473" i="8"/>
  <c r="R472" i="3" s="1"/>
  <c r="G481" i="8"/>
  <c r="R480" i="3" s="1"/>
  <c r="G500" i="8"/>
  <c r="R499" i="3" s="1"/>
  <c r="G508" i="8"/>
  <c r="R507" i="3" s="1"/>
  <c r="G528" i="8"/>
  <c r="R527" i="3" s="1"/>
  <c r="G538" i="8"/>
  <c r="R537" i="3" s="1"/>
  <c r="G541" i="8"/>
  <c r="R540" i="3" s="1"/>
  <c r="G544" i="8"/>
  <c r="R543" i="3" s="1"/>
  <c r="G547" i="8"/>
  <c r="R546" i="3" s="1"/>
  <c r="G550" i="8"/>
  <c r="R549" i="3" s="1"/>
  <c r="G553" i="8"/>
  <c r="R552" i="3" s="1"/>
  <c r="G556" i="8"/>
  <c r="R555" i="3" s="1"/>
  <c r="G559" i="8"/>
  <c r="R558" i="3" s="1"/>
  <c r="G562" i="8"/>
  <c r="R561" i="3" s="1"/>
  <c r="G565" i="8"/>
  <c r="R564" i="3" s="1"/>
  <c r="G568" i="8"/>
  <c r="R567" i="3" s="1"/>
  <c r="G571" i="8"/>
  <c r="R570" i="3" s="1"/>
  <c r="G574" i="8"/>
  <c r="R573" i="3" s="1"/>
  <c r="G577" i="8"/>
  <c r="R576" i="3" s="1"/>
  <c r="G580" i="8"/>
  <c r="R579" i="3" s="1"/>
  <c r="G583" i="8"/>
  <c r="R582" i="3" s="1"/>
  <c r="G586" i="8"/>
  <c r="R585" i="3" s="1"/>
  <c r="G589" i="8"/>
  <c r="R588" i="3" s="1"/>
  <c r="G592" i="8"/>
  <c r="R591" i="3" s="1"/>
  <c r="G595" i="8"/>
  <c r="R594" i="3" s="1"/>
  <c r="G598" i="8"/>
  <c r="R597" i="3" s="1"/>
  <c r="G601" i="8"/>
  <c r="R600" i="3" s="1"/>
  <c r="G604" i="8"/>
  <c r="R603" i="3" s="1"/>
  <c r="G607" i="8"/>
  <c r="R606" i="3" s="1"/>
  <c r="G610" i="8"/>
  <c r="R609" i="3" s="1"/>
  <c r="G613" i="8"/>
  <c r="R612" i="3" s="1"/>
  <c r="G616" i="8"/>
  <c r="R615" i="3" s="1"/>
  <c r="G619" i="8"/>
  <c r="R618" i="3" s="1"/>
  <c r="G622" i="8"/>
  <c r="R621" i="3" s="1"/>
  <c r="G625" i="8"/>
  <c r="R624" i="3" s="1"/>
  <c r="G628" i="8"/>
  <c r="R627" i="3" s="1"/>
  <c r="G631" i="8"/>
  <c r="R630" i="3" s="1"/>
  <c r="G634" i="8"/>
  <c r="R633" i="3" s="1"/>
  <c r="G637" i="8"/>
  <c r="R636" i="3" s="1"/>
  <c r="G640" i="8"/>
  <c r="R639" i="3" s="1"/>
  <c r="G643" i="8"/>
  <c r="R642" i="3" s="1"/>
  <c r="G646" i="8"/>
  <c r="R645" i="3" s="1"/>
  <c r="G649" i="8"/>
  <c r="R648" i="3" s="1"/>
  <c r="G652" i="8"/>
  <c r="R651" i="3" s="1"/>
  <c r="G655" i="8"/>
  <c r="R654" i="3" s="1"/>
  <c r="G658" i="8"/>
  <c r="R657" i="3" s="1"/>
  <c r="G661" i="8"/>
  <c r="R660" i="3" s="1"/>
  <c r="G664" i="8"/>
  <c r="R663" i="3" s="1"/>
  <c r="G667" i="8"/>
  <c r="R666" i="3" s="1"/>
  <c r="G670" i="8"/>
  <c r="R669" i="3" s="1"/>
  <c r="G673" i="8"/>
  <c r="R672" i="3" s="1"/>
  <c r="G676" i="8"/>
  <c r="R675" i="3" s="1"/>
  <c r="G679" i="8"/>
  <c r="R678" i="3" s="1"/>
  <c r="G682" i="8"/>
  <c r="R681" i="3" s="1"/>
  <c r="G685" i="8"/>
  <c r="R684" i="3" s="1"/>
  <c r="G688" i="8"/>
  <c r="R687" i="3" s="1"/>
  <c r="G691" i="8"/>
  <c r="R690" i="3" s="1"/>
  <c r="G694" i="8"/>
  <c r="R693" i="3" s="1"/>
  <c r="G697" i="8"/>
  <c r="R696" i="3" s="1"/>
  <c r="G700" i="8"/>
  <c r="R699" i="3" s="1"/>
  <c r="G703" i="8"/>
  <c r="R702" i="3" s="1"/>
  <c r="G706" i="8"/>
  <c r="R705" i="3" s="1"/>
  <c r="G709" i="8"/>
  <c r="R708" i="3" s="1"/>
  <c r="G712" i="8"/>
  <c r="R711" i="3" s="1"/>
  <c r="G715" i="8"/>
  <c r="R714" i="3" s="1"/>
  <c r="G718" i="8"/>
  <c r="R717" i="3" s="1"/>
  <c r="G721" i="8"/>
  <c r="R720" i="3" s="1"/>
  <c r="G724" i="8"/>
  <c r="R723" i="3" s="1"/>
  <c r="G727" i="8"/>
  <c r="R726" i="3" s="1"/>
  <c r="G730" i="8"/>
  <c r="R729" i="3" s="1"/>
  <c r="G733" i="8"/>
  <c r="R732" i="3" s="1"/>
  <c r="G736" i="8"/>
  <c r="R735" i="3" s="1"/>
  <c r="G739" i="8"/>
  <c r="R738" i="3" s="1"/>
  <c r="G742" i="8"/>
  <c r="R741" i="3" s="1"/>
  <c r="G745" i="8"/>
  <c r="R744" i="3" s="1"/>
  <c r="G748" i="8"/>
  <c r="R747" i="3" s="1"/>
  <c r="G751" i="8"/>
  <c r="R750" i="3" s="1"/>
  <c r="G754" i="8"/>
  <c r="R753" i="3" s="1"/>
  <c r="G757" i="8"/>
  <c r="R756" i="3" s="1"/>
  <c r="G760" i="8"/>
  <c r="R759" i="3" s="1"/>
  <c r="G763" i="8"/>
  <c r="R762" i="3" s="1"/>
  <c r="G766" i="8"/>
  <c r="R765" i="3" s="1"/>
  <c r="G769" i="8"/>
  <c r="R768" i="3" s="1"/>
  <c r="G772" i="8"/>
  <c r="R771" i="3" s="1"/>
  <c r="G775" i="8"/>
  <c r="R774" i="3" s="1"/>
  <c r="G778" i="8"/>
  <c r="R777" i="3" s="1"/>
  <c r="G781" i="8"/>
  <c r="R780" i="3" s="1"/>
  <c r="G784" i="8"/>
  <c r="R783" i="3" s="1"/>
  <c r="G787" i="8"/>
  <c r="R786" i="3" s="1"/>
  <c r="G790" i="8"/>
  <c r="R789" i="3" s="1"/>
  <c r="G793" i="8"/>
  <c r="R792" i="3" s="1"/>
  <c r="G796" i="8"/>
  <c r="R795" i="3" s="1"/>
  <c r="G799" i="8"/>
  <c r="R798" i="3" s="1"/>
  <c r="G802" i="8"/>
  <c r="R801" i="3" s="1"/>
  <c r="G805" i="8"/>
  <c r="R804" i="3" s="1"/>
  <c r="G25" i="8"/>
  <c r="R24" i="3" s="1"/>
  <c r="G173" i="8"/>
  <c r="R172" i="3" s="1"/>
  <c r="G196" i="8"/>
  <c r="R195" i="3" s="1"/>
  <c r="G302" i="8"/>
  <c r="R301" i="3" s="1"/>
  <c r="G320" i="8"/>
  <c r="R319" i="3" s="1"/>
  <c r="G338" i="8"/>
  <c r="R337" i="3" s="1"/>
  <c r="G356" i="8"/>
  <c r="R355" i="3" s="1"/>
  <c r="G374" i="8"/>
  <c r="R373" i="3" s="1"/>
  <c r="G392" i="8"/>
  <c r="R391" i="3" s="1"/>
  <c r="G410" i="8"/>
  <c r="R409" i="3" s="1"/>
  <c r="G428" i="8"/>
  <c r="R427" i="3" s="1"/>
  <c r="G449" i="8"/>
  <c r="R448" i="3" s="1"/>
  <c r="G452" i="8"/>
  <c r="R451" i="3" s="1"/>
  <c r="G476" i="8"/>
  <c r="R475" i="3" s="1"/>
  <c r="G479" i="8"/>
  <c r="R478" i="3" s="1"/>
  <c r="G503" i="8"/>
  <c r="R502" i="3" s="1"/>
  <c r="G506" i="8"/>
  <c r="R505" i="3" s="1"/>
  <c r="G202" i="8"/>
  <c r="R201" i="3" s="1"/>
  <c r="G220" i="8"/>
  <c r="R219" i="3" s="1"/>
  <c r="G238" i="8"/>
  <c r="R237" i="3" s="1"/>
  <c r="G256" i="8"/>
  <c r="R255" i="3" s="1"/>
  <c r="G49" i="8"/>
  <c r="R48" i="3" s="1"/>
  <c r="G115" i="8"/>
  <c r="R114" i="3" s="1"/>
  <c r="G160" i="8"/>
  <c r="R159" i="3" s="1"/>
  <c r="G181" i="8"/>
  <c r="R180" i="3" s="1"/>
  <c r="G211" i="8"/>
  <c r="R210" i="3" s="1"/>
  <c r="G229" i="8"/>
  <c r="R228" i="3" s="1"/>
  <c r="G247" i="8"/>
  <c r="R246" i="3" s="1"/>
  <c r="G274" i="8"/>
  <c r="R273" i="3" s="1"/>
  <c r="G310" i="8"/>
  <c r="R309" i="3" s="1"/>
  <c r="G364" i="8"/>
  <c r="R363" i="3" s="1"/>
  <c r="G418" i="8"/>
  <c r="R417" i="3" s="1"/>
  <c r="G455" i="8"/>
  <c r="R454" i="3" s="1"/>
  <c r="G463" i="8"/>
  <c r="R462" i="3" s="1"/>
  <c r="G543" i="8"/>
  <c r="R542" i="3" s="1"/>
  <c r="G552" i="8"/>
  <c r="R551" i="3" s="1"/>
  <c r="G561" i="8"/>
  <c r="R560" i="3" s="1"/>
  <c r="G570" i="8"/>
  <c r="R569" i="3" s="1"/>
  <c r="G579" i="8"/>
  <c r="R578" i="3" s="1"/>
  <c r="G588" i="8"/>
  <c r="R587" i="3" s="1"/>
  <c r="G597" i="8"/>
  <c r="R596" i="3" s="1"/>
  <c r="G606" i="8"/>
  <c r="R605" i="3" s="1"/>
  <c r="G615" i="8"/>
  <c r="R614" i="3" s="1"/>
  <c r="G624" i="8"/>
  <c r="R623" i="3" s="1"/>
  <c r="G633" i="8"/>
  <c r="R632" i="3" s="1"/>
  <c r="G642" i="8"/>
  <c r="R641" i="3" s="1"/>
  <c r="G651" i="8"/>
  <c r="R650" i="3" s="1"/>
  <c r="G660" i="8"/>
  <c r="R659" i="3" s="1"/>
  <c r="G669" i="8"/>
  <c r="R668" i="3" s="1"/>
  <c r="G678" i="8"/>
  <c r="R677" i="3" s="1"/>
  <c r="G687" i="8"/>
  <c r="R686" i="3" s="1"/>
  <c r="G696" i="8"/>
  <c r="R695" i="3" s="1"/>
  <c r="G705" i="8"/>
  <c r="R704" i="3" s="1"/>
  <c r="G714" i="8"/>
  <c r="R713" i="3" s="1"/>
  <c r="G723" i="8"/>
  <c r="R722" i="3" s="1"/>
  <c r="G732" i="8"/>
  <c r="R731" i="3" s="1"/>
  <c r="G741" i="8"/>
  <c r="R740" i="3" s="1"/>
  <c r="G750" i="8"/>
  <c r="R749" i="3" s="1"/>
  <c r="G759" i="8"/>
  <c r="R758" i="3" s="1"/>
  <c r="G768" i="8"/>
  <c r="R767" i="3" s="1"/>
  <c r="G777" i="8"/>
  <c r="R776" i="3" s="1"/>
  <c r="G786" i="8"/>
  <c r="R785" i="3" s="1"/>
  <c r="G795" i="8"/>
  <c r="R794" i="3" s="1"/>
  <c r="G804" i="8"/>
  <c r="R803" i="3" s="1"/>
  <c r="G720" i="8"/>
  <c r="R719" i="3" s="1"/>
  <c r="G783" i="8"/>
  <c r="R782" i="3" s="1"/>
  <c r="G792" i="8"/>
  <c r="R791" i="3" s="1"/>
  <c r="G801" i="8"/>
  <c r="R800" i="3" s="1"/>
  <c r="G744" i="8"/>
  <c r="R743" i="3" s="1"/>
  <c r="G332" i="8"/>
  <c r="R331" i="3" s="1"/>
  <c r="G386" i="8"/>
  <c r="R385" i="3" s="1"/>
  <c r="G488" i="8"/>
  <c r="R487" i="3" s="1"/>
  <c r="G512" i="8"/>
  <c r="R511" i="3" s="1"/>
  <c r="G187" i="8"/>
  <c r="R186" i="3" s="1"/>
  <c r="G265" i="8"/>
  <c r="R264" i="3" s="1"/>
  <c r="G292" i="8"/>
  <c r="R291" i="3" s="1"/>
  <c r="G346" i="8"/>
  <c r="R345" i="3" s="1"/>
  <c r="G400" i="8"/>
  <c r="R399" i="3" s="1"/>
  <c r="G482" i="8"/>
  <c r="R481" i="3" s="1"/>
  <c r="G490" i="8"/>
  <c r="R489" i="3" s="1"/>
  <c r="G522" i="8"/>
  <c r="R521" i="3" s="1"/>
  <c r="G540" i="8"/>
  <c r="R539" i="3" s="1"/>
  <c r="G549" i="8"/>
  <c r="R548" i="3" s="1"/>
  <c r="G558" i="8"/>
  <c r="R557" i="3" s="1"/>
  <c r="G567" i="8"/>
  <c r="R566" i="3" s="1"/>
  <c r="G576" i="8"/>
  <c r="R575" i="3" s="1"/>
  <c r="G585" i="8"/>
  <c r="R584" i="3" s="1"/>
  <c r="G594" i="8"/>
  <c r="R593" i="3" s="1"/>
  <c r="G603" i="8"/>
  <c r="R602" i="3" s="1"/>
  <c r="G612" i="8"/>
  <c r="R611" i="3" s="1"/>
  <c r="G621" i="8"/>
  <c r="R620" i="3" s="1"/>
  <c r="G630" i="8"/>
  <c r="R629" i="3" s="1"/>
  <c r="G639" i="8"/>
  <c r="R638" i="3" s="1"/>
  <c r="G648" i="8"/>
  <c r="R647" i="3" s="1"/>
  <c r="G657" i="8"/>
  <c r="R656" i="3" s="1"/>
  <c r="G666" i="8"/>
  <c r="R665" i="3" s="1"/>
  <c r="G675" i="8"/>
  <c r="R674" i="3" s="1"/>
  <c r="G684" i="8"/>
  <c r="R683" i="3" s="1"/>
  <c r="G693" i="8"/>
  <c r="R692" i="3" s="1"/>
  <c r="G702" i="8"/>
  <c r="R701" i="3" s="1"/>
  <c r="G711" i="8"/>
  <c r="R710" i="3" s="1"/>
  <c r="G729" i="8"/>
  <c r="R728" i="3" s="1"/>
  <c r="G738" i="8"/>
  <c r="R737" i="3" s="1"/>
  <c r="G747" i="8"/>
  <c r="R746" i="3" s="1"/>
  <c r="G756" i="8"/>
  <c r="R755" i="3" s="1"/>
  <c r="G765" i="8"/>
  <c r="R764" i="3" s="1"/>
  <c r="G774" i="8"/>
  <c r="R773" i="3" s="1"/>
  <c r="G771" i="8"/>
  <c r="R770" i="3" s="1"/>
  <c r="G314" i="8"/>
  <c r="R313" i="3" s="1"/>
  <c r="G368" i="8"/>
  <c r="R367" i="3" s="1"/>
  <c r="G422" i="8"/>
  <c r="R421" i="3" s="1"/>
  <c r="G458" i="8"/>
  <c r="R457" i="3" s="1"/>
  <c r="G515" i="8"/>
  <c r="R514" i="3" s="1"/>
  <c r="G517" i="8"/>
  <c r="R516" i="3" s="1"/>
  <c r="G537" i="8"/>
  <c r="R536" i="3" s="1"/>
  <c r="G546" i="8"/>
  <c r="R545" i="3" s="1"/>
  <c r="G555" i="8"/>
  <c r="R554" i="3" s="1"/>
  <c r="G564" i="8"/>
  <c r="R563" i="3" s="1"/>
  <c r="G582" i="8"/>
  <c r="R581" i="3" s="1"/>
  <c r="G600" i="8"/>
  <c r="R599" i="3" s="1"/>
  <c r="G618" i="8"/>
  <c r="R617" i="3" s="1"/>
  <c r="G627" i="8"/>
  <c r="R626" i="3" s="1"/>
  <c r="G645" i="8"/>
  <c r="R644" i="3" s="1"/>
  <c r="G663" i="8"/>
  <c r="R662" i="3" s="1"/>
  <c r="G681" i="8"/>
  <c r="R680" i="3" s="1"/>
  <c r="G690" i="8"/>
  <c r="R689" i="3" s="1"/>
  <c r="G699" i="8"/>
  <c r="R698" i="3" s="1"/>
  <c r="G708" i="8"/>
  <c r="R707" i="3" s="1"/>
  <c r="G717" i="8"/>
  <c r="R716" i="3" s="1"/>
  <c r="G726" i="8"/>
  <c r="R725" i="3" s="1"/>
  <c r="G735" i="8"/>
  <c r="R734" i="3" s="1"/>
  <c r="G753" i="8"/>
  <c r="R752" i="3" s="1"/>
  <c r="G789" i="8"/>
  <c r="R788" i="3" s="1"/>
  <c r="G798" i="8"/>
  <c r="R797" i="3" s="1"/>
  <c r="G161" i="8"/>
  <c r="R160" i="3" s="1"/>
  <c r="G283" i="8"/>
  <c r="R282" i="3" s="1"/>
  <c r="G328" i="8"/>
  <c r="R327" i="3" s="1"/>
  <c r="G382" i="8"/>
  <c r="R381" i="3" s="1"/>
  <c r="G436" i="8"/>
  <c r="R435" i="3" s="1"/>
  <c r="G509" i="8"/>
  <c r="R508" i="3" s="1"/>
  <c r="G531" i="8"/>
  <c r="R530" i="3" s="1"/>
  <c r="G573" i="8"/>
  <c r="R572" i="3" s="1"/>
  <c r="G591" i="8"/>
  <c r="R590" i="3" s="1"/>
  <c r="G609" i="8"/>
  <c r="R608" i="3" s="1"/>
  <c r="G636" i="8"/>
  <c r="R635" i="3" s="1"/>
  <c r="G654" i="8"/>
  <c r="R653" i="3" s="1"/>
  <c r="G672" i="8"/>
  <c r="R671" i="3" s="1"/>
  <c r="G762" i="8"/>
  <c r="R761" i="3" s="1"/>
  <c r="G780" i="8"/>
  <c r="R779" i="3" s="1"/>
  <c r="G350" i="8"/>
  <c r="R349" i="3" s="1"/>
  <c r="G296" i="8"/>
  <c r="R295" i="3" s="1"/>
  <c r="G485" i="8"/>
  <c r="R484" i="3" s="1"/>
  <c r="G404" i="8"/>
  <c r="R403" i="3" s="1"/>
  <c r="G461" i="8"/>
  <c r="R460" i="3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3C19FB7-A996-4475-AF49-DE46558EE4EE}" keepAlive="1" name="ThisWorkbookDataModel" description="Модель данных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1E46DADC-1EC4-4DBF-A2FD-00A3F436F552}" name="WorksheetConnection_data (1)!$A$1:$V$1449" type="102" refreshedVersion="7" minRefreshableVersion="5">
    <extLst>
      <ext xmlns:x15="http://schemas.microsoft.com/office/spreadsheetml/2010/11/main" uri="{DE250136-89BD-433C-8126-D09CA5730AF9}">
        <x15:connection id="Диапазон" autoDelete="1">
          <x15:rangePr sourceName="_xlcn.WorksheetConnection_data1A1V14491"/>
        </x15:connection>
      </ext>
    </extLst>
  </connection>
  <connection id="3" xr16:uid="{F757F9AB-6038-4E6E-8A8B-7666398DEADB}" name="WorksheetConnection_расчеты!$O:$O" type="102" refreshedVersion="7" minRefreshableVersion="5">
    <extLst>
      <ext xmlns:x15="http://schemas.microsoft.com/office/spreadsheetml/2010/11/main" uri="{DE250136-89BD-433C-8126-D09CA5730AF9}">
        <x15:connection id="Диапазон 1" autoDelete="1">
          <x15:rangePr sourceName="_xlcn.WorksheetConnection_расчетыOO1"/>
        </x15:connection>
      </ext>
    </extLst>
  </connection>
  <connection id="4" xr16:uid="{DBC86026-ED94-470E-BFE6-6FEAB602562B}" name="WorksheetConnection_расчеты!$R:$R" type="102" refreshedVersion="7" minRefreshableVersion="5">
    <extLst>
      <ext xmlns:x15="http://schemas.microsoft.com/office/spreadsheetml/2010/11/main" uri="{DE250136-89BD-433C-8126-D09CA5730AF9}">
        <x15:connection id="Диапазон 2" autoDelete="1">
          <x15:rangePr sourceName="_xlcn.WorksheetConnection_расчетыRR1"/>
        </x15:connection>
      </ext>
    </extLst>
  </connection>
</connections>
</file>

<file path=xl/sharedStrings.xml><?xml version="1.0" encoding="utf-8"?>
<sst xmlns="http://schemas.openxmlformats.org/spreadsheetml/2006/main" count="12620" uniqueCount="1276">
  <si>
    <t>DR_Dat</t>
  </si>
  <si>
    <t>DR_Tim</t>
  </si>
  <si>
    <t>DR_NChk</t>
  </si>
  <si>
    <t>DR_NDoc</t>
  </si>
  <si>
    <t>DR_Apt</t>
  </si>
  <si>
    <t>DR_Kkm</t>
  </si>
  <si>
    <t>DR_TDoc</t>
  </si>
  <si>
    <t>DR_TPay</t>
  </si>
  <si>
    <t>DR_CDrugs</t>
  </si>
  <si>
    <t>DR_NDrugs</t>
  </si>
  <si>
    <t>DR_Suppl</t>
  </si>
  <si>
    <t>DR_Prod</t>
  </si>
  <si>
    <t>DR_Kol</t>
  </si>
  <si>
    <t>DR_CZak</t>
  </si>
  <si>
    <t>DR_CRoz</t>
  </si>
  <si>
    <t>DR_SDisc</t>
  </si>
  <si>
    <t>DR_CDisc</t>
  </si>
  <si>
    <t>DR_BCDisc</t>
  </si>
  <si>
    <t>DR_TabEmpl</t>
  </si>
  <si>
    <t>DR_VZak</t>
  </si>
  <si>
    <t>DR_Pos</t>
  </si>
  <si>
    <t>Розничная реализация</t>
  </si>
  <si>
    <t>ГАСТАЛ №12 ТАБ. Д/РАСС.</t>
  </si>
  <si>
    <t>Пульс</t>
  </si>
  <si>
    <t>TEVA Pharvaceutical Industries Ltd</t>
  </si>
  <si>
    <t>NULL</t>
  </si>
  <si>
    <t>ТОБРОПТ 0,3% 5МЛ. №1 ГЛ.КАПЛИ ФЛ./КАП. /РОМФАРМ/</t>
  </si>
  <si>
    <t>РОМФАРМ КОМПАНИ ( ROMPHARM )</t>
  </si>
  <si>
    <t>ЭЛИКВИС 5МГ. №60 ТАБ. П/П/О /ПФАЙЗЕР/БРИСТОЛ-МАЙЕРС/</t>
  </si>
  <si>
    <t>ГРАНД КАПИТАЛ СМОЛЕНСК ООО ФК</t>
  </si>
  <si>
    <t>Пфайзер</t>
  </si>
  <si>
    <t>АРБИДОЛ МАКСИМУМ 200МГ. №10 КАПС. /ОТИСИФАРМ/ФАРМСТАНДАРТ/</t>
  </si>
  <si>
    <t>ОТИСИФАРМ ПАО</t>
  </si>
  <si>
    <t>ЭНАМ 2,5МГ. №20 ТАБ. /Д-Р РЕДДИ/</t>
  </si>
  <si>
    <t>Протек</t>
  </si>
  <si>
    <t>Д-р Редди с Лабораторис Лтд / Dr.REDDY's</t>
  </si>
  <si>
    <t>КЛОПИДОГРЕЛ-СЗ 75МГ. №28 ТАБ. П/П/О /СЕВЕРНАЯ ЗВЕЗДА/</t>
  </si>
  <si>
    <t>Северная Звезда</t>
  </si>
  <si>
    <t>КО-ВАМЛОСЕТ 5МГ.+160МГ.+12,5МГ. №30 ТАБ. П/П/О</t>
  </si>
  <si>
    <t>КРКА-Рус ООО (KRKA )</t>
  </si>
  <si>
    <t>АТОРВАСТАТИН-СЗ 20МГ. №60 ТАБ. П/П/О /СЕВЕРНАЯ ЗВЕЗДА/</t>
  </si>
  <si>
    <t>АТОРВАСТАТИН-СЗ 40МГ. №30 ТАБ. П/П/О /СЕВЕРНАЯ ЗВЕЗДА/</t>
  </si>
  <si>
    <t>КСИМЕЛИН ЭКСТРА 84МКГ/ДОЗА+70МКГ/ДОЗА 10МЛ. №1 НАЗАЛ.СПРЕЙ ДОЗИР. ФЛ.</t>
  </si>
  <si>
    <t>ТАКЕДА ФАРМАСЬЮТИКАЛ КОМПАНИ ЛИМИТЕД</t>
  </si>
  <si>
    <t>NF ВАТА ХИРУРГ. СТЕР. 100Г. /НЬЮФАРМ/</t>
  </si>
  <si>
    <t>Фармкомплект ООО</t>
  </si>
  <si>
    <t>НьюФарм</t>
  </si>
  <si>
    <t>СТОПСЕПТ ПЛЮС 90% 100МЛ. ДЕЗ.СР-ВО ФЛ.</t>
  </si>
  <si>
    <t>Авеста</t>
  </si>
  <si>
    <t>ГИППОКРАТ ООО</t>
  </si>
  <si>
    <t>ПАСКАЛЬ ШПРИЦ 3-Х КОМП. 2МЛ. С ИГЛОЙ 23G 0,6Х30ММ. №10 [PASCAL]</t>
  </si>
  <si>
    <t>Катрен г.Химки</t>
  </si>
  <si>
    <t>ПАСКАЛЬ МЕДИКАЛ</t>
  </si>
  <si>
    <t>КЛОТРИМАЗОЛ 1% 20Г. КРЕМ Д/НАРУЖ.ПРИМ. ТУБА /ХИПЕРИОН/РУМЫНИЯ/</t>
  </si>
  <si>
    <t>HYPERION SA (ХИПЕРИОН )</t>
  </si>
  <si>
    <t>РИНОНОРМ-ТЕВА 0,1% 140МКГ/ДОЗА 20МЛ. НАЗАЛ.СПРЕЙ ФЛ. /ТЕВА/</t>
  </si>
  <si>
    <t>ТЕВА ЧЕШСКОЕ ПРЕДПРИЯТИЕ</t>
  </si>
  <si>
    <t>ДЮФАЛАК 667МГ/МЛ. 500МЛ. СИРОП ФЛ. +МЕРН.СТАКАН /ЭББОТТ/СОЛВЕЙ/</t>
  </si>
  <si>
    <t>Арал плюс</t>
  </si>
  <si>
    <t>Abbott Japan Co ( ЭББОТТ )</t>
  </si>
  <si>
    <t>ГЕЛАДРИНК ФОРТЕ ПОР. Д/ПРИЕМА ВНУТРЬ АПЕЛЬСИН 420Г. БАНКА</t>
  </si>
  <si>
    <t>ВИТТА КОМПАНИ ООО</t>
  </si>
  <si>
    <t>ОРЛИНГ</t>
  </si>
  <si>
    <t>ПИРАЦЕТАМ 200МГ. №60 ТАБ. П/П/О /ОБНОВЛЕНИЕ/</t>
  </si>
  <si>
    <t>ГК Надежда Фарм</t>
  </si>
  <si>
    <t>ОБНОВЛЕНИЕ ПФК</t>
  </si>
  <si>
    <t>МАГНЕЛИС В6 №120 ТАБ. П/О</t>
  </si>
  <si>
    <t>ФАРМСТАНДАРТ УФАВИТА</t>
  </si>
  <si>
    <t>МЕЗИМ-ФОРТЕ №80 ТАБ. П/О /БЕРЛИН-ХЕМИ/</t>
  </si>
  <si>
    <t>Берлин-Хеми АГ/Менарини Групп (Menarini )</t>
  </si>
  <si>
    <t>КАЛЬЦИЙ Д3 НИКОМЕД 500МГ.+200МЕ №60 КЛУБНИКА+АРБУЗ ТАБ.ЖЕВ.</t>
  </si>
  <si>
    <t>ЭКСПРЕСС-ТЕСТ НА А/ТЕЛА COVID-19 LGG/LGM</t>
  </si>
  <si>
    <t>ИМТЭК ООО</t>
  </si>
  <si>
    <t>БОБС ЛЕДЕНЦЫ Д/ГОРЛА 35Г. ЭКСТРА МЕНТОЛ №10</t>
  </si>
  <si>
    <t>МАК-ИВАНОВО</t>
  </si>
  <si>
    <t>ЦИТРАМОН П №10 ТАБ. /ФАРМСТАНДАРТ/</t>
  </si>
  <si>
    <t>ФАРМСТАНДАРТ ЛЕКСРЕДСТВА ОАО</t>
  </si>
  <si>
    <t>ТИЗИН КЛАССИК 0,1% 10МЛ. НАЗАЛ.СПРЕЙ ФЛ. /ДЖОНСОН/</t>
  </si>
  <si>
    <t>ДЕЛЬФАРМ ОРЛЕАН ( DELPHARM )</t>
  </si>
  <si>
    <t>ЛАКОМКА ПОМАДА ГИГИЕН. ЯГОДНЫЙ МИКС 2,8Г. /АВАНТА/</t>
  </si>
  <si>
    <t>АВАНТА ОАО</t>
  </si>
  <si>
    <t>ОМЕЗ 20МГ. №30 КАПС. /Д-Р РЕДДИ/</t>
  </si>
  <si>
    <t>ДОКТОР РЕДДИ С ЛАБ / Dr. REDDY's )</t>
  </si>
  <si>
    <t>ЭВКАЛИПТ М №24 ПАСТИЛКИ</t>
  </si>
  <si>
    <t>ООО "Акцентмед"</t>
  </si>
  <si>
    <t>ДР.АУФДЕРМАУР АГ</t>
  </si>
  <si>
    <t>АЗАРГА 10МГ/МЛ.+5МГ/МЛ. 5МЛ. №1 ГЛ.КАПЛИ ФЛ./КАП.</t>
  </si>
  <si>
    <t>АЛКОН Куврер н.в. (ALCON )</t>
  </si>
  <si>
    <t>ТРАВАТАН 0,004% 2,5МЛ. №3 ГЛ.КАПЛИ ФЛ./КАП.</t>
  </si>
  <si>
    <t>ALCON COUVREUR (АЛКОН )</t>
  </si>
  <si>
    <t>ЙОДА 5% 10МЛ. СПИРТ. Р-Р ФЛ. /ЯРОСЛАВСКАЯ ФФ/</t>
  </si>
  <si>
    <t>ЯРОСЛАВСКАЯ ФАРМ. ФАБРИКА</t>
  </si>
  <si>
    <t>ОМЕПРАЗОЛ 20МГ. №30 КАПС. /ПРОИЗВОДСТВО МЕДИКАМЕНТОВ/</t>
  </si>
  <si>
    <t>ПРОИЗВОДСТВО МЕДИКАМЕНТОВ ООО</t>
  </si>
  <si>
    <t>ПАКЕТ</t>
  </si>
  <si>
    <t>Индивидуальный предприниматель Кочанов Андрей Миха</t>
  </si>
  <si>
    <t>ПЕРЕКИСЬ ВОДОРОДА 3% 100МЛ. №1 Р-Р ДЕЗ.СР-ВО ФЛ. ПЛАСТ. /САМАРАМЕДПРОМ/</t>
  </si>
  <si>
    <t>Самарамедпром ОАО</t>
  </si>
  <si>
    <t>ХЕЛП БИНТ СТЕР. 7МХ14СМ И/У [HELP]</t>
  </si>
  <si>
    <t>ЭВТЕКС</t>
  </si>
  <si>
    <t>БИНТ СТЕР. 10МХ16СМ И/У</t>
  </si>
  <si>
    <t>ПЕНТАЛГИН №24 ТАБ. П/П/О /ОТИСИФАРМ/</t>
  </si>
  <si>
    <t>НАЙЗ АКТИВГЕЛЬ 1% 50Г. №1 ГЕЛЬ Д/НАРУЖ.ПРИМ. ТУБА</t>
  </si>
  <si>
    <t>ГУБКА ГЕМОСТАТ. КОЛЛАГЕН. С СЕРЕБРОМ 50Х50Х7ММ №10 /ЗЕЛЕНАЯ ДУБРАВА/</t>
  </si>
  <si>
    <t>ЗЕЛЕНАЯ ДУБРАВА</t>
  </si>
  <si>
    <t>СТАТИН 1Г. №5 ПОР. ПАК. (Д/ОСТАНОВКИ КРОВОТЕЧЕНИЙ)</t>
  </si>
  <si>
    <t>Пальма ООО</t>
  </si>
  <si>
    <t>ВАЛОКОРДИН 20МЛ. КАПЛИ Д/ПРИЕМА ВНУТРЬ ФЛ./КАП.</t>
  </si>
  <si>
    <t>КРЕВЕЛЬ МОЙЗЕЛЬБАХ ГМБХ (KREWEL )</t>
  </si>
  <si>
    <t>L-ТИРОКСИН 100МКГ. №100 ТАБ. /БЕРЛИН ХЕМИ/</t>
  </si>
  <si>
    <t>Магнит Фарма ООО</t>
  </si>
  <si>
    <t>КЕТОНАЛ 50МГ/МЛ. 2МЛ. №10 Р-Р Д/В/В,В/М АМП. /ЛЕК/</t>
  </si>
  <si>
    <t>Лек Д.Д. (LEK D.D. )</t>
  </si>
  <si>
    <t>ВОЛЬТАРЕН 25МГ/МЛ. 3МЛ. №5 Р-Р Д/В/М АМП. /НОВАРТИС/ГЛАКСО/</t>
  </si>
  <si>
    <t>ЛЕК ФАРМАСЬЮТИКАЛЗ Д.Д.</t>
  </si>
  <si>
    <t>ПАСКАЛЬ ШПРИЦ 3-Х КОМП. 3МЛ. С ИГЛОЙ 22G 0,7Х40ММ. №10 [PASCAL]</t>
  </si>
  <si>
    <t>ШИПОВНИКА ПЛОДЫ 2Г. №20 ПАК. /КРАСНОГОРСК/</t>
  </si>
  <si>
    <t>Здравсервис</t>
  </si>
  <si>
    <t>КРАСНОГОРСКЛЕКСРЕДСТВА ОАО</t>
  </si>
  <si>
    <t>АСЕПТИКА САЛФЕТКА СПИРТОВАЯ 60Х100 №20</t>
  </si>
  <si>
    <t>АСЕПТИКА ООО</t>
  </si>
  <si>
    <t>ПАРАЦЕТАМОЛ 500МГ. №20 ТАБ. /ФАРМСТАНДАРТ/</t>
  </si>
  <si>
    <t>ЦИАНОКОБАЛАМИН 0,5МГ/МЛ. 1МЛ. №10 Р-Р Д/ИН. АМП. (ВИТАМИН В12) /ДАЛЬХИМФАРМ/</t>
  </si>
  <si>
    <t>Дальхимфарм ОАО</t>
  </si>
  <si>
    <t>Д.ТАЙСС АНГИ СЕПТ ЛИМОН №24 ТАБ. Д/РАСС.</t>
  </si>
  <si>
    <t>Др. Тайсс Натурварен ГмбХ (THEISS )</t>
  </si>
  <si>
    <t>ПРОПОСОЛ 25Г. СПРЕЙ Д/МЕСТ.ПРИМ. БАЛЛОН /АЛТАЙВИТАМИНЫ/</t>
  </si>
  <si>
    <t>АЛТАЙВИТАМИНЫ</t>
  </si>
  <si>
    <t>ИНГАВИРИН 90МГ. №10 КАПС. /ВАЛЕНТА/</t>
  </si>
  <si>
    <t>ВАЛЕНТА ФАРМ</t>
  </si>
  <si>
    <t>ДОРИТРИЦИН №10 ТАБ. Д/РАСС.</t>
  </si>
  <si>
    <t>МЕДИЦЕ АРЦН.ПЮТТЕР</t>
  </si>
  <si>
    <t>ПИНОСОЛ 10МЛ. НАЗАЛ.КАПЛИ ФЛ./КАП.</t>
  </si>
  <si>
    <t>САНЕКА ФАРМАСЬЮТИКАЛС А.С. (SANECA )</t>
  </si>
  <si>
    <t>РИНОФЛУИМУЦИЛ 10МЛ. СПРЕЙ НАЗАЛ. ФЛ. /ЗАМБОН/</t>
  </si>
  <si>
    <t>ZAMBON GROUP (ЗАМБОН )</t>
  </si>
  <si>
    <t>ЮНИДОКС СОЛЮТАБ 100МГ. №10 ТАБ.ДИСПЕРГ. /АСТЕЛЛАС/</t>
  </si>
  <si>
    <t>ЗиО ЗДОРОВЬЕ ЗАО</t>
  </si>
  <si>
    <t>ДЕЗЛОРАТАДИН-ВЕЛФАРМ 5МГ. №10 ТАБ. П/О</t>
  </si>
  <si>
    <t>ВЕЛФАРМ ООО</t>
  </si>
  <si>
    <t>КАЛИНОВ РОДНИК ВОДА МИНЕР. 0,5Л. Н/ГАЗ.</t>
  </si>
  <si>
    <t>ПрофитМед</t>
  </si>
  <si>
    <t>ФОНТЕ-АКВА</t>
  </si>
  <si>
    <t>Карта LOYALITY 0,01Р</t>
  </si>
  <si>
    <t>ООО "Континент"</t>
  </si>
  <si>
    <t>АУГМЕНТИН 200МГ.+28,5МГ/5МЛ. 7,7Г. 70МЛ. ПОР. Д/СУСП. Д/ПРИЕМА ВНУТРЬ ФЛ. /ГЛАКСО/</t>
  </si>
  <si>
    <t>Глаксо Вэллком Продакшен</t>
  </si>
  <si>
    <t>ГЕКСОРАЛ ТАБС №20 ТАБ. Д/РАСС.</t>
  </si>
  <si>
    <t>Зольдан Холдинг</t>
  </si>
  <si>
    <t>РОМАШКИ ЦВЕТКИ 1,5Г. №20 ПАК. /КРАСНОГОРСК/</t>
  </si>
  <si>
    <t>НУРОФЕН 100МГ/5МЛ. 100МЛ. СУСП. КЛУБНИКА Д/ДЕТЕЙ ФЛ. /РЕКИТТ БЕНКИЗЕР/</t>
  </si>
  <si>
    <t>RECKITT BENCKISER S.A.</t>
  </si>
  <si>
    <t>РАСТОРОПША №100 ТАБ.</t>
  </si>
  <si>
    <t>В-МИН ООО</t>
  </si>
  <si>
    <t>911-ВЕНОЛГОН ГЕЛЬ Д/НОГ ПРИ ТЯЖЕСТИ,БОЛИ,ОТЕКАХ 100МЛ. ТУБА</t>
  </si>
  <si>
    <t>ТВИНС ТЭК</t>
  </si>
  <si>
    <t>КОНКОР КОР 2,5МГ. №30 ТАБ. П/П/О /МЕРК/</t>
  </si>
  <si>
    <t>НАНОЛЕК</t>
  </si>
  <si>
    <t>БИСОПРОЛОЛ 2,5МГ. №60 ТАБ. П/О /ВЕРТЕКС/</t>
  </si>
  <si>
    <t>ВЕРТЕКС</t>
  </si>
  <si>
    <t>СНУП 0,1% 90МКГ/ДОЗА 15МЛ. НАЗАЛ.СПРЕЙ ФЛ. /ШТАДА/</t>
  </si>
  <si>
    <t>ХЕМОМОНТ</t>
  </si>
  <si>
    <t>ПОЛИДЕКСА С ФЕНИЛЭФРИНОМ 15МЛ. НАЗАЛ.СПРЕЙ ФЛ.</t>
  </si>
  <si>
    <t>LABORATORIES DU DOCTEUR EMILE BOUCHARA</t>
  </si>
  <si>
    <t>РЕГЕЦИН 15Г. ГЕЛЬ П/УГРЕВОЙ СЫПИ</t>
  </si>
  <si>
    <t>ДИОНИС ООО</t>
  </si>
  <si>
    <t>ГЕМАТОГЕН РУССКИЙ ДЕТСКИЙ 40Г. ПЛИТКА /ФАРМ-ПРО/</t>
  </si>
  <si>
    <t>ФАРМ-ПРО</t>
  </si>
  <si>
    <t>ТИАМИНА ХЛОРИД 50МГ/МЛ. 1МЛ. №10 Р-Р Д/В/М ВВЕД. АМП. (ВИТАМИН В1) /СТАТУСФАРМ/ЕРЕВАН.ФФ/</t>
  </si>
  <si>
    <t>СТАТУСФАРМ ООО</t>
  </si>
  <si>
    <t>АРКОКСИА 90МГ. №28 ТАБ. П/П/О</t>
  </si>
  <si>
    <t>РОВИ КОНТРАКТ</t>
  </si>
  <si>
    <t>ТАУРИН 4% 10МЛ. ГЛ.КАПЛИ ФЛ./КАП. /СЛАВЯНСКАЯ АПТЕКА/</t>
  </si>
  <si>
    <t>СЛАВЯНСКАЯ АПТЕКА ООО</t>
  </si>
  <si>
    <t>ЭНАЛАПРИЛ 10МГ. №20 ТАБ. /ХЕМОФАРМ/</t>
  </si>
  <si>
    <t>НИЖФАРМ</t>
  </si>
  <si>
    <t>СВЯТОЙ ИСТОЧНИК ВОДА ПИТЬЕВАЯ 0,5Л. Н/ГАЗ. ПЭТ</t>
  </si>
  <si>
    <t>ЭДЕЛЬВЕЙС ООО</t>
  </si>
  <si>
    <t>ПРЕГИНОР 550МГ. №10 КАПС.</t>
  </si>
  <si>
    <t>Артлайф ООО</t>
  </si>
  <si>
    <t>L-ТИРОКСИН 75МКГ. №100 ТАБ. /БЕРЛИН ХЕМИ/</t>
  </si>
  <si>
    <t>ДЕТРАЛЕКС 500МГ. №30 ТАБ. П/П/О</t>
  </si>
  <si>
    <t>Servier ( СЕРВЬЕ )</t>
  </si>
  <si>
    <t>ПРОКТО-ГЛИВЕНОЛ 2% 30Г. КРЕМ РЕКТ. ТУБА</t>
  </si>
  <si>
    <t>Лаборатории Бушара-Рекордати ( RECORDATI )</t>
  </si>
  <si>
    <t>АСПЕРА СУПЕРЧИСТОТЕЛ 3МЛ. ФЛ.</t>
  </si>
  <si>
    <t>АСПЕРА ООО</t>
  </si>
  <si>
    <t>КЛИРВИН КРЕМ (ПЯТНА,ШРАМЫ) 25Г.</t>
  </si>
  <si>
    <t>КОРВЕТ ФАРМА</t>
  </si>
  <si>
    <t>ОЛВЭЙЗ ПРОКЛАДКИ УЛЬТРА НОРМАЛ №10 [ALWAYS]</t>
  </si>
  <si>
    <t>ХИГИНЕТТ ЛТД</t>
  </si>
  <si>
    <t>НУРОФЕН ФОРТЕ 400МГ. №12 ТАБ. П/О /РЕКИТТ БЕНКИЗЕР/</t>
  </si>
  <si>
    <t>RECKITT BENCKISER Healthcare</t>
  </si>
  <si>
    <t>ЛОРАТАДИН 10МГ. №30 ТАБ. /ВЕРТЕКС/</t>
  </si>
  <si>
    <t>ВЕРОШПИРОН 25МГ. №20 ТАБ. /ГЕДЕОН РИХТЕР/</t>
  </si>
  <si>
    <t>ГЕДЕОН РИХТЕР РУС</t>
  </si>
  <si>
    <t>КОМБИЛИПЕН ТАБС №60 ТАБ. П/П/О</t>
  </si>
  <si>
    <t>Фармстандарт-Уфимский витаминный завод</t>
  </si>
  <si>
    <t>АФОБАЗОЛ 10МГ. №60 ТАБ.</t>
  </si>
  <si>
    <t>ВАЛЕРИАНА ЭКСТРАКТ 20МГ. №50 ТАБ. П/О /БОРИСОВСКИЙ/</t>
  </si>
  <si>
    <t>БОРИСОВСКИЙ ЗАВОД МЕДПРЕПАРАТОВ</t>
  </si>
  <si>
    <t>КАРБАМАЗЕПИН-АЛСИ 200МГ. №40 ТАБ. /АЛСИ/</t>
  </si>
  <si>
    <t>АЛСИ Фарма</t>
  </si>
  <si>
    <t>ТЕРЕЗА МЕД ПОДГУЗНИКИ Д/ВЗР. ЭКСТРА Р.3 L №28 [TEREZA]</t>
  </si>
  <si>
    <t>ОНТЕКС</t>
  </si>
  <si>
    <t>ОМЕПРАЗОЛ-ТЕВА 10МГ. №28 КАПС. КШ/РАСТВ. /ТЕВА/</t>
  </si>
  <si>
    <t>ТЕВА Фармацевтические Предприятия Лтд, завод Хуман</t>
  </si>
  <si>
    <t>ОМРОН ТОНОМЕТР M2 БАЗИК АВТОМАТ АДАПТЕР /АРТ.HEM-7121-ARU/ [OMRON]</t>
  </si>
  <si>
    <t>OMRON</t>
  </si>
  <si>
    <t>ТЕНОРИК 100МГ.+25МГ. №28 ТАБ. П/П/О</t>
  </si>
  <si>
    <t>IPCA LABOPATJRIES LTD (ИПКА)</t>
  </si>
  <si>
    <t>КСИЛЕН 0,1% 20МЛ. №1 НАЗАЛ.КАПЛИ ФЛ./КАП. /ВЕРОФАРМ/</t>
  </si>
  <si>
    <t>ВЕРОФАРМ/ЛЭНС</t>
  </si>
  <si>
    <t>L-ТИРОКСИН 50МКГ. №50 ТАБ. /БЕРЛИН ХЕМИ/</t>
  </si>
  <si>
    <t>BERLIN-CHEMIE</t>
  </si>
  <si>
    <t>ЭНАЛАПРИЛ 5МГ. №20 ТАБ. /ХЕМОФАРМ/</t>
  </si>
  <si>
    <t>Хемофарм А.Д. (HEMOFARM )</t>
  </si>
  <si>
    <t>ПАНКРЕАТИН 25ЕД №60 ТАБ.КШ/РАСТВ. П/О БАНКА /БИОСИНТЕЗ/</t>
  </si>
  <si>
    <t>БИОСИНТЕЗ ОАО</t>
  </si>
  <si>
    <t>СОТАГЕКСАЛ 160МГ. №20 ТАБ. /ГЕКСАЛ АГ/</t>
  </si>
  <si>
    <t>SALUTAS PHARMA GMBH FOR ESPARM ( САЛЮТАС )</t>
  </si>
  <si>
    <t>ЭРИНИТ 10МГ. №50 ТАБ. /ФАРМАПОЛ-ВОЛГА/</t>
  </si>
  <si>
    <t>ФАРМАПОЛ-ВОЛГА</t>
  </si>
  <si>
    <t>КОНТЕЙНЕР Д/СБОРА БИОМАТЕРИАЛА 60МЛ. +ШПАТЕЛЬ СТЕР. И/У (БАНКА)</t>
  </si>
  <si>
    <t>ПЛАСТИ ЛАБ</t>
  </si>
  <si>
    <t>КОНТЕЙНЕР Д/СБОРА БИОМАТЕРИАЛА 100МЛ. СТЕР. (БАНКА)</t>
  </si>
  <si>
    <t>АЛЬПИНА ПЛАСТ ООО</t>
  </si>
  <si>
    <t>ГИОКСИЗОН 10Г. 10МГ.+30МГ/Г. МАЗЬ Д/МЕСТ. И НАРУЖ.ПРИМ. ТУБА /МУРОМСКИЙ/</t>
  </si>
  <si>
    <t>МУРОМСКИЙ ПРИБОРОСТРОИТЕЛЬНЫЙ З-Д</t>
  </si>
  <si>
    <t>ТЕТРАЦИКЛИНОВАЯ 1% 5Г. ГЛ. МАЗЬ ТУБА /ТАТХИМФАРМ/</t>
  </si>
  <si>
    <t>ТАТХИМФАРМПРЕПАРАТЫ</t>
  </si>
  <si>
    <t>НУРОФЕН ЭКСПРЕСС ФОРТЕ 400МГ. №20 КАПС. /РЕКИТТ БЕНКИЗЕР/</t>
  </si>
  <si>
    <t>ФЛУИМУЦИЛ 600МГ. №10 ШИП.ТАБ. /ЗАМБОН/</t>
  </si>
  <si>
    <t>Замбон Свитцерланд Лтд (ZAMBON )</t>
  </si>
  <si>
    <t>БРИЛЛИАНТОВЫЙ ЗЕЛЕН 1% 10МЛ. №1 СПИРТ. Р-Р Д/НАРУЖ.ПРИМ. ФЛ. /САМАРАМЕДПРОМ/</t>
  </si>
  <si>
    <t>ФУРАЦИЛИН АВЕКСИМА 20МГ. №10 ШИП.ТАБ. Д/Р-РА Д/МЕСТ. И НАРУЖ.ПРИМ.</t>
  </si>
  <si>
    <t>ИРБИТСКИЙ ХИМФАРМЗАВОД</t>
  </si>
  <si>
    <t>САЛИЦИЛОВАЯ К-ТА 2% 40МЛ. №1 СПИРТ. Р-Р Д/НАРУЖ.ПРИМ. ФЛ. /ИВАНОВСКАЯ ФФ/</t>
  </si>
  <si>
    <t>ИВАНОВСКАЯ ФАРМ. ФАБРИКА</t>
  </si>
  <si>
    <t>МЕНОВАЗИН 40МЛ. №1 СПИРТ. Р-Р Д/НАРУЖ.ПРИМ. ФЛ. /САМАРАМЕДПРОМ/</t>
  </si>
  <si>
    <t>СИЛДЕНАФИЛ-СЗ 100МГ. №10 ТАБ. П/П/О /СЕВЕРНАЯ ЗВЕЗДА/</t>
  </si>
  <si>
    <t>ИБУКЛИН 400МГ.+325МГ. №10 ТАБ. П/П/О</t>
  </si>
  <si>
    <t>ЦИПРОЛЕТ А 500МГ.+600МГ. №10 ТАБ. П/О</t>
  </si>
  <si>
    <t>СИЛУЕТ 2МГ.+0,03МГ. №21 ТАБ. П/О /ГЕДЕОН РИХТЕР/</t>
  </si>
  <si>
    <t>Гедеон Рихтер А.О.</t>
  </si>
  <si>
    <t>ГУТТАСИЛ 7,5МГ/МЛ. 30МЛ. КАПЛИ Д/ПРИЕМА ВНУТРЬ ФЛ.</t>
  </si>
  <si>
    <t>ФАРМАК</t>
  </si>
  <si>
    <t>ФУРОСЕМИД 40МГ. №50 ТАБ. /ОЗОН ООО/</t>
  </si>
  <si>
    <t>ОЗОН ООО</t>
  </si>
  <si>
    <t>БОЯРЫШНИКА НАСТОЙКА 25МЛ. ФЛ. /ГИППОКРАТ/</t>
  </si>
  <si>
    <t>ПУСТЫРНИКА НАСТОЙКА 25МЛ. ФЛ. /ГИППОКРАТ/</t>
  </si>
  <si>
    <t>ЭСВИЦИН СР-ВО П/ОБЛЫСЕНИЯ ЛОСЬОН-ТОНИК 250МЛ. ФЛ. /ВИО-ФАРМ/</t>
  </si>
  <si>
    <t>Норман</t>
  </si>
  <si>
    <t>ВИО-ФАРМ</t>
  </si>
  <si>
    <t>ЛОПЕРАМИД-АКРИХИН 2МГ. №20 КАПС. /АКРИХИН/</t>
  </si>
  <si>
    <t>Акрихин ХФК ОАО</t>
  </si>
  <si>
    <t>ФУРАДОНИН 50МГ. №20 ТАБ. И/У /БОРИСОВСКИЙ/</t>
  </si>
  <si>
    <t>АНАЛЬГИН 500МГ. №20 ТАБ. /ФАРМСТАНДАРТ/</t>
  </si>
  <si>
    <t>ДРАЖЕ ВЕЧЕРНЕЕ №100 ВАЛЕРИАНА+ХМЕЛЬ+МЯТА /ПАРАФАРМ/</t>
  </si>
  <si>
    <t>ПАРАФАРМ</t>
  </si>
  <si>
    <t>ГЛИЦИН 100МГ. №100 ТАБ. ПОДЪЯЗЫЧ. /БИОТИКИ/</t>
  </si>
  <si>
    <t>БИОТИКИ</t>
  </si>
  <si>
    <t>АСПАРКАМ №60 ТАБ. /ФАРМАПОЛ-ВОЛГА/</t>
  </si>
  <si>
    <t>ХЕЛП БИНТ СТЕР. 5МХ10СМ И/У [HELP]</t>
  </si>
  <si>
    <t>БЕТАГИСТИН-СЗ 16МГ. №60 ТАБ. /СЕВЕРНАЯ ЗВЕЗДА/</t>
  </si>
  <si>
    <t>САЛФЕТКИ СТЕР. 10X10СМ №10</t>
  </si>
  <si>
    <t>НАВТЕКС ООО</t>
  </si>
  <si>
    <t>САЛФЕТКИ 8-И СЛОЙНАЯ СТЕР. 10СМХ10СМ №10</t>
  </si>
  <si>
    <t>ЛЕЙКОПЛАСТЫРЬ 2Х500 ТКАН.ОСНОВА КАТУШКА КАРТОН /ВЕРОФАРМ/</t>
  </si>
  <si>
    <t>ВЕРОФАРМ АО</t>
  </si>
  <si>
    <t>ЦИТРАМОН П №20 ТАБ. /ФАРМСТАНДАРТ/</t>
  </si>
  <si>
    <t>РУТАЦИД 500МГ. №20 ТАБ.ЖЕВ. /KRKA/</t>
  </si>
  <si>
    <t>КРКА д.д. (KRKA )</t>
  </si>
  <si>
    <t>ЦИТРАМОН П №20 ТАБ. /МЕДИСОРБ/</t>
  </si>
  <si>
    <t>МЕДИСОРБ</t>
  </si>
  <si>
    <t>НОЛИПРЕЛ А 2,5МГ.+0,625МГ. №30 ТАБ. П/П/О</t>
  </si>
  <si>
    <t>СЕРДИКС ООО</t>
  </si>
  <si>
    <t>ЭНАМ 5МГ. №20 ТАБ. /Д-Р РЕДДИ/</t>
  </si>
  <si>
    <t>БИКСИТОР 90МГ. №10 ТАБ. П/П/О</t>
  </si>
  <si>
    <t>ХЕМОФАРМ ООО (HEMOFARM )</t>
  </si>
  <si>
    <t>КОМБИЛИПЕН 2МЛ. №10 Р-Р Д/В/М АМП.</t>
  </si>
  <si>
    <t>РИНОСТОП 0,1% 15МЛ. НАЗАЛ.СПРЕЙ ФЛ. /ОТИСИФАРМ/ЛЕККО/ФАРМСТАНДАРТ ЛЕКСРЕДСТВА/</t>
  </si>
  <si>
    <t>ЭВЕРС-ЛАЙФ МАРЛЯ 5М. №1 [EVERS LIFE]</t>
  </si>
  <si>
    <t>КОКАРНИТ 187,125МГ. №3 ЛИОФ. Д/Р-РА Д/В/М АМП. +Р-ЛЬ 2МЛ. №3 АМП.</t>
  </si>
  <si>
    <t>МЕФАР ИЛАЧ САНАЙИ А.Ш.</t>
  </si>
  <si>
    <t>НАНОПЛАСТ ФОРТЕ ПЛАСТЫРЬ ОБЕЗБОЛ. 9Х12СМ. №3</t>
  </si>
  <si>
    <t>ГУЙЧЖОУ МЯОЯО ФАРМАС</t>
  </si>
  <si>
    <t>АСЕПТА ПАРОДОНТАЛ ЗУБ.ПАСТА АКТИВ ПРОФИЛ. 75МЛ.</t>
  </si>
  <si>
    <t>ПИКАМИЛОН 20МГ. №30 ТАБ. /ФАРМСТАНДАРТ/</t>
  </si>
  <si>
    <t>ДИКЛОФЕНАК 100МГ. №20 ТАБ.ПРОЛОНГ. П/О /НИЖФАРМ/ХЕМОФАРМ/</t>
  </si>
  <si>
    <t>ДИКЛОФЕНАК 100МГ. №10 СУПП. РЕКТ. /ДАЛЬХИМФАРМ/</t>
  </si>
  <si>
    <t>НИФЕДИПИН 10МГ. №50 ТАБ. П/П/О /ОЗОН/</t>
  </si>
  <si>
    <t>БСС</t>
  </si>
  <si>
    <t>СОТАГЕКСАЛ 80МГ. №20 ТАБ. /ГЕКСАЛ АГ/</t>
  </si>
  <si>
    <t>ВОЛЬТАРЕН ЭМУЛЬГЕЛЬ 2% 50Г. ГЕЛЬ Д/НАРУЖ.ПРИМ. ТУБА</t>
  </si>
  <si>
    <t>ГЕ ХЕЛСКЕА АС</t>
  </si>
  <si>
    <t>ГИПОСАРТ 16МГ. №28 ТАБ.</t>
  </si>
  <si>
    <t>Польфарма Фармацевтический завод С.А.</t>
  </si>
  <si>
    <t>ФЕСТАЛ №40 ДРАЖЕ</t>
  </si>
  <si>
    <t>SANOFI</t>
  </si>
  <si>
    <t>НАТУРИНО ЛЕДЕНЦЫ КЛУБНИКА+ВИТАМИНЫ 33,5Г./36,4Г. №8</t>
  </si>
  <si>
    <t>СВИТ ТЕК ГМБХ ГЕРМАНИЯ</t>
  </si>
  <si>
    <t>ТРОКСЕРУТИН ВРАМЕД 2% 40Г. ГЕЛЬ Д/НАРУЖ.ПРИМ. ТУБА /СОФАРМА/</t>
  </si>
  <si>
    <t>Софарма АО / SOFARMA</t>
  </si>
  <si>
    <t>САЛИПОД ЛЕЙКОПЛАСТ. МОЗОЛЬНЫЙ 6Х10СМ. /ВЕРОФАРМ/</t>
  </si>
  <si>
    <t>ФУРАЦИЛИН 20МГ. №20 ТАБ. Д/Р-РА Д/МЕСТ. И НАРУЖ.ПРИМ. /АВЕКСИМА/</t>
  </si>
  <si>
    <t>Авексима Сибирь ООО</t>
  </si>
  <si>
    <t>ЛЕВОФЛОКСАЦИН 500МГ. №10 ТАБ. П/П/О /ФАРМСТАНДАРТ-ТОМСКХИМФАРМ/</t>
  </si>
  <si>
    <t>ВИТАМИН Д3 ХОЛЕКАЛЬЦИФЕРОЛ 2000МЕ 570МГ. №30 КАПС. /РЕАЛКАПС/</t>
  </si>
  <si>
    <t>РЕАЛКАПС ЗАО</t>
  </si>
  <si>
    <t>АСКОРБИНОВАЯ К-ТА 100МГ.+877МГ. ГЛЮКОЗА №40 ТАБ. /ФАРМСТАНДАРТ/</t>
  </si>
  <si>
    <t>НАЙЗ 100МГ. №20 ТАБ.</t>
  </si>
  <si>
    <t>ДОЛГИТ 5% 100Г. КРЕМ Д/НАРУЖ.ПРИМ. ТУБА /ДОЛОРГИТ/</t>
  </si>
  <si>
    <t>Долоргит ГмбХ и Ко.КГ  ( DOLORGIET )</t>
  </si>
  <si>
    <t>ЭНТЕРОФУРИЛ 200МГ. №16 КАПС.</t>
  </si>
  <si>
    <t>Босналек АО (BOSNALIJEK )</t>
  </si>
  <si>
    <t>ИБУКЛИН 100МГ.+125МГ. №20 ТАБ. Д/ДЕТЕЙ (ЮНИОР)</t>
  </si>
  <si>
    <t>КСАРЕЛТО 10МГ. №98 ТАБ. П/П/О /БАЙЕР/</t>
  </si>
  <si>
    <t>Байер АГ</t>
  </si>
  <si>
    <t>ФУНДИЗОЛ КРЕМ Д/НОГТЕЙ И КОЖИ 30МЛ.</t>
  </si>
  <si>
    <t>ИНФАРМА 2000 ООО</t>
  </si>
  <si>
    <t>ЛАПЧАТКА КОРНЕВИЩА 50Г. ПАК. /ЗДОРОВЬЕ/</t>
  </si>
  <si>
    <t>ЗДОРОВЬЕ ЗАО</t>
  </si>
  <si>
    <t>ЛАПЧАТКА КОРНЕВИЩА 2,5Г. №20 ПАК. /КРАСНОГОРСК/</t>
  </si>
  <si>
    <t>КРЕМ ДЕТСКИЙ РОМАШКА+ВИТ.А+F 75МЛ. /АВАНТА/</t>
  </si>
  <si>
    <t>ВАЗЕЛИНОВОЕ МАСЛО Д/ПРИЕМА ВНУТРЬ 100МЛ. №1 ФЛ. /ФЛОРА КАВКАЗА/</t>
  </si>
  <si>
    <t>ФЛОРА КАВКАЗА ОАО</t>
  </si>
  <si>
    <t>ЛОРАГЕКСАЛ 10МГ. №10 ТАБ. /ГЕКСАЛ АГ/</t>
  </si>
  <si>
    <t>ГЕКСАЛ АГ</t>
  </si>
  <si>
    <t>БИОЛИТ БАДЯГА ФОРТЕ ГЕЛЬ 75МЛ.</t>
  </si>
  <si>
    <t>БИОЛИТ ООО</t>
  </si>
  <si>
    <t>НАТРИЯ ХЛОРИД 0,9% 100МЛ. №28 Р-Р Д/ИНФ. /ЭСКОМ/</t>
  </si>
  <si>
    <t>ЭСКОМ НПК ОАО</t>
  </si>
  <si>
    <t>ИБУПРОФЕН 200МГ. №50 ТАБ. П/О /БОРИСОВСКИЙ/</t>
  </si>
  <si>
    <t>КОРВАЛОЛ 25МЛ. КАПЛИ Д/ПРИЕМА ВНУТРЬ ФЛ. И/У /ФАРМСТАНДАРТ ЛЕКСРЕДСТВА/</t>
  </si>
  <si>
    <t>Фармстандарт-Томскхимфарм,ОАО</t>
  </si>
  <si>
    <t>ГЛЮКОФАЖ ЛОНГ 1000МГ. №60 ТАБ.ПРОЛОНГ. /МЕРК САНТЭ/</t>
  </si>
  <si>
    <t>КОЛГЕЙТ ЗУБ.ЩЕТКА МАССАЖЕР МЯГКАЯ [COLGATE]</t>
  </si>
  <si>
    <t>Колгейт Санкшао Ко Лтд</t>
  </si>
  <si>
    <t>ТИЗАЛУД 2МГ. №30 ТАБ. /ВЕРОФАРМ/</t>
  </si>
  <si>
    <t>СИГНИЦЕФ 0,5% 5МЛ. №1 ГЛ.КАПЛИ ФЛ./КАП. /СЕНТИСС/ПРОМЕД/</t>
  </si>
  <si>
    <t>СЕНТИСС ФАРМА / SENTIS</t>
  </si>
  <si>
    <t>КОРНЕРЕГЕЛЬ 5% 10Г. ГЛ. ГЕЛЬ ТУБА</t>
  </si>
  <si>
    <t>Др.Герхард Манн,Химико-фармацевтическое предприяти</t>
  </si>
  <si>
    <t>СИЛИМАР 100МГ. №30 ТАБ.</t>
  </si>
  <si>
    <t>ВИЛАР НПО</t>
  </si>
  <si>
    <t>ТЕЛЗАП 40МГ. №30 ТАБ.</t>
  </si>
  <si>
    <t>СУСТАМЕД ЖАБИЙ КАМЕНЬ БИО-БАЛЬЗАМ АКТИВИР. Д/ТЕЛА МАСЛО РЫЖИКА 50МЛ. ТУБА</t>
  </si>
  <si>
    <t>РЕАЛКОСМЕТИКС ЗАО</t>
  </si>
  <si>
    <t>АУРА ВАТНЫЕ ДИСКИ №100 [AURA]</t>
  </si>
  <si>
    <t>Коттон Клаб ООО ( COTTON CLUB )</t>
  </si>
  <si>
    <t>ТАНТУМ ВЕРДЕ 0,255МКГ/ДОЗА 30МЛ. 176ДОЗ СПРЕЙ Д/МЕСТ.ПРИМ. ДОЗИР. ФЛ.</t>
  </si>
  <si>
    <t>ANGELINI FRANCESCO (АНДЖЕЛИНИ )</t>
  </si>
  <si>
    <t>ОРВИРЕМ 2МГ/МЛ. 100МЛ. СИРОП Д/ДЕТЕЙ</t>
  </si>
  <si>
    <t>ПОЛИОКСИДОНИЙ 6МГ. №10 СУПП. РЕКТ./ВАГИН. /ПЕТРОВАКС/</t>
  </si>
  <si>
    <t>ПЕТРОВАКС</t>
  </si>
  <si>
    <t>МАСКА МЕД. ЛАТИО ДЕТСКАЯ ТРЕХСЛОЙНАЯ (3-Х) РИСУНОК №50 И/У [LATIO]</t>
  </si>
  <si>
    <t>КИТ ООО</t>
  </si>
  <si>
    <t>АСКОРБИНКА ЛУНТИК ВИТ.С №10 ТАБ. (30Г.) /ФАРМ-ПРО/ТИГОДА-ФАРМ/</t>
  </si>
  <si>
    <t>СИЛЬВЕР КАПИТАН БАТОНЧИК КОКОС ШОК.ГЛАЗ. 50Г.</t>
  </si>
  <si>
    <t>ФАКЕЛ-ДИЗАЙН ООО</t>
  </si>
  <si>
    <t>СИЛЬВЕР КАПИТАН БАТОНЧИК ТРЮФЕЛЬ+ОРЕХ ШОК.ГЛАЗ. 50Г.</t>
  </si>
  <si>
    <t>ТЕНОРИК 50МГ.+12,5МГ. №28 ТАБ. П/П/О</t>
  </si>
  <si>
    <t>Ипка Лабораториз Лимитед (IPCA)</t>
  </si>
  <si>
    <t>ДИАБЕТОН МВ 60МГ. №30 ТАБ. МОДИФ.ВЫСВ. /СЕРВЬЕ/</t>
  </si>
  <si>
    <t>КОНКОР 5МГ. №30 ТАБ. П/П/О /МЕРК/</t>
  </si>
  <si>
    <t>ОКТОЛИПЕН 600МГ. №30 ТАБ. П/П/О /ФАРСТАНДАРТ-ЛЕКСРЕДСТВА/</t>
  </si>
  <si>
    <t>МИРРОЛЛА ШАМПУНЬ ЛУКОВЫЙ + КРАСНЫЙ ПЕРЕЦ 150МЛ. [MIRROLLA]</t>
  </si>
  <si>
    <t>МИРРОЛЛА ООО</t>
  </si>
  <si>
    <t>УГОЛЬ АКТИВИРОВАННЫЙ 250МГ. №50 ТАБ. /ФАРМСТАНДАРТ ЛЕКСРЕДСТВА/</t>
  </si>
  <si>
    <t>СИЛЬВЕР КАПИТАН БАТОНЧИК КОКОС КАКАО БЕЛ.ГЛАЗ. 50Г.</t>
  </si>
  <si>
    <t>НАТАЛЬСИД 250МГ. №10 СУПП. РЕКТ. /НИЖФАРМ/</t>
  </si>
  <si>
    <t>АНАУРЕТТЕ СПРЕЙ Д/ОЧИЩ. УШНОЙ ПОЛОСТИ 15МЛ.</t>
  </si>
  <si>
    <t>NAVEH PHARMA</t>
  </si>
  <si>
    <t>БУТАДИОН 5% 20Г. МАЗЬ Д/НАРУЖ.ПРИМ. ТУБА /ОЗОН/</t>
  </si>
  <si>
    <t>ТРИПЛИКСАМ 5МГ.+2,5МГ.+10МГ. №30 ТАБ. П/П/О</t>
  </si>
  <si>
    <t>КСАЛАТАН 0,005% 2,5МЛ. №3 ГЛ.КАПЛИ ФЛ./КАП.</t>
  </si>
  <si>
    <t>PFIZER</t>
  </si>
  <si>
    <t>ЛЕЙКОПЛАСТЫРЬ БАКТЕР. 2,5Х7,2 №1 /ВЕРОФАРМ/</t>
  </si>
  <si>
    <t>ИНДАПАМИД 2,5МГ. №30 ТАБ. П/О /ХЕМОФАРМ/</t>
  </si>
  <si>
    <t>ТРОМБОПОЛ 75МГ. №30 ТАБ.КШ/РАСТВ. П/О /ПОЛЬФАРМА/</t>
  </si>
  <si>
    <t>КАМФОРНЫЙ СПИРТ 10% 40МЛ. №1 Р-Р Д/НАРУЖ.ПРИМ. ФЛ. /ИВАНОВСКАЯ ФФ/</t>
  </si>
  <si>
    <t>ЙОДА 5% 25МЛ. №1 СПИРТ. Р-Р Д/НАРУЖ.ПРИМ. ФЛ. /ТУЛЬСКАЯ ФФ/</t>
  </si>
  <si>
    <t>ТУЛЬСКАЯ ФАРМ. ФАБРИКА</t>
  </si>
  <si>
    <t>АЦЕТИЛСАЛИЦИЛОВАЯ К-ТА 500МГ. №20 ТАБ. /ФАРМСТАНДАРТ/</t>
  </si>
  <si>
    <t>НАЙЗ 100МГ. №30 ТАБ.</t>
  </si>
  <si>
    <t>ФЛУКОНАЗОЛ 150МГ. №4 КАПС. /ВЕРТЕКС/</t>
  </si>
  <si>
    <t>КАНЕФРОН Н №120 ТАБ. П/О</t>
  </si>
  <si>
    <t>Роттендорф Фарма / ROTTENDORF /</t>
  </si>
  <si>
    <t>МЕТРОНИДАЗОЛ 250МГ. №20 ТАБ. /МЕДИСОРБ/</t>
  </si>
  <si>
    <t>ИНДАПАМИД 2,5МГ. №30 ТАБ. П/О /КАНОНФАРМА/</t>
  </si>
  <si>
    <t>КАНОНФАРМА ПРОДАКШН</t>
  </si>
  <si>
    <t>ВЕРОШПИРОН 50МГ. №30 КАПС. /ГЕДЕОН РИХТЕР/</t>
  </si>
  <si>
    <t>БЕТАЛОК ЗОК 50МГ. №30 ТАБ.ПРОЛОНГ. П/О /АСТРА ЗЕНЕКА/</t>
  </si>
  <si>
    <t>Астра Зенека АБ</t>
  </si>
  <si>
    <t>ЛЕВОМЕКОЛЬ 40МГ/Г.+7,5МГ/Г. 40Г. №1 МАЗЬ Д/НАРУЖ.ПРИМ. ТУБА /НИЖФАРМ/</t>
  </si>
  <si>
    <t>СТРЕПТОЦИД 10Г. №1 ПОР. Д/НАРУЖ.ПРИМ. БАНКА ДОЗ. /ЛЕКАРЬ/</t>
  </si>
  <si>
    <t>ЛЕКАРЬ ООО</t>
  </si>
  <si>
    <t>ЛЕКРОЛИН 20МГ/МЛ. 10МЛ. №1 ГЛ.КАПЛИ ФЛ. /САНТЭН/</t>
  </si>
  <si>
    <t>НЕКСТ ФАРМА САС</t>
  </si>
  <si>
    <t>НАСОБЕК 50МКГ/ДОЗА 200ДОЗ №1 НАЗАЛ.СПРЕЙ ФЛ. /ТЕВА/</t>
  </si>
  <si>
    <t>ЗВЕЗДОЧКА НОЗ 0,1% 15МЛ. НАЗАЛ.СПРЕЙ ФЛ. +РАСП.</t>
  </si>
  <si>
    <t>DANAPHA</t>
  </si>
  <si>
    <t>САНОРИН 0,1% 10МЛ. №1 С МАСЛОМ ЭВКАЛИПТА НАЗАЛ.КАПЛИ ФЛ.</t>
  </si>
  <si>
    <t>ЗВЕЗДОЧКА ФЛЮ ЛИМОН 15Г. №5 ПОР. Д/Р-РА Д/ПРИЕМА ВНУТРЬ ПАК.</t>
  </si>
  <si>
    <t>ДАНАФА ФАРМАСЬЮТИКАЛ ДЖОЙНТ СТОК КОМПАНИ / DANAFA</t>
  </si>
  <si>
    <t>САЛФЕТКИ ДВУХСЛ. СТЕР. 16Х14СМ №10 И/У</t>
  </si>
  <si>
    <t>ВЕРАМЕД</t>
  </si>
  <si>
    <t>ЭВЕРС-ЛАЙФ САЛФЕТКА СТЕР. 2-Х СЛ. 16Х14СМ. №10 [EVERS LIFE]</t>
  </si>
  <si>
    <t>ДЕСИТИН 57Г./50МЛ. КРЕМ ТУБА</t>
  </si>
  <si>
    <t>JOHNSON &amp; JOHNSON (ДЖОНСОН)</t>
  </si>
  <si>
    <t>КЕТОРОЛ ЭКСПРЕСС 10МГ. №20 ТАБ. ДИСПЕРГ. /Д-Р РЕДДИС/</t>
  </si>
  <si>
    <t>РЕМЕНС №36 ТАБ. ПОДЪЯЗЫЧ. ГОМЕОПАТ.</t>
  </si>
  <si>
    <t>Рихард Биттнер АГ</t>
  </si>
  <si>
    <t>КЕТОПРОФЕН-АКОС 5% 50Г. ГЕЛЬ Д/НАРУЖ.ПРИМ. ТУБА /СИНТЕЗ/</t>
  </si>
  <si>
    <t>Синтез АКО ОАО</t>
  </si>
  <si>
    <t>НИМЕСИЛ 100МГ. 2Г. №30 ГРАН. Д/СУСП. Д/ПРИЕМА ВНУТРЬ ПАК. /ГУИДОТТИ/МЕНАРИНИ/</t>
  </si>
  <si>
    <t>А.Менарини Индустриэ Фармачеутикэ Риунитэ (Menarin</t>
  </si>
  <si>
    <t>ВАЛИДОЛ 60МГ. №10 ТАБ. ПОДЪЯЗЫЧ. /ФАРМСТАНДАРТ/</t>
  </si>
  <si>
    <t>НАФТИЗИН 0,1% 15МЛ. НАЗАЛ.КАПЛИ ФЛ./КАП. /СЛАВЯНСКАЯ АПТЕКА/</t>
  </si>
  <si>
    <t>ДИМЕКСИД 99% 100МЛ. КОНЦ. Д/Р-РА Д/НАРУЖ.ПРИМ. ФЛ. /ЙОДНЫЕ ТЕХНОЛОГИИ И МАРКЕТИНГ/</t>
  </si>
  <si>
    <t>ЙОДНЫЕ ТЕХНОЛОГИИ И МАРКЕТИНГ ООО</t>
  </si>
  <si>
    <t>АНАЛЬГИН 500МГ/МЛ. 2МЛ. №10 Р-Р Д/В/В,В/М АМП. /НОВОСИБХИМФАРМ/</t>
  </si>
  <si>
    <t>Новосибхимфарм ОАО НЗБХ</t>
  </si>
  <si>
    <t>ДЕКСАМЕТАЗОН-ФЕРЕЙН 4МГ/МЛ. 1МЛ. №25 Р-Р Д/В/В,В/М АМП. /ФЕРЕЙН/</t>
  </si>
  <si>
    <t>БРЫНЦАЛОВ- А</t>
  </si>
  <si>
    <t>МОЕ СОЛНЫШКО ГЕЛЬ Д/ПОДМЫВ. МЛАДЕНЦЕВ ГИПОАЛЛЕРГ. 400МЛ.</t>
  </si>
  <si>
    <t>МИДОКАЛМ 150МГ. №30 ТАБ. П/П/О /ГЕДЕОН РИХТЕР/</t>
  </si>
  <si>
    <t>ИНЪЕКТРАН 100МГ/МЛ. 2МЛ. №10 Р-Р Д/В/М АМП.</t>
  </si>
  <si>
    <t>ЭЛЛАРА  ООО</t>
  </si>
  <si>
    <t>САТЕЛЛИТ СЕНСОРЫ ПЛЮС ПКГЭ-02.4 №50 ТЕСТ ПОЛОСКИ</t>
  </si>
  <si>
    <t>Элта ЗАО</t>
  </si>
  <si>
    <t>ЛОПЕДИУМ 2МГ. №10 ТАБ. /САЛЮТАС/</t>
  </si>
  <si>
    <t>ЛИЗИНОПРИЛ 10МГ. №60 ТАБ. /ВЕРТЕКС/</t>
  </si>
  <si>
    <t>СБОР УРОЛОГИЧЕСКИЙ 2Г. №20 ПАК. (ФИТОНЕФРОЛ) /КРАСНОГОРСК/</t>
  </si>
  <si>
    <t>НОЛИПРЕЛ А ФОРТЕ 5МГ.+1,25МГ. №30 ТАБ. П/П/О</t>
  </si>
  <si>
    <t>СЕРВЬЕ РУС</t>
  </si>
  <si>
    <t>ПЕРТУССИН-ЭКО 100МЛ. СИРОП ФЛ. /ЭКОЛАБ/</t>
  </si>
  <si>
    <t>ЭКОЛАБ ЗАО</t>
  </si>
  <si>
    <t>КЕТОРОЛ 30МГ/МЛ. 1МЛ. №10 Р-Р Д/ИН. АМП. /Д-Р РЕДДИС/</t>
  </si>
  <si>
    <t>КОНТЕЙНЕР Д/СБОРА БИОМАТЕРИАЛА 120МЛ. УНИВЕРС. СТЕР. (БАНКА)</t>
  </si>
  <si>
    <t>PLASTI LAB</t>
  </si>
  <si>
    <t>ФУРАЗОЛИДОН РЕНЕВАЛ 50МГ. №20 ТАБ. И/У /ОБНОВЛЕНИЕ/</t>
  </si>
  <si>
    <t>ФУРАГИН 50МГ. №30 ТАБ. /СЕВЕРНАЯ ЗВЕЗДА/</t>
  </si>
  <si>
    <t>АМЛОДИПИН 10МГ. №60 ТАБ. /ВЕРТЕКС/</t>
  </si>
  <si>
    <t>БИСОПРОЛОЛ 5МГ. №60 ТАБ. П/П/О /ВЕРТЕКС/</t>
  </si>
  <si>
    <t>ПАНКРЕАТИН 30ЕД №60 ТАБ.КШ/РАСТВ. П/О БАНКА /ФАРМПРОЕКТ/</t>
  </si>
  <si>
    <t>ФАРМПРОЕКТ ЗАО</t>
  </si>
  <si>
    <t>НО-ШПА 40МГ. №64 ТАБ. ФЛ. ДОЗАТОР /ХИНОИН/</t>
  </si>
  <si>
    <t>ОПЕЛЛА ХЕЛСКЕА ВЕНГРИЯ ЛТД</t>
  </si>
  <si>
    <t>МЕЛАТОНИН-СЗ 3МГ. №60 ТАБ. П/П/О</t>
  </si>
  <si>
    <t>ЛЕЙКОПЛАСТЫРЬ БАКТЕР. 6X10 №1 /ВЕРОФАРМ/</t>
  </si>
  <si>
    <t>ПЕНТАЛГИН ЭКСТРА-ГЕЛЬ 5% 50Г. ГЕЛЬ Д/НАРУЖ.ПРИМ. ТУБА</t>
  </si>
  <si>
    <t>ЛЕККО ФФ ЗАО</t>
  </si>
  <si>
    <t>ЛЕЙКОПЛАСТЫРЬ 5Х500 ТКАН.ОСНОВА КАТУШКА КАРТОН /ВЕРОФАРМ/</t>
  </si>
  <si>
    <t>АУРА ВАТНЫЕ ДИСКИ №120 [AURA]</t>
  </si>
  <si>
    <t>АЙКОТТОН ООО</t>
  </si>
  <si>
    <t>МОЕ СОЛНЫШКО САЛФЕТКИ ВЛАЖН. ПАНТЕНОЛ №70</t>
  </si>
  <si>
    <t>АВАНГАРД</t>
  </si>
  <si>
    <t>АНДИПАЛ №20 ТАБ. /ФАРМСТАНДАРТ-ЛЕКСРЕДСТВА/</t>
  </si>
  <si>
    <t>АТЕНОЛОЛ РЕНЕВАЛ 50МГ. №30 ТАБ. /ОБНОВЛЕНИЕ/</t>
  </si>
  <si>
    <t>КАТАЛИН 750МГ. ТАБ. +15МЛ. Р-ЛЬ ГЛ.КАПЛИ</t>
  </si>
  <si>
    <t>SENJU PHARMACEUTICAL CO. LTD.</t>
  </si>
  <si>
    <t>ИБУПРОФЕН-ВЕРТЕ 5% 50Г. ГЕЛЬ Д/НАРУЖ.ПРИМ. ТУБА /ВЕРТЕКС/</t>
  </si>
  <si>
    <t>ДОКСИЦИКЛИН СОЛЮШН ТАБЛЕТС 100МГ. №10 ТАБ.ДИСПЕРГ. /АТОЛЛ/ОЗОН/</t>
  </si>
  <si>
    <t>ВИТАПРОСТ 10МГ. №10 СУПП. РЕКТ. /НИЖФАРМ/</t>
  </si>
  <si>
    <t>ЕАПТЕКА ООО</t>
  </si>
  <si>
    <t>ПСИЛО-БАЛЬЗАМ 20Г. ГЕЛЬ Д/НАРУЖ.ПРИМ.</t>
  </si>
  <si>
    <t>ФЕРРОГЕМАТОГЕН 50Г. ПАСТИЛКА ЖЕВ. (ПЛИТКА)</t>
  </si>
  <si>
    <t>МАСКА МЕД. ТРЕХСЛОЙНАЯ (3-Х) НА РЕЗИНКЕ №5</t>
  </si>
  <si>
    <t>КАЗАНСКАЯ ФФ</t>
  </si>
  <si>
    <t>СИЛДЕНАФИЛ-СЗ 50МГ. №4 ТАБ. П/П/О /СЕВЕРНАЯ ЗВЕЗДА/</t>
  </si>
  <si>
    <t>НЕМОЗОЛ 400МГ. №1 ТАБ. П/П/О</t>
  </si>
  <si>
    <t>АМИНТАКС 35000МЕ+10000МЕ+35000МЕ №10 СУПП. ВАГ.</t>
  </si>
  <si>
    <t>Альтфарм ООО</t>
  </si>
  <si>
    <t>МИГ 400МГ. №20 ТАБ. П/П/О /БЕРЛИН-ХЕМИ/</t>
  </si>
  <si>
    <t>ЦИТОФЛАВИН №100 ТАБ.КШ/РАСТВ. /ПОЛИСАН/</t>
  </si>
  <si>
    <t>ПОЛИСАН НТФ</t>
  </si>
  <si>
    <t>АМЕЛОТЕКС 1% 50Г. №1 ГЕЛЬ Д/НАРУЖ.ПРИМ. ТУБА</t>
  </si>
  <si>
    <t>ТРИПЛИКСАМ 5МГ.+1,25МГ.+5МГ. №30 ТАБ. П/П/О</t>
  </si>
  <si>
    <t>АТЕНОЛОЛ РЕНЕВАЛ 100МГ. №30 ТАБ. /ОБНОВЛЕНИЕ/</t>
  </si>
  <si>
    <t>АЛЛОХОЛ №50 ТАБ. П/О /ФАРМСТАНДАРТ/</t>
  </si>
  <si>
    <t>ФИТОКОСМЕТИК КРЕМ-ХНА ИНДИЙСКАЯ НАТУР. 3.3 ГОРЬК.ШОКОЛАД 50МЛ.</t>
  </si>
  <si>
    <t>ФИТОКОСМЕТИК</t>
  </si>
  <si>
    <t>МЕЛОКСИКАМ-ТЕВА 15МГ. №10 ТАБ.</t>
  </si>
  <si>
    <t>НОЛЬПАЗА 20МГ. №14 ТАБ.КШ/РАСТВ. П/О /KRKA/</t>
  </si>
  <si>
    <t>ДИВАЗА №100 ТАБ. Д/РАСС.</t>
  </si>
  <si>
    <t>Материа Медика Холдинг НПФ ООО</t>
  </si>
  <si>
    <t>ТОЛПЕРИЗОН 150МГ. №30 ТАБ. П/П/О /МЕДИСОРБ/</t>
  </si>
  <si>
    <t>БИЛОБИЛ 40МГ. №60 КАПС. /KRKA/</t>
  </si>
  <si>
    <t>МИКОДЕРИЛ 1% 10МЛ. №1 Р-Р Д/НАРУЖ.ПРИМ. ФЛ./КАП.</t>
  </si>
  <si>
    <t>МИКОСТОП СПРЕЙ Д/НОГ И Д/ОБУВИ ПРОФИЛАКТИКА ГРИБКА 150МЛ. ФЛ.</t>
  </si>
  <si>
    <t>ИНТЕЛБИО ООО</t>
  </si>
  <si>
    <t>НЕОТРАВИСИЛ МЯТА №24 ПАСТИЛКИ [NEOTRAVISIL]</t>
  </si>
  <si>
    <t>ЛОЗЕН ФАРМА ПВТ. ЛТД.</t>
  </si>
  <si>
    <t>ПАСКАЛЬ ШПРИЦ 3-Х КОМП. 5МЛ. С ИГЛОЙ 22G 0,7Х30ММ. №10 [PASCAL]</t>
  </si>
  <si>
    <t>ХАРТМАНН ПЕХА-ХАФТ БИНТ САМОФИКС. КОГЕЗИВ. 4МХ4СМ. БЕЛ. /АРТ.932483/ [HARTMANN PEHA-HAFT]</t>
  </si>
  <si>
    <t>PAUL HARTMANN AG.</t>
  </si>
  <si>
    <t>АКРИДЕРМ 0,05% 30Г. №1 КРЕМ Д/НАРУЖ.ПРИМ. ТУБА /АКРИХИН/</t>
  </si>
  <si>
    <t>НЕОТАНИН СПРЕЙ Д/ДЕТ. И ВЗРОС. 100МЛ. ФЛ.</t>
  </si>
  <si>
    <t>ТАВЕГИЛ 1МГ. №20 ТАБ.</t>
  </si>
  <si>
    <t>Смиткляйн Бичем Фармасьютикалз</t>
  </si>
  <si>
    <t>ЛОРАТАДИН 10МГ. №30 ТАБ. /ОЗОН/</t>
  </si>
  <si>
    <t>САНИТЕЛЬ СПРЕЙ Д/РУК А/СЕПТИЧ. ВИТ.Е+АЛОЭ 20МЛ. [SANITELLE]</t>
  </si>
  <si>
    <t>Бентус лаборатории</t>
  </si>
  <si>
    <t>АДЖИСЕПТ МЕНТОЛ+ЭВКАЛИПТ №24 ТАБ. Д/РАСС.</t>
  </si>
  <si>
    <t>Аджио Фармацевтикалз Лтд (AGIO )</t>
  </si>
  <si>
    <t>АММИАК 100МГ/МЛ. 100МЛ. №1 Р-Р Д/НАРУЖ./ИНГ. ФЛ. /САМАРСКАЯ ФФ/</t>
  </si>
  <si>
    <t>АСКОРБИНОВАЯ К-ТА 25МГ. ЯБЛОКО №10 ТАБ. КРУТКА САХ. /АСКОПРОМ/</t>
  </si>
  <si>
    <t>АСКОПРОМ</t>
  </si>
  <si>
    <t>ПРОСТАПЛАНТ 320МГ. №30 КАПС.</t>
  </si>
  <si>
    <t>ШЕРЕР для Янссен Фармацевтика Н.В.</t>
  </si>
  <si>
    <t>НАТУРА МЕДИКА ГЕЛЬ-БАЛЬЗАМ КОНСКИЙ КАШТАН+ТРОКСЕРУТИН Д/НОГ 85МЛ. [NATURA MEDICA]</t>
  </si>
  <si>
    <t>ГЛИЦЕРИН 2,11Г. №10 СУПП. РЕКТ. /НИЖФАРМ/</t>
  </si>
  <si>
    <t>РАСТОРОПШИ ШРОТ 100Г. ПОР.</t>
  </si>
  <si>
    <t>ЦЕЛИТЕЛЬНЫЕ СИЛЫ ПРИРОДЫ СФК ООО</t>
  </si>
  <si>
    <t>АНГЕЛ ПОВЯЗКА ПЛАСТЫРНОГО ТИПА БАКТЕР. 9Х10СМ. №10 [ANGEL]</t>
  </si>
  <si>
    <t>ТАУФОН 4% 10МЛ. №1 ГЛ.КАПЛИ ФЛ./КАП. /ОТИСИФАРМ/ФАРМСТАНДАРТ/</t>
  </si>
  <si>
    <t>911-ГЕЛЬ-БАЛЬЗАМ Д/НОГ КОНСКИЙ КАШТАН 100МЛ. ТУБА</t>
  </si>
  <si>
    <t>ПЕРИ КРИСТАЛ</t>
  </si>
  <si>
    <t>ДОКТОР ПЕРЕЦ ЛЕЙКОПЛАСТ. ПЕРЦОВЫЙ 10X18 №1 ПЕРФ. /ВЕРОФАРМ/</t>
  </si>
  <si>
    <t>ИНДОМЕТАЦИН-СОФАРМА 25МГ. №30 ТАБ.КШ/РАСТВ. П/О</t>
  </si>
  <si>
    <t>НО-ШПА 40МГ. №24 ТАБ. /ХИНОИН/</t>
  </si>
  <si>
    <t>НЕОТАНИН КРЕМ Д/ДЕТ. И ВЗРОС. 50Г. ТУБА</t>
  </si>
  <si>
    <t>ФУРАЗОЛИДОН АВЕКСИМА 50МГ. №20 ТАБ. /ИРБИТСКИЙ/</t>
  </si>
  <si>
    <t>МЕКСИДОЛ ЗУБ.ПАСТА ДЕНТ АКТИВ 100Г. [MEXIDOL]</t>
  </si>
  <si>
    <t>КОНТРАКТ LTD</t>
  </si>
  <si>
    <t>АПИЗАРТРОН 20Г. №1 МАЗЬ Д/НАРУЖ. ПРИМ. ТУБА</t>
  </si>
  <si>
    <t>ЛИХТЕНХЕЛД ГМБХ</t>
  </si>
  <si>
    <t>МЕЗИМ-ФОРТЕ №20 ТАБ. П/О /БЕРЛИН-ХЕМИ/</t>
  </si>
  <si>
    <t>ЦИСТОН №100 ТАБ.</t>
  </si>
  <si>
    <t>Хималайя Драг Ко (HIMALAYA )</t>
  </si>
  <si>
    <t>АЛМАГЕЛЬ А 170МЛ. №1 СУСП. Д/ПРИЕМА ВНУТРЬ ФЛ. /БАЛКАН ФАРМА-ТРОЯН/</t>
  </si>
  <si>
    <t>Балканфарма - Троян АД</t>
  </si>
  <si>
    <t>НЕКСИУМ 20МГ. №28 ТАБ. П/О /АСТРА ЗЕНЕКА/</t>
  </si>
  <si>
    <t>ЛИТТЛ ДОКТОР ТОНОМЕТР LD-51U АВТОМАТ НА ПЛЕЧО 22-42СМ. +АДАПТЕР [LITTLE DOCTOR]</t>
  </si>
  <si>
    <t>LITTLE DOCTOR INTERNATIONAL / ЛИТЛЛ</t>
  </si>
  <si>
    <t>СИЛДЕНАФИЛ-СЗ 100МГ. №20 ТАБ. П/П/О /СЕВЕРНАЯ ЗВЕЗДА/</t>
  </si>
  <si>
    <t>НУРОФЕН 12+ 200МГ. №12 ТАБ. П/О /РЕКИТТ БЕНКИЗЕР/</t>
  </si>
  <si>
    <t>РЕКИТТ БЕНКИЗЕР</t>
  </si>
  <si>
    <t>ФОСФАЛЮГЕЛЬ 16Г. №20 ГЕЛЬ Д/ПРИЕМА ВНУТРЬ ПАК.</t>
  </si>
  <si>
    <t>Фарматис/Терапликс</t>
  </si>
  <si>
    <t>ТОРГ ЛАЙНС БАНКИ МАССАЖ А/ЦЕЛЛЮЛИТ. №1 ТЮЛЬПАН</t>
  </si>
  <si>
    <t>Торг Лайнс ООО</t>
  </si>
  <si>
    <t>АЛЛАПИНИН 25МГ. №30 ТАБ. /ВИЛАР/</t>
  </si>
  <si>
    <t>ВИЛАР ФАРМЦЕНТР ЗАО</t>
  </si>
  <si>
    <t>ГЛИЦИН ФОРТЕ 300/600МГ. №60 ТАБ. Д/РАСС. /ЭВАЛАР/</t>
  </si>
  <si>
    <t>ЭВАЛАР</t>
  </si>
  <si>
    <t>АНТИ-ЭЙДЖ ВИТАМИН Д3 500МЕ 10МЛ. №1 МАСЛ. Р-Р Д/ПРИЕМА ВНУТРЬ ФЛ./КАП. /ЭВАЛАР/ [ANTI-AGE]</t>
  </si>
  <si>
    <t>МИРРОЛЛА РЫБИЙ ЖИР ВИТАМИНЫ А+Д+Е 370МГ. №100 КАПС.</t>
  </si>
  <si>
    <t>МОЕ СОЛНЫШКО БАЛЬЗАМ Д/ГУБ ВАНИЛЬ 2,8Г. СТИК</t>
  </si>
  <si>
    <t>ДЮФАЛАК 667МГ/МЛ. 1000МЛ. СИРОП ФЛ. +МЕРН.СТАКАН /ЭББОТТ/СОЛВЕЙ/</t>
  </si>
  <si>
    <t>ЭББОТ ХЕЛСКЕА САС ( ABBOT )</t>
  </si>
  <si>
    <t>ДОНОРМИЛ 15МГ. №30 ТАБ. П/П/О</t>
  </si>
  <si>
    <t>Бристол-Майерс Сквибб</t>
  </si>
  <si>
    <t>ЛЮКСПЛАСТ ЛЕЙКОПЛАСТ. БАКТЕР. 19Х72ММ ПЕРФ. ТЕЛЕСН. ПОЛИМЕР. №10 [LUXPLAST]</t>
  </si>
  <si>
    <t>АКВАЛОР ЭКСТРА ФОРТЕ 150МЛ. АЛОЭ+РОМАШКА НАЗАЛ.СПРЕЙ</t>
  </si>
  <si>
    <t>КОМПЛИВИТ КАЛЬЦИЙ Д3 500МГ.+200МЕ АПЕЛЬСИН №30 ТАБ.ЖЕВ.</t>
  </si>
  <si>
    <t>МИКРОЛАКС 5МЛ. №4 Р-Р Д/РЕКТ. ВВЕД. МИКРОКЛИЗМА</t>
  </si>
  <si>
    <t>ФАМАР ОРЛЕАН / FAMAR /</t>
  </si>
  <si>
    <t>ЛИЗИНОПРИЛ 5МГ. №30 ТАБ. /ВЕРТЕКС/</t>
  </si>
  <si>
    <t>СТРЕПСИЛС МЕНТОЛ+ЭВКАЛИПТ №24 ТАБ. Д/РАСС.</t>
  </si>
  <si>
    <t>СПЛАТ ЗУБ.ПАСТА БИОКАЛЬЦИЙ 100МЛ. [SPLAT]</t>
  </si>
  <si>
    <t>ОРГАНИК ФАРМАСЬЮТИКАЛС ООО</t>
  </si>
  <si>
    <t>ТАГИСТА 16МГ. №30 ТАБ. /НИЖФАРМ/</t>
  </si>
  <si>
    <t>АТОРИС 20МГ. №30 ТАБ. П/П/О /KRKA/</t>
  </si>
  <si>
    <t>KRKA</t>
  </si>
  <si>
    <t>ТОРАСЕМИД-СЗ 5МГ. №60 ТАБ. /СЕВЕРНАЯ ЗВЕЗДА/</t>
  </si>
  <si>
    <t>ЭНАЛАПРИЛ ГЕКСАЛ 10МГ. №50 ТАБ. /ГЕКСАЛ АГ/</t>
  </si>
  <si>
    <t>МУКАЛТИН 50МГ. №20 ТАБ. /ФАРМСТАНДАРТ/</t>
  </si>
  <si>
    <t>СПЛАТ ЗУБ.ПАСТА ЛЕЧЕБНЫЕ ТРАВЫ 100МЛ. [SPLAT]</t>
  </si>
  <si>
    <t>СТЕЛЛАНИН 3% 20Г. МАЗЬ Д/НАРУЖ.ПРИМ. ТУБА</t>
  </si>
  <si>
    <t>Фармпрепарат ООО</t>
  </si>
  <si>
    <t>НУРОФЕН ЭКСПРЕСС 200МГ. №16 КАПС. /РЕКИТТ БЕНКИЗЕР/</t>
  </si>
  <si>
    <t>СТАРЫЙ ИСТОЧНИК СЛАВЯНОВСКАЯ ВОДА МИНЕР. ЭЛИТНАЯ 1Л.</t>
  </si>
  <si>
    <t>ТЭСТИ ООО</t>
  </si>
  <si>
    <t>ТЕТРАЦИКЛИН-ЛЕКТ 100МГ. №20 ТАБ. П/О /ТЮМЕНСКИЙ/</t>
  </si>
  <si>
    <t>Тюменский  ХФЗ ОАО</t>
  </si>
  <si>
    <t>ВИНПОЦЕТИН ФОРТЕ КАНОН 10МГ. №30 ТАБ. /КАНОНФАРМА/</t>
  </si>
  <si>
    <t>ПОСТЕРИЗАН №10 СУПП. РЕКТ.</t>
  </si>
  <si>
    <t>Др.Каде фармацевтическая фабрика ГмбХ</t>
  </si>
  <si>
    <t>ИНГАЛИПТ-ВИАЛАЙН ГОТОВОЕ ПОЛОСКАНИЕ 200МЛ. Р-Р ФЛ.</t>
  </si>
  <si>
    <t>ЭСКО-ФАРМ ООО</t>
  </si>
  <si>
    <t>ПОЛИНАДИМ 0,1%+0,025% 10МЛ. ГЛ.КАПЛИ ФЛ. /СИНТЕЗ/</t>
  </si>
  <si>
    <t>БИОКОНТУР РЫБИЙ ЖИР 330МГ. №100 КАПС. (РЫБНЫЙ)</t>
  </si>
  <si>
    <t>Полярис ОАО</t>
  </si>
  <si>
    <t>БОРНАЯ К-ТА 10Г. ДЕЗ.СР-ВО ПОР. (НДС 20%)</t>
  </si>
  <si>
    <t>САМАРСКАЯ ФАРМ. ФАБРИКА</t>
  </si>
  <si>
    <t>ДЕРМОВЕЙТ 0,05% 25Г. КРЕМ Д/НАРУЖ.ПРИМ. ТУБА</t>
  </si>
  <si>
    <t>ГлаксоСмитКляйн Фармасьютикалз С.А.</t>
  </si>
  <si>
    <t>РЕТИНОЛА АЦЕТАТ 33000МЕ №30 КАПС. (ВИТАМИН А) /МЕЛИГЕН/</t>
  </si>
  <si>
    <t>МЕЛИГЕН</t>
  </si>
  <si>
    <t>МЕТИЛУРАЦИЛ 10% 25Г. МАЗЬ Д/МЕСТ. И НАРУЖ.ПРИМ. ТУБА /НИЖФАРМ/</t>
  </si>
  <si>
    <t>ХЛОРГЕКСИДИН 0,05% 100МЛ. №1 Р-Р Д/МЕСТ. И НАРУЖ.ПРИМ. ФЛ. ПЭТ. /ТУЛЬСКАЯ ФФ/</t>
  </si>
  <si>
    <t>ПЕРЕКИСЬ ВОДОРОДА 3% 100МЛ. №1 Р-Р ДЕЗ.СР-ВО ФЛ. (НДС 20%)</t>
  </si>
  <si>
    <t>ПЕРЕКИСЬ ВОДОРОДА 3% 200МЛ. Р-Р ФЛ. ПЛАСТ. /ЛЕКАРЬ/</t>
  </si>
  <si>
    <t>ДОППЕЛЬГЕРЦ АКТИВ МАГНИЙ+ВИТ. ГРУППЫ В №30 ТАБ.</t>
  </si>
  <si>
    <t>QUEISSER PHARMA / КВАЙССЕР</t>
  </si>
  <si>
    <t>ЦИНК+ ВИТ.С 270МГ. №50 ТАБ. /ЭВАЛАР/</t>
  </si>
  <si>
    <t>АМОКСИКЛАВ 250МГ.+62,5МГ/5МЛ. 25Г. 100МЛ. ПОР. Д/СУСП. Д/ПРИЕМА ВНУТРЬ ФЛ. +ПИПЕТ.ДОЗИР. /ЛЕК/</t>
  </si>
  <si>
    <t>LEK D.D. (ЛЕК )</t>
  </si>
  <si>
    <t>ГРАММИДИН ДЕТСК. 1,5МГ+1МГ. №18 ТАБ. 4+</t>
  </si>
  <si>
    <t>ПРОТАРГОЛ-ЛОР 200МГ. №1 ТАБ. Д/Р-РА Д/МЕСТ.ПРИМ. ФЛ.</t>
  </si>
  <si>
    <t>НОРМОБАКТ-L 3Г. №10 ПОР. Д/-Р-РА Д/ПРИЕМА ВНУТРЬ САШЕ</t>
  </si>
  <si>
    <t>MASTER PHARM POLSKA SP.ZO.O ( МАСТЕР ФАРМ )</t>
  </si>
  <si>
    <t>ПУЛЬМИКОРТ 0,25МГ/МЛ. 2МЛ. №20 СУСП. Д/ИНГ. КОНТ. /АСТРА ЗЕНЕКА/</t>
  </si>
  <si>
    <t>МАГНЕ В6 ФОРТЕ №40 ТАБ. П/П/О</t>
  </si>
  <si>
    <t>АМИКСИН 125МГ. №6 ТАБ. П/П/О /ОТИСИФАРМ/ФАРМСТАНДАРТ/</t>
  </si>
  <si>
    <t>ГРАММИДИН НЕО 3МГ+1МГ. №18 ТАБ. Д/РАСС.</t>
  </si>
  <si>
    <t>ВАЛЕНТА</t>
  </si>
  <si>
    <t>АМОКСИЦИЛЛИН 500МГ. №16 КАПС. /ХЕМОФАРМ/</t>
  </si>
  <si>
    <t>ГЕКСОРАЛ ТАБС КЛАССИК №16 ЛИМОН ТАБ. Д/РАСС.</t>
  </si>
  <si>
    <t>Юник Фармасьютикал Лабораториз/Дж Б Кемикалс Фарма</t>
  </si>
  <si>
    <t>ЗУЛА ЛЕДЕНЦЫ ЭВКАЛИПТ +ВИТ.С 60Г. Б/САХ. ПАК. [SULA]</t>
  </si>
  <si>
    <t>ПЕРФЕТТИ ВАН МЕЛЛЕ</t>
  </si>
  <si>
    <t>ПРЕДНИЗОЛОН 0,5% 15Г. МАЗЬ Д/НАРУЖ.ПРИМ. ТУБА /БИОСИНТЕЗ/</t>
  </si>
  <si>
    <t>БОБС ЛЕДЕНЦЫ ОТ КАШЛЯ МЯТА+ЭВКАЛИПТ 35Г.(№10)</t>
  </si>
  <si>
    <t>РИНОРУС 0,1% 10МЛ. НАЗАЛ.КАПЛИ ФЛ./КАП. И/У /СИНТЕЗ/</t>
  </si>
  <si>
    <t>БИСАКОДИЛ-НИЖФАРМ 10МГ. №10 СУПП. РЕКТ. /НИЖФАРМ/</t>
  </si>
  <si>
    <t>СТРЕЗАМ 50МГ. №60 КАПС.</t>
  </si>
  <si>
    <t>BIOCODEX Laboratoires ( БИОКОДЕКС )</t>
  </si>
  <si>
    <t>АЛЬФАГАН Р 0,15% 5МЛ. ГЛ.КАПЛИ ФЛ./КАП.</t>
  </si>
  <si>
    <t>АЛЛЕРГАН ФАРМАСЬЮТИКЭЛЗ АЙРЛЭНД</t>
  </si>
  <si>
    <t>ЦИПРОЛЕТ 3МГ/МЛ. 5МЛ. №1 ГЛ.КАПЛИ ФЛ./КАП. /Д-Р РЕДДИ/</t>
  </si>
  <si>
    <t>ЭРИТРОМИЦИНОВАЯ 10000ЕД/Г. 10Г. ГЛ. МАЗЬ ТУБА /ТАТХИМФАРМ/</t>
  </si>
  <si>
    <t>ОКВИС ПРОТЕКТОР ЭПИТЕЛИЯ РОГОВОЦЫ 0,3% 5МЛ. ФЛ./КАП.</t>
  </si>
  <si>
    <t>БИОФАРМ ООО</t>
  </si>
  <si>
    <t>ВАЛЕРИАНЫ НАСТОЙКА 25МЛ. ФЛ. /ГИППОКРАТ/</t>
  </si>
  <si>
    <t>ТЕРАФЛЮ ЭКСТРА ЛИМОН ОТ ГРИППА И ПРОСТУДЫ 15Г. №10 ПОР. Д/Р-РА Д/ПРИЕМА ВНУТРЬ ПАК.</t>
  </si>
  <si>
    <t>ГСК ХЕЛКЕР</t>
  </si>
  <si>
    <t>РЕННИ №24 ТАБ.ЖЕВ. МЯТА Б/САХ.</t>
  </si>
  <si>
    <t>BAYER SANTE FAMILIALE</t>
  </si>
  <si>
    <t>ХОЛИСАЛ 10Г. ГЕЛЬ СТОМАТ. ТУБА</t>
  </si>
  <si>
    <t>Jelfa SA (ЕЛЬФА)</t>
  </si>
  <si>
    <t>ДОКТОР МОМ №20 ПАСТИЛКИ АПЕЛЬСИН</t>
  </si>
  <si>
    <t>МУКАЛТИН РЕНЕВАЛ 50МГ. №20 ТАБ. /ОБНОВЛЕНИЕ/</t>
  </si>
  <si>
    <t>ХЛОРГЕКСИДИН 0,05% 200МЛ. №1 Р-Р Д/МЕСТ. И НАРУЖ.ПРИМ. ФЛ. ПЭТ. /ЛЕКАРЬ/</t>
  </si>
  <si>
    <t>БАХИЛЫ №10 (5ПАР)</t>
  </si>
  <si>
    <t>МЕДСЕРВИС ПЛЮС</t>
  </si>
  <si>
    <t>ФУРАДОНИН 100МГ. №20 ТАБ. /ОЛАЙНФАРМ/</t>
  </si>
  <si>
    <t>Олайнфарм АО</t>
  </si>
  <si>
    <t>САЛФЕТКИ ДВУХСЛ. СТЕР. 45Х29СМ №5</t>
  </si>
  <si>
    <t>МЕТРОГИЛ ДЕНТА 20Г. №1 ГЕЛЬ СТОМАТ. ТУБА</t>
  </si>
  <si>
    <t>МИРРОЛЛА РЕПЕЙНОЕ МАСЛО 100МЛ. ВИТ.А+ВИТ.Е [MIRROLLA]</t>
  </si>
  <si>
    <t>КСАЛАТАН 0,005% 2,5МЛ. №1 ГЛ.КАПЛИ ФЛ./КАП.</t>
  </si>
  <si>
    <t>БИСАКОДИЛ-ХЕМОФАРМ 5МГ. №30 ТАБ.КШ/РАСТВ. П/О /ХЕМОФАРМ/</t>
  </si>
  <si>
    <t>БИФИДУМБАКТЕРИН 5ДОЗ №10 ЛИОФ. Д/СУСП. Д/ПРИЕМА ВНУТРЬ И МЕСТ.ПРИМ. ФЛ. /ЭКОПОЛИС/</t>
  </si>
  <si>
    <t>ЭКОПОЛИС ЗАО</t>
  </si>
  <si>
    <t>ОМНИТУС 50МГ. №10 ТАБ. МОДИФ.ВЫСВ. П/П/О</t>
  </si>
  <si>
    <t>ТРИМЕДАТ ФОРТЕ 300МГ. №60 ТАБ.ПРОЛОНГ. П/П/О</t>
  </si>
  <si>
    <t>ЛЕККЕР-БЗ БРИЛЛИАНТОВЫЙ ЗЕЛЕНЫЙ 1% 5МЛ. СПИРТ. Р-Р ФЛОМАСТЕР</t>
  </si>
  <si>
    <t>ЛЕККЕР ООО</t>
  </si>
  <si>
    <t>ДИОКСИДИН 5МГ/МЛ. 10МЛ. №10 Р-Р Д/ИНФ. И НАРУЖ.ПРИМ. АМП. /ВАЛЕНТА/НОВОСИБХИМФАРМ/ФЕРМЕНТ/ГРОТЕКС/</t>
  </si>
  <si>
    <t>НАРЗАН ВОДА МИНЕР. 1Л. ГАЗ. ПЭТ.</t>
  </si>
  <si>
    <t>НАРЗАН</t>
  </si>
  <si>
    <t>ДОППЕЛЬГЕРЦ АКТИВ ГЛИЦИН+ВИТ.В №30 КАПС.</t>
  </si>
  <si>
    <t>КВАЙССЕР ФАРМА Гмбх и Ко / QUEISSER</t>
  </si>
  <si>
    <t>МИКРОЛАКС 5МЛ. №12 Р-Р Д/РЕКТ. ВВЕД. МИКРОКЛИЗМА</t>
  </si>
  <si>
    <t>ЗУЛА ЛЕДЕНЦЫ МУЛЬТИВИТАМИН +ВИТ.С 60Г. Б/САХ. ПАК. [SULA]</t>
  </si>
  <si>
    <t>АЦИКЛОВИР-АКРИХИН 200МГ. №20 ТАБ. /АКРИХИН/</t>
  </si>
  <si>
    <t>ИРУНИН 100МГ. №14 КАПС. /ВЕРОФАРМ/</t>
  </si>
  <si>
    <t>ЛОГЕСТ 75МКГ.+20МКГ. №21 ТАБ. П/О</t>
  </si>
  <si>
    <t>BAYER AG</t>
  </si>
  <si>
    <t>КОНТЕКС ПРЕЗЕРВАТИВ LIGHTS ОСОБО ТОНКИЕ №12 [CONTEX]</t>
  </si>
  <si>
    <t>SSL HELALTHCARE MANUFACTURING SA</t>
  </si>
  <si>
    <t>ГЛЮКОЗА 5% 200МЛ. №28 Р-Р Д/ИНФ. БУТ. /МОСФАРМ/</t>
  </si>
  <si>
    <t>МОСФАРМ ОАО</t>
  </si>
  <si>
    <t>СФМ СИСТЕМА Д/ПЕРЕЛИВ. ИНФУЗ. Р-РОВ №1 ПЛАСТ.ИГЛА [SFM]</t>
  </si>
  <si>
    <t>SFM HOSPITAL PRODUCTS GMBH</t>
  </si>
  <si>
    <t>КАЛЬЦИЯ ГЛЮКОНАТ 10% 5МЛ. №10 Р-Р Д/В/В,В/М ВВЕД. АМП. /АТОЛЛ/ОЗОН/</t>
  </si>
  <si>
    <t>ВАЛИДОЛ 60МГ. №10 ТАБ. ПОДЪЯЗЫЧ. /ТАТХИМФАРМПРЕПАРАТЫ/</t>
  </si>
  <si>
    <t>ВИТАМИР ЯНТАРНАЯ КИСЛОТА ФОРТЕ 620МГ. №30 ТАБ. /КВАДРАТ-С/</t>
  </si>
  <si>
    <t>КВАДРАТ-С ООО</t>
  </si>
  <si>
    <t>ФУКОРЦИН 25МЛ. Р-Р Д/НАРУЖ.ПРИМ. ФЛ. /ТУЛЬСКАЯ ФФ/</t>
  </si>
  <si>
    <t>БРИЛЛИАНТОВЫЙ ЗЕЛЕН 1% 25МЛ. №1 СПИРТ. Р-Р Д/НАРУЖ.ПРИМ. ФЛ. /САМАРАМЕДПРОМ/ЖЕНЕЛ/</t>
  </si>
  <si>
    <t>ЛЕЙКОПЛАСТЫРЬ 1Х500 РУЛОН КОНТ.УПАКОВКА/ПАКЕТ /ВЕРОФАРМ/</t>
  </si>
  <si>
    <t>РИНОСТОП 0,1% 10МЛ. НАЗАЛ.КАПЛИ ФЛ./КАП. /ОТИСИФАРМ/ЛЕККО/ФАРМСТАНДАРТ ЛЕКСРЕДСТВА/</t>
  </si>
  <si>
    <t>АМОКСИЦИЛЛИН 250МГ/5МЛ. 40Г. №1 ГРАН. Д/СУСП. Д/ПРИЕМА ВНУТРЬ ФЛ. /ХЕМОФАРМ/</t>
  </si>
  <si>
    <t>АЛЬФА НОРМИКС 200МГ. №28 ТАБ. П/П/О</t>
  </si>
  <si>
    <t>Альфа-Вассерман С.п.А. ALFA</t>
  </si>
  <si>
    <t>ДИКЛОФЕНАК-АКОС 5% 100Г. ГЕЛЬ Д/НАРУЖ.ПРИМ. ТУБА /СИНТЕЗ/</t>
  </si>
  <si>
    <t>СИЛДЕНАФИЛ-СЗ 25МГ. №20 ТАБ. П/П/О /СЕВЕРНАЯ ЗВЕЗДА/</t>
  </si>
  <si>
    <t>ЦЕЛЕБРЕКС 200МГ. №30 КАПС.</t>
  </si>
  <si>
    <t>ЛИПРИМАР 10МГ. №30 ТАБ. П/П/О /ГЕДЕКЕ/ПФАЙЗЕР/</t>
  </si>
  <si>
    <t>ДОНАТ МАГНИЙ ВОДА ГАЗ. 1Л. ПЭТ [DONAT]</t>
  </si>
  <si>
    <t>ATLANTIC DROGA KOLINSKA D.O.O.</t>
  </si>
  <si>
    <t>ВОЛЬТАРЕН ЭМУЛЬГЕЛЬ 2% 100Г. ГЕЛЬ Д/НАРУЖ.ПРИМ. ТУБА</t>
  </si>
  <si>
    <t>МОВАЛИС 7,5МГ. №20 ТАБ.</t>
  </si>
  <si>
    <t>Берингер Ингельхайм Эллас А.Е</t>
  </si>
  <si>
    <t>АМОКСИЦИЛЛИН САНДОЗ 1000МГ. №12 ТАБ. П/О БЛИСТЕР /САНДОЗ/</t>
  </si>
  <si>
    <t>Сандоз Гмбх /SANDOZ/</t>
  </si>
  <si>
    <t>SANDOZ</t>
  </si>
  <si>
    <t>КЛАРИТРОМИЦИН-ВЕРТЕ 500МГ. №14 ТАБ. П/П/О /ВЕРТЕКС/</t>
  </si>
  <si>
    <t>МАКСИЛАК СИНБИОТИК №10 КАПС.</t>
  </si>
  <si>
    <t>DANISCO France SAS</t>
  </si>
  <si>
    <t>РИНЗАСИП С ВИТ.С ЛИМОН 5Г. №10 ПОР. Д/Р-РА Д/ПРИЕМА ВНУТРЬ ПАК.</t>
  </si>
  <si>
    <t>СУПРАКС СОЛЮТАБ 400МГ. №7 ТАБ. ДИСПЕРГ.</t>
  </si>
  <si>
    <t>Menarini A.Industria (МЕНАРИНИ )</t>
  </si>
  <si>
    <t>ДЕПАНТОЛ 100МГ.+16МГ. №10 СУПП. ВАГ. /НИЖФАРМ/</t>
  </si>
  <si>
    <t>БИСЕПТОЛ 480МГ. №28 ТАБ. /АДАМЕД ФАРМА/</t>
  </si>
  <si>
    <t>АДАМЕД ФАРМА / ADAMED</t>
  </si>
  <si>
    <t>ПЛАТИФИЛЛИНА Г/Т 2МГ/МЛ. 1МЛ. №10 Р-Р Д/П/К АМП. /ДАЛЬХИМФАРМ/</t>
  </si>
  <si>
    <t>ТРИМЕТАЗИДИН-АКОС МВ 35МГ. №60 ТАБ. МОДИФ.ВЫСВ. /БИОКОМ/</t>
  </si>
  <si>
    <t>Биоком ЗАО</t>
  </si>
  <si>
    <t>АТОРВАСТАТИН-СЗ 20МГ. №30 ТАБ. П/П/О /СЕВЕРНАЯ ЗВЕЗДА/</t>
  </si>
  <si>
    <t>ПЕРИНЕВА 4МГ. №30 ТАБ. /KRKA/</t>
  </si>
  <si>
    <t>ФОСФОГЛИВ ФОРТЕ 65МГ+300МГ. №50 КАПС. /ФАРМСТАНДАРТ/</t>
  </si>
  <si>
    <t>БИОВИТА ВОДА ПИТЬЕВАЯ СТРУКТУР. 0,6Л. Н/ГАЗ. [BIOVITA]</t>
  </si>
  <si>
    <t>СТЭЛМАС-Д ООО</t>
  </si>
  <si>
    <t>ВОДЫ ЗДОРОВЬЯ</t>
  </si>
  <si>
    <t>ДЮСПАТАЛИН 200МГ. №30 КАПС. РЕТАРД /ЭББОТТ/</t>
  </si>
  <si>
    <t>АТОРИС 20МГ. №90 ТАБ. П/П/О /KRKA/</t>
  </si>
  <si>
    <t>ЛИДОКАИН 20МГ/МЛ. 2МЛ. №10 Р-Р Д/ИН. АМП. /ДАЛЬХИМФАРМ/</t>
  </si>
  <si>
    <t>ВОДА 2МЛ. №10 Д/ИН. АМП. /НОВОСИБХИМФАРМ/</t>
  </si>
  <si>
    <t>СФМ ШПРИЦ 5МЛ. 3-Х КОМП. 0,7Х40ММ 22G №100 [SFM]</t>
  </si>
  <si>
    <t>ЦЕФАЗОЛИНА НАТРИЕВАЯ СОЛЬ 1Г. №1 ПОР. Д/Р-РА В/В,В/М ФЛ. /БИОСИНТЕЗ/</t>
  </si>
  <si>
    <t>МИДОКАЛМ 50МГ. №30 ТАБ. П/П/О /ГЕДЕОН РИХТЕР/</t>
  </si>
  <si>
    <t>Гедеон Рихтер А.О</t>
  </si>
  <si>
    <t>АЭРТАЛ 100МГ. №60 ТАБ. П/П/О</t>
  </si>
  <si>
    <t>МИЛЬГАММА КОМПОЗИТУМ 100МГ+100МГ. №60 ТАБ. П/О</t>
  </si>
  <si>
    <t>МАЙЕРМАНН-АРКНАИМИТТЕЛ</t>
  </si>
  <si>
    <t>ЦЕТРИН 10МГ. №20 ТАБ. П/П/О /Д-Р РЕДДИ/</t>
  </si>
  <si>
    <t>АЦИКЛОВИР-БЕЛУПО 5% 10Г. №1 КРЕМ Д/НАРУЖ.ПРИМ. ТУБА /БЕЛУПО/</t>
  </si>
  <si>
    <t>БЕЛУПО-ХОРВАТИЯ (BELUPO Ltd.)</t>
  </si>
  <si>
    <t>КОРВАЛОЛ №20 ТАБ. /ЮЖФАРМ/</t>
  </si>
  <si>
    <t>ЮЖФАРМ ООО</t>
  </si>
  <si>
    <t>МИЛДРОНАТ 500МГ. №30 КАПС. /ГРИНДЕКС/</t>
  </si>
  <si>
    <t>ГРИНДЕКС / GRINDEX /</t>
  </si>
  <si>
    <t>МОТИЛЕГАЗ ФОРТЕ 120МГ. №20 КАПС.</t>
  </si>
  <si>
    <t>КАТАЛЕНТ ( CATALENT )</t>
  </si>
  <si>
    <t>АМЛОДИПИН-ТЕВА 5МГ. №30 ТАБ. /ТЕВА/</t>
  </si>
  <si>
    <t>ТЕВА ФАРМАЦЕВТИЧЕСКИЕ ПРЕДПРИЯТИЯ ЛТД</t>
  </si>
  <si>
    <t>УКРОПА ПАХУЧЕГО ПЛОДЫ 50Г. /КРАСНОГОРСК/</t>
  </si>
  <si>
    <t>БЕТАДИН 10% 120МЛ. №1 Р-Р Д/МЕСТ. И НАРУЖ.ПРИМ. ФЛ. /ЭГИС/</t>
  </si>
  <si>
    <t>EGIS</t>
  </si>
  <si>
    <t>ДЕ-НОЛ 120МГ. №32 ТАБ. П/П/О /АСТЕЛЛАС/</t>
  </si>
  <si>
    <t>ЛЕЙКОПЛАСТЫРЬ 4Х500 ТКАН.ОСНОВА КАТУШКА КАРТОН /ВЕРОФАРМ/</t>
  </si>
  <si>
    <t>АУРА ВАТНЫЕ ДИСКИ №80 [AURA]</t>
  </si>
  <si>
    <t>МЕДИКОМЕД ГИАЛУРОНОВАЯ К-ТА ГЕЛЬ КОСМЕТИЧ. 15МЛ. ФЛ.</t>
  </si>
  <si>
    <t>МЕДИКОМЕД НПФ</t>
  </si>
  <si>
    <t>АМИТРИПТИЛИН 25МГ. №50 ТАБ. /ОЗОН/</t>
  </si>
  <si>
    <t>ОКУПРЕС-Е 0,5% 5МЛ. ГЛ.КАПЛИ ФЛ./КАП. /КАДИЛА/</t>
  </si>
  <si>
    <t>Кадила Фармасьютикалз Лтд  ( CADILA )</t>
  </si>
  <si>
    <t>ФАЙН ФУДС&amp;ФАРМАСЬЮТИКАЛЗ Н.Т.М.С.П.А.</t>
  </si>
  <si>
    <t>ЦЕФТРИАКСОН 1Г. №1 ПОР. Д/Р-РА Д/В/В,В/М ФЛ. /БИОСИНТЕЗ/</t>
  </si>
  <si>
    <t>ВОДА 2МЛ. №10 Д/ИН. АМП. /ФАРМАСИНТЕЗ/</t>
  </si>
  <si>
    <t>ФАРМАСИЕРРА МАНУФЭКЧУРИНГ</t>
  </si>
  <si>
    <t>ЛИВ-52 №100 ТАБ.</t>
  </si>
  <si>
    <t>ДИКЛОФЕНАК 50МГ. №20 ТАБ.КШ/РАСТВ. П/О /ХЕМОФАРМ/</t>
  </si>
  <si>
    <t>ЭМОКСИ-ОПТИК 10МГ/МЛ. 5МЛ. №1 ГЛ.КАПЛИ /СИНТЕЗ/</t>
  </si>
  <si>
    <t>СИНТЕЗ ОАО</t>
  </si>
  <si>
    <t>ЧУЛОК КРУГЛОВЯЗ. ДО БЕДРА 2 КОМПРЕСС. ОТКРЫТ. МЫСОК Р.1 (48-54) КРЕМ /АРТ.ЧККВ-ЦК/</t>
  </si>
  <si>
    <t>ЦЕНТР КОМПРЕСС ООО</t>
  </si>
  <si>
    <t>ЛОЗАРТАН-КАНОН 100МГ. №60 ТАБ. П/О /КАНОНФАРМА/</t>
  </si>
  <si>
    <t>РОССИЯ</t>
  </si>
  <si>
    <t>СУПРАСТИН 25МГ. №20 ТАБ. /ЭГИС/</t>
  </si>
  <si>
    <t>Эгис АО фармацевтический завод /EGIS</t>
  </si>
  <si>
    <t>ТЕЛМИСТА 80МГ. №84 ТАБ.</t>
  </si>
  <si>
    <t>БАЛЬЗАМ КАРАВАЕВА ВИТАОН 30МЛ. Д/ПОЛОСТИ РТА ФЛ.</t>
  </si>
  <si>
    <t>ЛИТОМЕД ООО</t>
  </si>
  <si>
    <t>СТОМАТОФИТ 100МЛ. ЭКСТРАКТ Д/МЕСТ.ПРИМ. ФЛ.</t>
  </si>
  <si>
    <t>ФИТОФАРМ КЛЕНКА АО</t>
  </si>
  <si>
    <t>ДЕТРАЛЕКС 1000МГ. №60 ТАБ. П/П/О</t>
  </si>
  <si>
    <t>РИГЕВИДОН 0,15МГ+0,03МГ. №63 (21Х3) ТАБ. П/О /ГЕДЕОН РИХТЕР/</t>
  </si>
  <si>
    <t>ВИФЕРОН 40000МЕ 12Г. МАЗЬ Д/МЕСТ. И НАРУЖ.ПРИМ. ТУБА /ФЕРОН/</t>
  </si>
  <si>
    <t>ФЕРОН</t>
  </si>
  <si>
    <t>АДЖИСЕПТ МЕД+ЛИМОН №24 ТАБ. Д/РАСС.</t>
  </si>
  <si>
    <t>СИЛЬВЕР КАПИТАН БАТОНЧИК КОКОС БЕЛ.ГЛАЗ. 50Г.</t>
  </si>
  <si>
    <t>МИЛЬГАММА 2МЛ. №10 Р-Р Д/В/М АМП.</t>
  </si>
  <si>
    <t>СОЛЮФАРМ (SOLUPHARM)</t>
  </si>
  <si>
    <t>АРТРАДОЛ 100МГ. №20 ЛИОФ. Д/Р-РА Д/В/М АМП.</t>
  </si>
  <si>
    <t>АРМАВИРСКАЯ БИОФАБРИКА</t>
  </si>
  <si>
    <t>КИЕВГУМА БИНТ МАРТЕНСА 3,5М.</t>
  </si>
  <si>
    <t>КИЕВГУМА</t>
  </si>
  <si>
    <t>ДЕКАРИС 150МГ. №1 ТАБ. /ГЕДЕОН РИХТЕР/</t>
  </si>
  <si>
    <t>Гедеон Рихтер Румыния А.О.</t>
  </si>
  <si>
    <t>ДЕКАРИС 50МГ. №2 ТАБ. /ГЕДЕОН РИХТЕР/</t>
  </si>
  <si>
    <t>БОБС ЛЕДЕНЦЫ ОТ КАШЛЯ МЕД+ЛИМОН 35Г.(№10)</t>
  </si>
  <si>
    <t>КАЛЬЦЕМИН АДВАНС №60 ТАБ. П/П/О</t>
  </si>
  <si>
    <t>КОНТРАКТ ФАРМАКАЛ КОРПОРЕЙШН / CONTRACT</t>
  </si>
  <si>
    <t>ИНДАПАМИД МВ ШТАДА 1,5МГ. №30 ТАБ.ПРОЛОНГ. П/О /НИЖФАРМ/</t>
  </si>
  <si>
    <t>Мерк КГаА</t>
  </si>
  <si>
    <t>КАПОТЕН 25МГ. №28 ТАБ. /АКРИХИН/</t>
  </si>
  <si>
    <t>ГЕПАРИНОВАЯ 25Г. МАЗЬ Д/НАРУЖ.ПРИМ. ТУБА /ЗЕЛЕНАЯ ДУБРАВА/</t>
  </si>
  <si>
    <t>ПРЕСТАНС 5МГ.+5МГ. №30 ТАБ.</t>
  </si>
  <si>
    <t>ПРЕСТАНС 10МГ.+10МГ. №30 ТАБ.</t>
  </si>
  <si>
    <t>ВАЛЬСАКОР Н 160МГ.+12,5МГ. №90 ТАБ. П/П/О /KRKA/</t>
  </si>
  <si>
    <t>АТОРВАСТАТИН-СЗ 10МГ. №60 ТАБ. П/П/О /СЕВЕРНАЯ ЗВЕЗДА/</t>
  </si>
  <si>
    <t>ВЕССЕЛ ДУЭ Ф 250ЕД №60 КАПС.</t>
  </si>
  <si>
    <t>CATALENT PHARMA SOLUTIONS ( КАТАЛЕНТ )</t>
  </si>
  <si>
    <t>СПАЗГАН №100 ТАБ.</t>
  </si>
  <si>
    <t>WOCKHARD LTD</t>
  </si>
  <si>
    <t>ГОРЧИЧНИКИ-ПАКЕТ №20</t>
  </si>
  <si>
    <t>ВЕКТОР ГНЦ ВБ</t>
  </si>
  <si>
    <t>БЛЕФАРОЛОСЬОН ЛОСЬОН КОСМЕТ. Д/ВЕК 15МЛ. ФЛ.</t>
  </si>
  <si>
    <t>ГЕЛЬТЕК-МЕДИКА ООО</t>
  </si>
  <si>
    <t>БУСКОПАН 10МГ. №20 ТАБ. П/О</t>
  </si>
  <si>
    <t>DELPHARM REIMS ( ДЕЛЬФАРМ )</t>
  </si>
  <si>
    <t>СМЕКТА ВАНИЛЬ 3Г. №20 ПОР. Д/СУСП. Д/ПРИЕМА ВНУТРЬ ПАК. /ИПСЕН/</t>
  </si>
  <si>
    <t>БОФУР ИПСЕН ИНДАСТРИ</t>
  </si>
  <si>
    <t>БРОМГЕКСИН 8МГ. №50 ТАБ. /МЕДИСОРБ/</t>
  </si>
  <si>
    <t>ПАНТОКРИН 50МЛ. ЭКСТРАКТ Д/ПРИЕМА ВНУТРЬ ФЛ. /ФАРМСТАНДАРТ/</t>
  </si>
  <si>
    <t>ВИФИТЕХ ЗАО</t>
  </si>
  <si>
    <t>СФМ ШПРИЦ 2МЛ. 3-Х КОМП. 0,63Х32ММ 23G №100 [SFM]</t>
  </si>
  <si>
    <t>БАРАЛГИН М 500МГ. №100 ТАБ.</t>
  </si>
  <si>
    <t>АТОПИК КРЕМ-СТИК УСПОКАИВАЮЩИЙ Д/ДЕТ. 0+ 4,9МЛ. ПЕНАЛ [ATOPIC]</t>
  </si>
  <si>
    <t>МОКСОНИДИН-СЗ 0,2МГ. №60 ТАБ. П/П/О /СЕВЕРНАЯ ЗВЕЗДА/</t>
  </si>
  <si>
    <t>ГЛИЦИН 100МГ. №50 ТАБ. ПОДЪЯЗЫЧ. /БИОТИКИ/</t>
  </si>
  <si>
    <t>КРЕОН 25000 №20 КАПС. КШ/РАСТВ. ФЛ. /ЭББОТТ/</t>
  </si>
  <si>
    <t>ХАРТМАНН КОСМОПОР Е ПОВЯЗКА 10СМХ6СМ №25 П/ОПЕР. САМОКЛ. СТЕР. /АРТ.901009/ [HARTMANN COSMOPOR]</t>
  </si>
  <si>
    <t>ПАУЛЬ ХАРТМАНН</t>
  </si>
  <si>
    <t>ФЛОРЕСАН РЕПЕЙНИК МАСКА-КОМПРЕСС ГОРЯЧАЯ 450Г. Ф-86 [FLORESAN]</t>
  </si>
  <si>
    <t>ФЛОРЕСАН ООО</t>
  </si>
  <si>
    <t>МОЕ СОЛНЫШКО ГЕЛЬ-КРЕМ Д/КУПАНИЯ АБРИКОСОВЫЙ ОСТРОВ 400МЛ.</t>
  </si>
  <si>
    <t>МОЕ СОЛНЫШКО ПЕНКА Д/КУПАНИЯ БАЮ-БАЮШКИ ЛАВАНДА+РОЗ.МАСЛО 200МЛ.</t>
  </si>
  <si>
    <t>МОЕ СОЛНЫШКО МЫЛО ЖИДКОЕ МАСЛО АВОКАДО 300МЛ. ДОЗАТОР</t>
  </si>
  <si>
    <t>РОЗУВАСТАТИН-СЗ 20МГ. №30 ТАБ. П/П/О</t>
  </si>
  <si>
    <t>ДИАЗОЛИН 100МГ. №10 ДРАЖЕ /ФАРМСТАНДАРТ-УФАВИТА/</t>
  </si>
  <si>
    <t>ТРОКСЕРУТИН 2% 40Г. ГЕЛЬ Д/НАРУЖ.ПРИМ. ТУБА /ЗЕЛЕНАЯ ДУБРАВА/</t>
  </si>
  <si>
    <t>МЕНОВАЗИН 40МЛ. №1 СПИРТ. Р-Р Д/НАРУЖ.ПРИМ. ФЛ. /ТУЛЬСКАЯ ФФ/</t>
  </si>
  <si>
    <t>ТРОКСЕРУТИН ВРАМЕД 300МГ. №50 КАПС. /СОФАРМА/</t>
  </si>
  <si>
    <t>ЭМОКСИПИН 10МГ/МЛ. 5МЛ. №1 ГЛ.КАПЛИ ФЛ. КРЫШ/КАП.</t>
  </si>
  <si>
    <t>ФЕРМЕНТ  ООО</t>
  </si>
  <si>
    <t>МИДРИМАКС 5МЛ. №1 ГЛ.КАПЛИ ФЛ./КАП.</t>
  </si>
  <si>
    <t>ГЕВИСКОН МЯТА №24 ТАБ.ЖЕВ.</t>
  </si>
  <si>
    <t>РЕККИТ БЕНКИЗЕР ХЕЛС</t>
  </si>
  <si>
    <t>ХАРТМАНН КОСМОПОР Е ПОВЯЗКА 20СМХ10СМ №25 П/ОПЕР. САМОКЛ. СТЕР. /АРТ.9010220/900876/ [HARTMANN COSMO</t>
  </si>
  <si>
    <t>ЭГИЛОК 50МГ. №60 ТАБ. /ЭГИС/</t>
  </si>
  <si>
    <t>ПУСТЫРНИКА ЭКСТРАКТ 14МГ. №50 ТАБ. /ФАРМСТАНДАРТ/</t>
  </si>
  <si>
    <t>МЕКСИДОЛ 125МГ. №50 ТАБ. П/П/О /ФАРМАСОФТ/ЗИО ЗДОРОВЬЕ/</t>
  </si>
  <si>
    <t>ФАРМАСОФТ</t>
  </si>
  <si>
    <t>НЕО-АНГИН №24 ТАБ. Д/РАСС. САХ.</t>
  </si>
  <si>
    <t>KLOSTERFRAU (КЛОСТЕРФРАУ )</t>
  </si>
  <si>
    <t>Д.ТАЙСС АНГИ СЕПТ МЕД+ЛИПА №24 ТАБ. Д/РАСС.</t>
  </si>
  <si>
    <t>АСКОРБИНОВАЯ К-ТА 25МГ. ВИШНЯ №10 ТАБ. КРУТКА САХ. /АСКОПРОМ/</t>
  </si>
  <si>
    <t>АНТИПОЛИЦАЙ №4 КАРАМЕЛЬ ЛЕДЕНЦОВАЯ Б/САХ.</t>
  </si>
  <si>
    <t>БИОВИД</t>
  </si>
  <si>
    <t>АТОПИК ГЕЛЬ Д/КУПАНИЯ С ГОЛОВЫ ДО ПЯТОК Д/ДЕТ. 0+ 200МЛ. ФЛ. [ATOPIC]</t>
  </si>
  <si>
    <t>АТОПИК КРЕМ Д/ЕЖЕДН. УХОДА Д/ДЕТ. 0+ 100МЛ. ФЛ. [ATOPIC]</t>
  </si>
  <si>
    <t>УРСОФАЛЬК 250МГ/5МЛ. 250МЛ. СУСП. Д/ПРИЕМА ВНУТРЬ ФЛ. /ФАЛЬК ФАРМА/ВИФОР/</t>
  </si>
  <si>
    <t>Д-р Фальк Фарма ГмбХ / Dr.FALK PHARMA</t>
  </si>
  <si>
    <t>КЕСТИН 20МГ. №10 ТАБ. П/О</t>
  </si>
  <si>
    <t>Индастриас Фармасьютикас Алмирал Продесфарма С.Л.</t>
  </si>
  <si>
    <t>КЛАРИТРОМИЦИН 500МГ. №14 ТАБ. П/П/О /РЕПЛЕКФАРМ/БЕРЕЗОВСКИЙ/</t>
  </si>
  <si>
    <t>Реплекфарм/Березовский ( REPLEKPHARM AD )</t>
  </si>
  <si>
    <t>СОРБИФЕР ДУРУЛЕС 320МГ/60МГ. №50 ТАБ. П/О</t>
  </si>
  <si>
    <t>ТРИХОПОЛ 250МГ. №20 ТАБ. /ПОЛЬФАРМА/</t>
  </si>
  <si>
    <t>АЗИТРОМИЦИН 500МГ. №3 КАПС. /ПРОИЗВОДСТВО МЕДИКАМЕНТОВ/ ПроМед/</t>
  </si>
  <si>
    <t>ДЕТРИМАКС 2000 240МГ. №60 ТАБ. П/О</t>
  </si>
  <si>
    <t>ГРОКАМ ГБЛ / GROKAM GBL</t>
  </si>
  <si>
    <t>ГИПОСАРТ 8МГ. №28 ТАБ.</t>
  </si>
  <si>
    <t>НАЗИВИН 0,05% 10МЛ. №1 6+ НАЗАЛ.КАПЛИ ФЛ./КАП.</t>
  </si>
  <si>
    <t>SOFARIMEX</t>
  </si>
  <si>
    <t>ЛИДОКАИН 20МГ/МЛ. 2МЛ. №10 Р-Р Д/ИН. АМП. /СЛАВЯНСКАЯ АПТЕКА/</t>
  </si>
  <si>
    <t>ЦЕФТРИАКСОН 1Г. №1 ПОР. Д/Р-РА Д/В/В,В/М ФЛ. /ПРОМОМЕД/БИОХИМИК/</t>
  </si>
  <si>
    <t>БИОХИМИК</t>
  </si>
  <si>
    <t>БЕТОФТАН 0,5% 5МЛ. ГЛ.КАПЛИ ФЛ./КАП.</t>
  </si>
  <si>
    <t>КАНЕФРОН Н №60 ТАБ. П/О</t>
  </si>
  <si>
    <t>ФУРАМАГ 50МГ. №30 КАПС. /ОЛАЙНФАРМ/</t>
  </si>
  <si>
    <t>СЕМЕЙНЫЙ ЗУБ.ПОРОШОК МОРСК.МИНЕР. 140СМ.КУБ/60Г. БАНКА /АВАНТА/</t>
  </si>
  <si>
    <t>ТЕРБИНАФИН 1% 30Г. КРЕМ Д/НАРУЖ.ПРИМ. ТУБА /ВЕРТЕ/</t>
  </si>
  <si>
    <t>КАФФЕТИН ЛАЙТ №12 ТАБ.</t>
  </si>
  <si>
    <t>ALKALOIDA (АЛКАЛОИД )</t>
  </si>
  <si>
    <t>БИНТЛИ-Т БИНТ ЛИПКИЙ ПРОНИЦАЕМЫЙ 10СМХ2М.</t>
  </si>
  <si>
    <t>АКУЛИЙ ЖИР ГЕЛЬ-БАЛЬЗАМ Д/ТЕЛА ОКОПНИК+САБЕЛЬНИК 125МЛ.</t>
  </si>
  <si>
    <t>КОРОЛЕВФАРМ ООО</t>
  </si>
  <si>
    <t>СИНАФЛАН 0,025% 15Г. МАЗЬ Д/НАРУЖ.ПРИМ. ТУБА /МУРОМСКИЙ ЗАВОД/</t>
  </si>
  <si>
    <t>АКРИДЕРМ 0,05% 30Г. №1 МАЗЬ Д/НАРУЖ.ПРИМ. ТУБА /АКРИХИН/</t>
  </si>
  <si>
    <t>АККУ-ЧЕК ТЕСТ-ПОЛОСКИ ПЕРФОРМА №100 (50Х2) [ACCU-CHEK]</t>
  </si>
  <si>
    <t>РОШ ДИАБЕТС КЕА ГМБХ</t>
  </si>
  <si>
    <t>911-ГЕЛЬ-БАЛЬЗАМ Д/СУСТАВОВ РАЗОГР. ОКОПНИК+МУРАВ.К-ТА 100МЛ.</t>
  </si>
  <si>
    <t>АЕВИТ 200МГ. №20 КАПС. (БАД) /МЕЛИГЕН/</t>
  </si>
  <si>
    <t>ДЕКСАМЕТАЗОН 0,1% 10МЛ. ГЛ.КАПЛИ ФЛ. /РОМФАРМ/</t>
  </si>
  <si>
    <t>КОРЕГА ТАБС БИОФОРМУЛА Д/ЧИСТ. ЗУБ.ПРОТЕЗОВ №30 ТАБ. [COREGA]</t>
  </si>
  <si>
    <t>СТАФФОРД МИЛЛЕР ( STAFFORD )</t>
  </si>
  <si>
    <t>НОЛЬПАЗА 20МГ. №28 ТАБ.КШ/РАСТВ. П/О /KRKA/</t>
  </si>
  <si>
    <t>ЛОРИСТА 12,5МГ. №30 ТАБ. П/П/О /KRKA/</t>
  </si>
  <si>
    <t>ИНДАП 2,5МГ. №30 КАПС. /ПРО.МЕД.ЦС/</t>
  </si>
  <si>
    <t>РИНОРУС 0,1% 20МЛ. НАЗАЛ.СПРЕЙ ФЛ. +НАСАДКА РАСПЫЛИТЕЛЬ /СИНТЕЗ/</t>
  </si>
  <si>
    <t>РЕГИДРОН 18,9Г. №20 ПОР. Д/Р-РА Д/ПРИЕМА ВНУТРЬ ПАК. /ОРИОН/</t>
  </si>
  <si>
    <t>Орион Корпорейшн/Сотекс ФармФирма</t>
  </si>
  <si>
    <t>МИЛДРОНАТ 100МГ/МЛ. 5МЛ. №10 Р-Р Д/В/В,В/М И ПАРАБУЛЬБ. ВВЕД. АМП. /ГРИНДЕКС/</t>
  </si>
  <si>
    <t>САНТОНИКА</t>
  </si>
  <si>
    <t>БОРЖОМИ ВОДА МИНЕР. ГАЗ. 0,5Л. СТЕКЛО</t>
  </si>
  <si>
    <t>ИДС БОРЖОМИ</t>
  </si>
  <si>
    <t>ВАЛОСЕРДИН 25МЛ. КАПЛИ Д/ПРИЕМА ВНУТРЬ ФЛ. /МОСФАРМА/</t>
  </si>
  <si>
    <t>МОСКОВСКАЯ ФАРМ.ФАБРИКА</t>
  </si>
  <si>
    <t>АМЕЛИЯ ВАТА МЕД. ХИРУРГ. Н/СТЕР. 25Г.</t>
  </si>
  <si>
    <t>ГИГРОВАТА ЗАО</t>
  </si>
  <si>
    <t>КАПИЛАР 250МГ. №200 ТАБ.</t>
  </si>
  <si>
    <t>ДИОД МОСКОВСКИЙ З-Д ЭКОПИТАНИЯ</t>
  </si>
  <si>
    <t>СУПРАСТИНЕКС 5МГ. №7 ТАБ. П/П/О</t>
  </si>
  <si>
    <t>РЕЛИФ 5МГ. №10 СУПП. РЕКТ.</t>
  </si>
  <si>
    <t>ИНСТИТУТО ДЕ АНДЖЕЛИ ( ANGELI )</t>
  </si>
  <si>
    <t>НОВИНЕТ 150МКГ+20МКГ. №63 (21X3) ТАБ. П/О /ГЕДЕОН РИХТЕР/</t>
  </si>
  <si>
    <t>GEDEON RICHTER</t>
  </si>
  <si>
    <t>МЕТФОРМИН-ТЕВА 500МГ. №60 ТАБ. П/П/О /ТЕВА/</t>
  </si>
  <si>
    <t>АЛЕРАНА ВИТАМИННО-МИНЕРАЛЬНЫЙ КОМПЛЕКС ДЕНЬ-НОЧЬ №60 ТАБ. [ALERANA]</t>
  </si>
  <si>
    <t>ПРОТЕФИКС ОЧИСТИТЕЛЬ АКТИВН. Д/ЗУБ.ПРОТЕЗ. №66 ТАБ. [PROTEFIX]</t>
  </si>
  <si>
    <t>ПИПЕТКА ГЛ. ТРАВМОБЕЗ. №1 ФУТ.</t>
  </si>
  <si>
    <t>АМТ Трейд ООО</t>
  </si>
  <si>
    <t>РАЗО 20МГ. №30 ТАБ.КШ/РАСТВ. П/О</t>
  </si>
  <si>
    <t>ГЕКСАЛИЗ №30 ТАБ. Д/РАСС.</t>
  </si>
  <si>
    <t>ГИДРОПЕРИТ 1,5Г. №8 ТАБ. Д/Р-РА Д/МЕСТ. И НАРУЖ.ПРИМ. /ТАТХИМФАРМПРЕПАРАТЫ/</t>
  </si>
  <si>
    <t>АЙДИ ПРОТЕКТ ПЕЛЕНКИ ОДНОР. ВПИТ. 60Х90 №10 [ID]</t>
  </si>
  <si>
    <t>АЛЛЕРВЭЙ 5МГ. №10 ТАБ. П/О</t>
  </si>
  <si>
    <t>ФЕНИСТИЛ 0,1% 30Г. ГЕЛЬ Д/НАРУЖ.ПРИМ. ТУБА</t>
  </si>
  <si>
    <t>ЛАКТОФИЛЬТРУМ 500МГ. №30 ТАБ.</t>
  </si>
  <si>
    <t>АВВА РУС ОАО</t>
  </si>
  <si>
    <t>ПРЕДИЗИН 35МГ. №60 ТАБ.ПРОЛОНГ. П/П/О /ГЕДЕОН РИХТЕР/</t>
  </si>
  <si>
    <t>НИМЕСУЛИД 100МГ. №20 ТАБ. /РЕПЛЕКФАРМ/БЕРЕЗОВСКИЙ/</t>
  </si>
  <si>
    <t>БЕЙБИ КАЛМ Д/МЛАДЕНЦЕВ 15МЛ. КАПЛИ (СИРОП) ФЛ. БЕБИ</t>
  </si>
  <si>
    <t>ХИСУНИТ / HISUNIT</t>
  </si>
  <si>
    <t>АЛЬФАПЛАСТИК ТРУБКА РЕКТАЛЬНАЯ ГАЗООТВОДНАЯ Д/НОВОРОЖД. №16</t>
  </si>
  <si>
    <t>АЛЬФАПЛАСТИК ОБЪЕДИНЕНИЕ</t>
  </si>
  <si>
    <t>ФИЛЬТРУМ-СТИ 400МГ. №50 ТАБ.</t>
  </si>
  <si>
    <t>ЦЕРУКАЛ 10МГ. №50 ТАБ. /АВД ФАРМА/ТЕВА/</t>
  </si>
  <si>
    <t>Плива Хрватска д.о.о.</t>
  </si>
  <si>
    <t>АСКОРБИНОВАЯ К-ТА 50МГ/МЛ. 2МЛ. №10 Р-Р Д/В/В,В/М АМП. /ДАЛЬХИМФАРМ/</t>
  </si>
  <si>
    <t>ГЛЮКОЗА 40% 10МЛ. №10 Р-Р Д/ИН. АМП. /ДАЛЬХИМФАРМ/</t>
  </si>
  <si>
    <t>ПАСКАЛЬ ШПРИЦ 3-Х КОМП. 20МЛ. С ИГЛОЙ 21G 0,8Х40ММ. №5 [PASCAL]</t>
  </si>
  <si>
    <t>СЕНИ ПОДГУЗНИКИ СУПЕР ПЛЮС АИР ЭКСТРА ЛАРЧ Д/ВЗР. Р.XL(4) №30 (130-170СМ.) [SENI]</t>
  </si>
  <si>
    <t>ТЗМО (TZMO S.A.)</t>
  </si>
  <si>
    <t>ТИМОЛОЛ 0,5% 10МЛ. ГЛ.КАПЛИ ФЛ./КАП. /СЛАВЯНСКАЯ АПТЕКА/</t>
  </si>
  <si>
    <t>КОМПЛИВИТ №60 ТАБ. П/О</t>
  </si>
  <si>
    <t>НИМУЛИД 100МГ. №30 ТАБ.</t>
  </si>
  <si>
    <t>Панацея Биотек Лтд</t>
  </si>
  <si>
    <t>ФРАУ ТЕСТ НА ОВУЛЯЦИЮ №5 ТЕСТ-ПОЛОСКА [FRAUTEST]</t>
  </si>
  <si>
    <t>AXIOM GmbH /АКСИОМ</t>
  </si>
  <si>
    <t>КАГОЦЕЛ 12МГ. №10 ТАБ. /НИАРМЕДИК ПЛЮС/</t>
  </si>
  <si>
    <t>НИАРМЕДИК ПЛЮС ООО</t>
  </si>
  <si>
    <t>ФЕСТАЛ №100 ДРАЖЕ</t>
  </si>
  <si>
    <t>САНОФИ ЗАО</t>
  </si>
  <si>
    <t>ГИНКОУМ 40МГ. №60 КАПС. /ЭВАЛАР/</t>
  </si>
  <si>
    <t>НЕБИВОЛОЛ-СЗ 5МГ. №56 ТАБ. /СЕВЕРНАЯ ЗВЕЗДА/</t>
  </si>
  <si>
    <t>ХАРТМАНН БРАНОЛИНД H ПОВЯЗКА СТЕР. 7,5Х10СМ. №30 ПЕРУАН.БАЛЬЗАМ /АРТ.4923432/ [BRANOLIND]</t>
  </si>
  <si>
    <t>КОЛДАКТ ФЛЮ ПЛЮС №10 КАПС.ПРОЛОНГ</t>
  </si>
  <si>
    <t>Sun Pharmaceutical Industries Ltd / САН ФАРМАСЬЮТИ</t>
  </si>
  <si>
    <t>БРОМГЕКСИН 8 БЕРЛИН-ХЕМИ 8МГ. №25 ТАБ. П/О /БЕРЛИН ХЕМИ/</t>
  </si>
  <si>
    <t>БЕРЛИН-ФАРМА</t>
  </si>
  <si>
    <t>МАГНЕЛИС В6 №90 ТАБ. П/О</t>
  </si>
  <si>
    <t>АМОСИН 500МГ. №10 ТАБ. /ПОЛЛО/</t>
  </si>
  <si>
    <t>ООО ПОЛЛО</t>
  </si>
  <si>
    <t>ЛЮКСПЛАСТ ЛЕЙКОПЛАСТ. БАКТЕР. 19Х72ММ ТКАН. ЭЛ.ТЕЛЕСН. №10 [LUXPLAST]</t>
  </si>
  <si>
    <t>БИСОПРОЛОЛ 2,5МГ. №30 ТАБ. П/П/О /ВЕРТЕКС/</t>
  </si>
  <si>
    <t>ЛИЗИНОПРИЛ 10МГ. №30 ТАБ. /ВЕРТЕКС/</t>
  </si>
  <si>
    <t>ЛОНГИДАЗА 3000МЕ №10 СУПП. РЕКТ./ВАГИН.</t>
  </si>
  <si>
    <t>ДИФЛЮКАН 150МГ. №1 КАПС. /ПФАЙЗЕР/</t>
  </si>
  <si>
    <t>ФАРЕВА</t>
  </si>
  <si>
    <t>ТАВАНИК 500МГ. №10 ТАБ. П/П/О /САНОФИ-АВЕНТИС/</t>
  </si>
  <si>
    <t>Sanofi - Wintrop LDA</t>
  </si>
  <si>
    <t>О.Б. ТАМПОНЫ ПРОКОМФОРТ МИНИ №16 [OB]</t>
  </si>
  <si>
    <t>ЛЕККЕР-ЙОДА 5% 5МЛ. СПИРТ. Р-Р КАРАНДАШ</t>
  </si>
  <si>
    <t>ДОРЗОПТ ПЛЮС 20+5МГ/МЛ. 5МЛ. ГЛ.КАПЛИ ФЛ./КАП.</t>
  </si>
  <si>
    <t>ЛЕСНОЙ БАЛЬЗАМ ОПОЛАСК. Д/РТА П/КРОВОТОЧИВОСТИ ДЕСЕН КОРА ДУБА+ПИХТА 250МЛ.</t>
  </si>
  <si>
    <t>ЮНИЛЕВЕР РУСЬ ООО</t>
  </si>
  <si>
    <t>БЕТОПТИК С 0,25% 5МЛ. ГЛ.КАПЛИ ФЛ./КАП.</t>
  </si>
  <si>
    <t>ЦЕФИКСИМ ЭКСПРЕСС 400МГ. №7 ТАБ. ДИСПЕРГ.</t>
  </si>
  <si>
    <t>АМБРОКСОЛ-АЛСИ 30МГ. №30 ТАБ. /АЛСИ/</t>
  </si>
  <si>
    <t>ПЛАСТИК МЕД</t>
  </si>
  <si>
    <t>СЕНАДЕ 13,5МГ. №500 ТАБ. /ЦИПЛА/</t>
  </si>
  <si>
    <t>CIPLA (ЦИПЛА )</t>
  </si>
  <si>
    <t>АЦЦ-ЛОНГ 600МГ. №10 ШИП.ТАБ. /САНДОЗ/</t>
  </si>
  <si>
    <t>ГЕРМЕС ФАРМА ( HERMES )</t>
  </si>
  <si>
    <t>АКТОВЕГИН 40МГ/МЛ. 5МЛ. №5 Р-Р Д/ИН. АМП.</t>
  </si>
  <si>
    <t>ГЕПАРИНОВАЯ 25Г. МАЗЬ Д/НАРУЖ.ПРИМ. ТУБА /НИЖФАРМ/</t>
  </si>
  <si>
    <t>ВАЗЕЛИН 30Г. МАЗЬ Д/НАРУЖ.ПРИМ. ТУБА /МУРОМСКИЙ/</t>
  </si>
  <si>
    <t>ПИОНА НАСТОЙКА 25МЛ. И/У ФЛ. /ИВАНОВСКАЯ ФФ/</t>
  </si>
  <si>
    <t>САЛИЦИЛОВАЯ 2% 25Г. МАЗЬ /ТУЛЬСКАЯ ФФ/</t>
  </si>
  <si>
    <t>ЕССЕНТУКИ ВОДА МИНЕР. №17 0,45Л. ГАЗ. СТЕКЛО</t>
  </si>
  <si>
    <t>ЕССЕНТУКСКИЙ ЗАВОД МИН. ВОД</t>
  </si>
  <si>
    <t>БИКСИТОР 60МГ. №10 ТАБ. П/П/О</t>
  </si>
  <si>
    <t>ДИКЛОФЕНАК-АКОС 5% 50Г. ГЕЛЬ Д/НАРУЖ.ПРИМ. ТУБА /СИНТЕЗ/</t>
  </si>
  <si>
    <t>СПАЗМАЛГОН №50 ТАБ.</t>
  </si>
  <si>
    <t>Балканфарма - Дупница АД</t>
  </si>
  <si>
    <t>КАПТОПРИЛ 50МГ. №20 ТАБ. /ОЗОН/</t>
  </si>
  <si>
    <t>КОРВАЛОЛ ФИТО 50МЛ. КАПЛИ Д/ПРИЕМА ВНУТРЬ ФЛ. И/У</t>
  </si>
  <si>
    <t>МАСЛО ОБЛЕПИХОВОЕ ГОРНОАЛТАЙСКОЕ 100МЛ. ФЛ. И/У /АЛТАЙСКИЙ БУКЕТ/</t>
  </si>
  <si>
    <t>АЛТАЙСКИЙ БУКЕТ</t>
  </si>
  <si>
    <t>КАЛЕНДУЛЫ НАСТОЙКА 25МЛ. ФЛ. /ГИППОКРАТ/</t>
  </si>
  <si>
    <t>СЛАБИКАП 7,5МГ/МЛ. 10МЛ. КАПЛИ Д/ПРИЕМА ВНУТРЬ ФЛ./КАП. /СИНТЕЗ/</t>
  </si>
  <si>
    <t>ЭНАП 2,5МГ. №20 ТАБ. /KPKA/</t>
  </si>
  <si>
    <t>БЕТАСЕРК 16МГ. №30 ТАБ. /ЭББОТ/</t>
  </si>
  <si>
    <t>ЭББОТ ХЕЛСКЕА ПРОДАКТС Б.В.</t>
  </si>
  <si>
    <t>БРАЛ 500МГ. №20 ТАБ.</t>
  </si>
  <si>
    <t>Микро лабс Лтд (MICRO )</t>
  </si>
  <si>
    <t>АСКОРБИНКА ЛУНТИК ВИТ.С КЛУБНИКА №10 ТАБ. (30Г.) /ФАРМ-ПРО/ТИГОДА-ФАРМ/</t>
  </si>
  <si>
    <t>АЛЬФА ТОКОФЕРОЛА АЦЕТАТ 200МГ. №30 КАПС. (ВИТАМИН Е) /МИНСКИНТЕРКАПС/</t>
  </si>
  <si>
    <t>МИНСКИНТЕРКАПС</t>
  </si>
  <si>
    <t>ДИКЛОФЕНАК 25МГ/МЛ. 3МЛ. №5 Р-Р Д/В/М ВВЕД. АМП. /ХЕМОФАРМ/</t>
  </si>
  <si>
    <t>ПАНАНГИН ФОРТЕ 316МГ+280МГ. №60 ТАБ. П/П/О /ГЕДЕОН РИХТЕР/</t>
  </si>
  <si>
    <t>МЕКСИКОР 100МГ. №60 КАПС. /ЭКОФАРМИНВЕСТ/</t>
  </si>
  <si>
    <t>Мираксбиофарма ЗАО</t>
  </si>
  <si>
    <t>АЦИКЛОВИР-БЕЛУПО 400МГ. №35 ТАБ. П/О /БЕЛУПО/</t>
  </si>
  <si>
    <t>Карта LOYALITY 25Р</t>
  </si>
  <si>
    <t>ЙОДОМАРИН 200 №100 ТАБ. /БЕРЛИН ХЕМИ/</t>
  </si>
  <si>
    <t>А.Менарини-Фон Хейден Гмбх (Menarini )</t>
  </si>
  <si>
    <t>САЛФЕТКИ 8-И СЛОЙНАЯ СТЕР. 5СМХ5СМ №10</t>
  </si>
  <si>
    <t>ОФТАН-КАТАХРОМ 10МЛ. ГЛ.КАПЛИ ФЛ.</t>
  </si>
  <si>
    <t>SANTEN</t>
  </si>
  <si>
    <t>ПОХУДЕЙ ЧАЙ Д/ЗДОРОВЬЯ ЛЮДЕЙ КЛУБНИКА 2Г. №30 ПАК.</t>
  </si>
  <si>
    <t>ЦЭРЕРА ТД ООО</t>
  </si>
  <si>
    <t>АКВА МАРИС НОРМ ИНТЕНСИВ. ПРОМЫВАНИЕ 150МЛ. НАЗАЛ.СПРЕЙ</t>
  </si>
  <si>
    <t>JADRAN (ЯДРАН)</t>
  </si>
  <si>
    <t>ЭВО ПАНТЕНОЛ ПОМАДА ГИГИЕН. 2,8Г. [EVO] /АВАНТА/</t>
  </si>
  <si>
    <t>ВИЛЬПРАФЕН СОЛЮТАБ 1000МГ. №10 ТАБ. ДИСПЕРГ. /АСТЕЛЛАС/</t>
  </si>
  <si>
    <t>ТИРОЗОЛ 5МГ. №50 ТАБ. П/П/О /МЕРК/</t>
  </si>
  <si>
    <t>Merck KGaA</t>
  </si>
  <si>
    <t>ПЕРЕКИСЬ ВОДОРОДА 3% 1Л. Р-Р ДЕЗ.СР-ВО ФЛ.</t>
  </si>
  <si>
    <t>Биолайн ООО</t>
  </si>
  <si>
    <t>РОТОКАН 50МЛ. ЭКСТРАКТ Д/ПРИЕМА ВНУТРЬ И МЕСТ.ПРИМ. ФЛ. /ВИФИТЕХ/</t>
  </si>
  <si>
    <t>ХАРТМАНН КОСМОПОР Е ПОВЯЗКА 7,2Х5СМ №50 П/ОПЕР. САМОКЛ. СТЕР. /АРТ.9008705/ [HARTMANN COSMOPOR]</t>
  </si>
  <si>
    <t>ПАНАНГИН 158МГ+140МГ. №50 ТАБ. П/П/О /ГЕДЕОН РИХТЕР/</t>
  </si>
  <si>
    <t>БЕТАЛОК ЗОК 25МГ. №14 ТАБ.ПРОЛОНГ. П/О /АСТРА ЗЕНЕКА/</t>
  </si>
  <si>
    <t>ДИГОКСИН 250МКГ. №50 ТАБ. /ГЕДЕОН РИХТЕР/</t>
  </si>
  <si>
    <t>ЗВЕРОБОЯ ТРАВА 50Г. /КРАСНОГОРСК/</t>
  </si>
  <si>
    <t>ПЕНТОКСИФИЛЛИН-СЗ 400МГ. №20 ТАБ.ПРОЛОНГ. П/О /СЕВЕРНАЯ ЗВЕЗДА/</t>
  </si>
  <si>
    <t>ПЕРИНДОПРИЛ-СЗ 8МГ. №30 ТАБ. /СЕВЕРНАЯ ЗВЕЗДА/</t>
  </si>
  <si>
    <t>ТОНОМЕТР UA-604 П/АВТОМАТ [AND]</t>
  </si>
  <si>
    <t>A &amp; D Company Ltd A&amp;D / ЭЙ ЭНД ДИ КОМПАНИ</t>
  </si>
  <si>
    <t>РИБОКСИН АВЕКСИМА 200МГ. №50 ТАБ. П/П/О</t>
  </si>
  <si>
    <t>ПРАДАКСА 110МГ. №180 КАПС. /БЕРИНГЕР/</t>
  </si>
  <si>
    <t>BOEHRINGER INGELHEIM (БЕРИНГЕР )</t>
  </si>
  <si>
    <t>ГЛИЦИН ФОРТЕ 500/580МГ. №60 ТАБ. Д/РАСС. /ЭВАЛАР/</t>
  </si>
  <si>
    <t>ПРОПОЛИСА НАСТОЙКА 25МЛ. ФЛ. И/У /ВИФИТЕХ/</t>
  </si>
  <si>
    <t>КАЛЕНДУЛА №10 СУПП.РЕКТ. ГОМЕОПАТ. /МОСФАРМА/</t>
  </si>
  <si>
    <t>СПАЗГАН №20 ТАБ.</t>
  </si>
  <si>
    <t>Вокхард Лимитед/Скопинфарм</t>
  </si>
  <si>
    <t>ДОНА 750МГ. №60 ТАБ. П/О</t>
  </si>
  <si>
    <t>МАДАУС АГ / MADAUS</t>
  </si>
  <si>
    <t>ПОЛИСОРБ МП 50Г. №1 ПОР. Д/СУСП. БАНКА</t>
  </si>
  <si>
    <t>ПОЛИСОРБ</t>
  </si>
  <si>
    <t>КОТЕКС ПРОКЛАДКИ УЛЬТРА СУПЕР СОФТ №8 [KOTEX]</t>
  </si>
  <si>
    <t>КИМБЕРЛИ-КЛАРК</t>
  </si>
  <si>
    <t>СУПРАСТИН 2% 1МЛ. №5 Р-Р Д/В/В,В/М АМП. /ЭГИС/</t>
  </si>
  <si>
    <t>ЛЕРКАНИДИПИН-СЗ 10МГ. №30 ТАБ.П/О /СЕВЕРНАЯ ЗВЕЗДА/</t>
  </si>
  <si>
    <t>ТРИПЛИКСАМ 10МГ.+2,5МГ.+10МГ. №30 ТАБ. П/П/О</t>
  </si>
  <si>
    <t>ХАРТМАНН БРАНОЛИНД H ПОВЯЗКА СТЕР. 10Х20СМ. №30 ПЕРУАН.БАЛЬЗАМ /АРТ.4923462/ [BRANOLIND]</t>
  </si>
  <si>
    <t>МЕТОПРОЛОЛ-ТЕВА 100МГ. №30 ТАБ. /ТЕВА/</t>
  </si>
  <si>
    <t>Меркле ГмбХ</t>
  </si>
  <si>
    <t>ФЛЮКОСТАТ 150МГ. №1 КАПС. /ОТИСИФАРМ/</t>
  </si>
  <si>
    <t>СЕНИ ТРУСИКИ АКТИВ ВПИТЫВ. НОРМАЛ Р.L(3) №10 (100-135СМ.) [SENI]</t>
  </si>
  <si>
    <t>ДРАПОЛЕН 55Г. КРЕМ Д/НАРУЖ.ПРИМ. ТУБА</t>
  </si>
  <si>
    <t>GLAXOSMITHKLINE</t>
  </si>
  <si>
    <t>ДЕКСАМЕТАЗОН РЕНЕВАЛ 0,1% 10МЛ. №1 ГЛ.КАПЛИ ТЮБ./КАП. /RENEWAL/</t>
  </si>
  <si>
    <t>СТЕЛЛАНИН-ПЭГ 3% 20Г. МАЗЬ Д/НАРУЖ.ПРИМ. ТУБА</t>
  </si>
  <si>
    <t>ЛЕЙКОПЛАСТЫРЬ БАКТЕР. 4Х10 №1 /ВЕРОФАРМ/</t>
  </si>
  <si>
    <t>ЛОРИСТА 25МГ. №30 ТАБ. П/П/О /KRKA/</t>
  </si>
  <si>
    <t>АЦЕКАРДОЛ 100МГ. №30 ТАБ.КШ/РАСТВ. П/П/О /СИНТЕЗ/</t>
  </si>
  <si>
    <t>НОРМОДИПИН 5МГ. №30 ТАБ. /ГЕДЕОН РИХТЕР/</t>
  </si>
  <si>
    <t>ЭСПУМИЗАН 40МГ. №25 КАПС. /БЕРЛИН-ХЕМИ/</t>
  </si>
  <si>
    <t>ГРАММИДИН НЕО С АНЕСТЕТИКОМ №18 ТАБ. Д/РАСС.</t>
  </si>
  <si>
    <t>ХАРТМАНН ПЕХА-ХАФТ БИНТ САМОФИКС. КОГЕЗИВ. 4МХ6СМ. БЕЛ. /АРТ.9324841/9324842/ [HARTMANN PEHA-HAFT]</t>
  </si>
  <si>
    <t>ЛЕВОМИЦЕТИН 0,25% 10МЛ. №1 ГЛ.КАПЛИ ФЛ./КАП. /ЛЕККО/</t>
  </si>
  <si>
    <t>МЕЛАТОНИН 3МГ. №30 ТАБ. П/П/О /ОЗОН/</t>
  </si>
  <si>
    <t>ДОППЕЛЬГЕРЦ АКТИВ ОМЕГА-3 №80 КАПС.</t>
  </si>
  <si>
    <t>КРЕОН 10000 №20 КАПС. КШ/РАСТВ. ФЛ. /ЭББОТТ/</t>
  </si>
  <si>
    <t>ТОРВАКАРД 20МГ. №30 ТАБ. П/П/О /САНОФИ/САНЕКА/</t>
  </si>
  <si>
    <t>ЗОЛОТОЙ ШЕЛК ШАМПУНЬ-УКРЕП. КОРНЕЙ П/ВЫПАД. 400МЛ.</t>
  </si>
  <si>
    <t>Народные промыслы ООО</t>
  </si>
  <si>
    <t>БРОКСИНАК 0,09% 2,5МЛ. №1 ГЛ.КАПЛИ ФЛ.</t>
  </si>
  <si>
    <t>ПОЛИОКСИДОНИЙ 12МГ. №10 ТАБ. /ПЕТРОВАКС/</t>
  </si>
  <si>
    <t>МИРРОЛЛА СУЛЬСЕН ФОРТЕ ШАМПУНЬ 2% КЕТОКОНАЗОЛ 250МЛ. ФЛ.</t>
  </si>
  <si>
    <t>БИОИНВЕНТИКА СИРОП МАЛИНА НА ФРУКТОЗЕ 250МЛ. №1 ФЛ.</t>
  </si>
  <si>
    <t>БИОИНВЕНТИКА ООО</t>
  </si>
  <si>
    <t>Юник Фармасьютикал Лабораториз (Отделение Дж.Б. Ке</t>
  </si>
  <si>
    <t>ДИАКАРБ 250МГ. №30 ТАБ. /АКРИХИН/</t>
  </si>
  <si>
    <t>НУТРИДРИНК СМЕСЬ Д/ЭНТЕР. ПИТАНИЯ КЛУБНИКА 200МЛ.</t>
  </si>
  <si>
    <t>NUTRICIA</t>
  </si>
  <si>
    <t>СФМ ШПРИЦ 3МЛ. 3-Х КОМП. 0,6Х30ММ 23G №100 [SFM]</t>
  </si>
  <si>
    <t>ОМЕПРАЗОЛ-ТЕВА 20МГ. №28 КАПС. КШ/РАСТВ. /ТЕВА/</t>
  </si>
  <si>
    <t>МИЛУРИТ 100МГ. №50 ТАБ. /ЭГИС/</t>
  </si>
  <si>
    <t>МЕТРОГИЛ 5МГ/МЛ. 100МЛ. №1 Р-Р Д/ИНФ. ФЛ. /ЮНИК/</t>
  </si>
  <si>
    <t>КАРДИАСК МАГНИЙ 75МГ.+15,2МГ. №100 ТАБ. П/П/О /КАНОНФАРМА/</t>
  </si>
  <si>
    <t>СИОФОР 500 №60 ТАБ. П/П/О /БЕРЛИН ХЕМИ/</t>
  </si>
  <si>
    <t>НЕОБУТИН 200МГ. №30 ТАБ.</t>
  </si>
  <si>
    <t>АЛИУМ ООО</t>
  </si>
  <si>
    <t>НАТУРИНО ЛЕДЕНЦЫ АПЕЛЬСИН+ВИТАМИНЫ 33,5Г./36,4Г. №8</t>
  </si>
  <si>
    <t>SWEET LIFE LTD</t>
  </si>
  <si>
    <t>АКРИДЕРМ ГК 0,05%+0,1%+1% 30Г. №1 КРЕМ Д/НАРУЖ.ПРИМ. ТУБА /АКРИХИН/</t>
  </si>
  <si>
    <t>ГИДРОКОРТИЗОН 1% 10Г. МАЗЬ Д/НАРУЖ.ПРИМ. ТУБА /НИЖФАРМ/</t>
  </si>
  <si>
    <t>НО-ШПА 20МГ/МЛ. 2МЛ. №25 Р-Р Д/В/В,В/М АМП. /ХИНОИН/</t>
  </si>
  <si>
    <t>Хиноин ( CHINOIN )</t>
  </si>
  <si>
    <t>ОКСИТОЦИН 5МЕ/МЛ. 1МЛ. №5 Р-Р Д/ИН. АМП. /ГЕДЕОН РИХТЕР/</t>
  </si>
  <si>
    <t>ИНДОМЕТАЦИН-АЛЬТФАРМ 100МГ. №10 СУПП. РЕКТ.</t>
  </si>
  <si>
    <t>РЕГУЛОН 150МКГ+30МКГ. №63 (21X3) ТАБ. П/О /ГЕДЕОН РИХТЕР/</t>
  </si>
  <si>
    <t>НАЗИВИН СЕНСИТИВ 22,5МКГ/ДОЗА 10МЛ. №1 6+ НАЗАЛ.СПРЕЙ ФЛ.</t>
  </si>
  <si>
    <t>ФАМАР ХЕЛФ КЕЙР СЕРВИСЕЗ / FAMAR /</t>
  </si>
  <si>
    <t>ВЕРАПАМИЛ 80МГ. №30 ТАБ. П/О /АЛКАЛОИД/</t>
  </si>
  <si>
    <t>СЕНСЕ МАСКА МЕД. ТРЕХСЛОЙНАЯ (3-Х) НА РЕЗИНКЕ ГОЛ. №10 [SENSE]</t>
  </si>
  <si>
    <t>ФЭСТ ООО</t>
  </si>
  <si>
    <t>СУСТАМЕД ЖАБИЙ КАМЕНЬ ГЕЛЬ Д/НОГ Д/ВЕН ГЛЮКОЗАМИН+ТРОКСЕРУТИН 30Г.</t>
  </si>
  <si>
    <t>РОКС ЗУБ.ЩЕТКА МЕДИКАЛ ЭКСТРА МЯГКАЯ [ROCS]</t>
  </si>
  <si>
    <t>ВДС</t>
  </si>
  <si>
    <t>РИМАНТАДИН АВЕКСИМА 50МГ. №20 ТАБ. (РЕМАНТАДИН)</t>
  </si>
  <si>
    <t>МАКСИКОЛД РИНО МАЛИНА 15Г. №10 ПОР. Д/Р-РА Д/ПРИЕМА ВНУТРЬ ПАК.</t>
  </si>
  <si>
    <t>ЮНИДОКС СОЛЮТАБ 100МГ. №20 ТАБ.ДИСПЕРГ. /АСТЕЛЛАС/</t>
  </si>
  <si>
    <t>ЛЕЙКО ПЛАСТЫРЬ МОЗОЛЬНЫЙ №6 [LEIKO]</t>
  </si>
  <si>
    <t>ЦЗЯНСУ НАНФАНГ МЕДИКАЛ СО ЛТД</t>
  </si>
  <si>
    <t>ДАНТИНОРМ БЕБИ 1МЛ. №10 Р-Р Д/ВНУТР. Д/СНЯТ.ВОСПАЛ. ДЕСЕН ПРИ ПРОРЕЗ</t>
  </si>
  <si>
    <t>Laboratoires BOIRON ( БУАРОН )</t>
  </si>
  <si>
    <t>РЕВАЛГИН №20 ТАБ.</t>
  </si>
  <si>
    <t>Шрея Лайф Саенсиз Пвт Лтд</t>
  </si>
  <si>
    <t>КАРДИКЕТ 20МГ. №50 ТАБ.ПРОЛОНГ. /ЮСБ ФАРМА/ЭЙСИКА/</t>
  </si>
  <si>
    <t>ЭЙСИКА ФАРМАСЬЮТИКАЛ</t>
  </si>
  <si>
    <t>ЭВИТА ВАТНЫЕ ДИСКИ №100 [E'VITA]</t>
  </si>
  <si>
    <t>БЕЛЛА</t>
  </si>
  <si>
    <t>ЦЕТРИН 10МГ. №30 ТАБ. П/П/О /Д-Р РЕДДИ/</t>
  </si>
  <si>
    <t>АТАРАКС 25МГ. №25 ТАБ. П/П/О /ЮСБ ФАРМА/</t>
  </si>
  <si>
    <t>UCB S.A. / ЮСБ ФАРМА</t>
  </si>
  <si>
    <t>ДОКТОР ПЕРЕЦ ЛЕЙКОПЛАСТ. ПЕРЦОВЫЙ 6X10 №1 ПЕРФ. /ВЕРОФАРМ/</t>
  </si>
  <si>
    <t>ФЛАМИН 50МГ. №30 ТАБ. /ВИФИТЕХ/</t>
  </si>
  <si>
    <t>ДИКЛОФЕНАК 1% 40Г. ГЕЛЬ Д/НАРУЖ.ПРИМ. ТУБА /ХЕМОФАРМ/</t>
  </si>
  <si>
    <t>Хемофарм концерн А.Д. (HEMOFARM )</t>
  </si>
  <si>
    <t>СФМ ШПРИЦ 10МЛ. 3-Х КОМП. 0,8Х40ММ 21G №100 [SFM]</t>
  </si>
  <si>
    <t>ЛЕДЕНЦЫ СИЛА ЧЕТЫРЕХ ТРАВ ЛАКРИЧНЫЕ 50Г.</t>
  </si>
  <si>
    <t>ВУЛКАН  ООО НПП</t>
  </si>
  <si>
    <t>НАЗОНЕКС 50МКГ/ДОЗА 18Г. 120ДОЗ №1 НАЗАЛ.СПРЕЙ ФЛ.</t>
  </si>
  <si>
    <t>Шеринг-Плау Лабо Н.В.</t>
  </si>
  <si>
    <t>ТРИМЕДАТ 200МГ. №30 ТАБ.</t>
  </si>
  <si>
    <t>ВЕЗИКАР 5МГ. №30 ТАБ. П/П/О /АСТЕЛЛАС/</t>
  </si>
  <si>
    <t>АСТЕЛЛАС ФАРМА ЮРОП Б.В. / Astellas</t>
  </si>
  <si>
    <t>КАРДИОМАГНИЛ 75МГ.+15,2МГ. №100 ТАБ.</t>
  </si>
  <si>
    <t>ЛАРИПРОНТ №20 ТАБ. Д/РАСС.</t>
  </si>
  <si>
    <t>ОКТОБЕР ФАРМА</t>
  </si>
  <si>
    <t>ОРДИСС 16МГ. №30 ТАБ.</t>
  </si>
  <si>
    <t>НАЙЗ 1% 50Г. №1 ГЕЛЬ Д/НАРУЖ.ПРИМ. ТУБА</t>
  </si>
  <si>
    <t>АКВА ЭЙР МОРЕ 50МЛ. НАЗАЛ.СПРЕЙ ФЛ.</t>
  </si>
  <si>
    <t>ВАЛЬСАКОР 80МГ. №30 ТАБ. П/П/О /KRKA/</t>
  </si>
  <si>
    <t>БЕПАНТЕН ПЛЮС 5% 30Г. №1 КРЕМ Д/НАРУЖ.ПРИМ. ТУБА</t>
  </si>
  <si>
    <t>GRENZACH PRODUKTIONS GmbH</t>
  </si>
  <si>
    <t>АУРА САЛФЕТКИ ВЛАЖН. А/БАКТЕР. №15 [AURA]</t>
  </si>
  <si>
    <t>РЕНГАЛИН №20 ТАБ. Д/РАСС.</t>
  </si>
  <si>
    <t>ЗИННАТ 250МГ. №10 ТАБ. П/П/О /ГЛАКСО/</t>
  </si>
  <si>
    <t>Глаксо Вэллком Оперэйшенс</t>
  </si>
  <si>
    <t>S.P.P.H. IMPASSE DES BOUSSENOTS</t>
  </si>
  <si>
    <t>СТРЕПСИЛС ВИТ. С АПЕЛЬСИН №24 ТАБ. Д/РАСС.</t>
  </si>
  <si>
    <t>ИМОДИУМ ЭКСПРЕСС 2МГ. №10 ТАБ.ЛИОФ. /ЯНССЕН/</t>
  </si>
  <si>
    <t>Янссен-Силаг С.А.</t>
  </si>
  <si>
    <t>СУЛЬФАЦИЛ-НАТРИЯ АЛЬБУЦИД 20% 10МЛ. №1 ГЛ.КАПЛИ ФЛ./КАП. /ЛЕККО/</t>
  </si>
  <si>
    <t>ТЕМПАЛГИН №20 ТАБ. П/П/О</t>
  </si>
  <si>
    <t>ПРИСЫПКА ДЕТСКАЯ ЧЕРЕДА 40Г. /САМАРАМЕДПРОМ/</t>
  </si>
  <si>
    <t>ЦЕТИРИЗИН 10МГ. №20 ТАБ. П/П/О /ОЗОН/</t>
  </si>
  <si>
    <t>РАУНАТИН 2МГ. №50 ТАБ. П/О /ЗДОРОВЬЕ/</t>
  </si>
  <si>
    <t>ЗДОРОВЬЕ ФАРМАЦЕВТИЧЕСКАЯ КОМПАНИЯ</t>
  </si>
  <si>
    <t>ЗДОРОВЬЕ ООО</t>
  </si>
  <si>
    <t>БРУСНИКИ ЛИСТ 1,5Г. №20 ПАК. /КРАСНОГОРСК/</t>
  </si>
  <si>
    <t>ОФЛОМЕЛИД 100Г. МАЗЬ Д/НАРУЖ.ПРИМ. ТУБА /СИНТЕЗ/</t>
  </si>
  <si>
    <t>ЛИНЕКС ФОРТЕ №7 КАПС. /ЛЕК/</t>
  </si>
  <si>
    <t>КОДЕЛАК НЕО 1,5МГ/МЛ. 100МЛ. №1 СИРОП ФЛ.</t>
  </si>
  <si>
    <t>АСКОРБИНОВАЯ К-ТА 2,5Г. №10 ПОР. /МЕЛИГЕН/ (БАД)</t>
  </si>
  <si>
    <t>ЦИТРОДЖЕКС(ВИТАМИН С 900) 3,8Г. №20 ТАБ.БЫСТРОРАСТВ.</t>
  </si>
  <si>
    <t>МАЛКУТ</t>
  </si>
  <si>
    <t>ГРИППФЕРОН 10000МЕ/МЛ. 500МЕ/ДОЗА 10МЛ. 200ДОЗ НАЗАЛ.СПРЕЙ ФЛ. /ФИРН М/</t>
  </si>
  <si>
    <t>ФИРН М ЗАО</t>
  </si>
  <si>
    <t>БАДЯГА 5Г. ПОР. Д/СУСП. Д/НАРУЖ.ПРИМ. ПАК. /ЗДОРОВЬЕ/</t>
  </si>
  <si>
    <t>КОНКОР 10МГ. №30 ТАБ. П/П/О /МЕРК/</t>
  </si>
  <si>
    <t>КЕТОРОЛАК 10МГ. №28 ТАБ. П/П/О /ОБНОВЛЕНИЕ/</t>
  </si>
  <si>
    <t>КЕТОРОЛАК 10МГ. №14 ТАБ. П/П/О /ОБНОВЛЕНИЕ/</t>
  </si>
  <si>
    <t>ВЕНТОЛИН 100МКГ/ДОЗА 200ДОЗ №1 АЭРОЗОЛЬ Д/ИНГ. /ГЛАКСО/</t>
  </si>
  <si>
    <t>ГлаксоСмитКляйн Консьюмер Хелскер/Глаксо Вэлком Пр</t>
  </si>
  <si>
    <t>ПАСТА САЛИЦИЛОВО-ЦИНКОВАЯ 25Г. БАНКА /ТУЛЬСКАЯ ФФ/</t>
  </si>
  <si>
    <t>ВИТАЛОР ЛЕДЕНЦ.КАРАМЕЛЬ АНИС+ВИТ.С 60Г.</t>
  </si>
  <si>
    <t>ГУСЛИЦА ООО</t>
  </si>
  <si>
    <t>МОМАТ РИНО 50МКГ/ДОЗА 60ДОЗ НАЗАЛ.СПРЕЙ ФЛ.</t>
  </si>
  <si>
    <t>Гленмарк Фармасьютикалз Лтд</t>
  </si>
  <si>
    <t>ЛЕВОМИЦЕТИН 1% 25МЛ. №1 СПИРТ. Р-Р Д/НАРУЖ.ПРИМ. ФЛ./КАП. /ТУЛЬСКАЯ ФФ/</t>
  </si>
  <si>
    <t>СТОПАНГИН-ТЕВА 0,2% 30МЛ. СПРЕЙ Д/МЕСТ.ПРИМ. ФЛ.</t>
  </si>
  <si>
    <t>TEVA</t>
  </si>
  <si>
    <t>ГЕКСОРАЛ ТАБС КЛАССИК №16 АПЕЛЬСИН ТАБ. Д/РАСС.</t>
  </si>
  <si>
    <t>АМЛОДИПИН 5МГ. №60 ТАБ. /ВЕРТЕКС/</t>
  </si>
  <si>
    <t>СУПРАДИН КИДС РЫБКИ №30 ПАСТИЛКИ ЖЕВ.</t>
  </si>
  <si>
    <t>АМАФАРМ ГМБХ ( AMAPHARM )</t>
  </si>
  <si>
    <t>МИРАМИСТИН 0,01% 150МЛ. №1 Р-Р Д/МЕСТ.ПРИМ. ФЛ. С РАСП.</t>
  </si>
  <si>
    <t>ИНФАМЕД</t>
  </si>
  <si>
    <t>РЕЛИФ ПРО 40МГ.+1МГ. №10 СУПП. РЕКТ.</t>
  </si>
  <si>
    <t>INSTITUTO DE ANGELI S.R.L. (ИНСТИТУТ ДЕ АНГЕЛИ  )</t>
  </si>
  <si>
    <t>ДЮФАЛАК 667МГ/МЛ. 200МЛ. СИРОП ФЛ. +МЕРН.СТАКАН /ЭББОТТ/СОЛВЕЙ/</t>
  </si>
  <si>
    <t>ВАЛЕМИДИН 25МЛ. КАПЛИ Д/ПРИЕМА ВНУТРЬ ФЛ.</t>
  </si>
  <si>
    <t>КИРОВСКАЯ ФАРМ. ФАБРИКА</t>
  </si>
  <si>
    <t>КАРДИОАКТИВ ТАУРИН 500МГ. №60 ТАБ. /ЭВАЛАР/</t>
  </si>
  <si>
    <t>ЭВО КРЕМ Д/НОГ МОЧЕВИНА 50МЛ. ТУБА [EVO] /АВАНТА/</t>
  </si>
  <si>
    <t>АКТОВЕГИН 40МГ/МЛ. 2МЛ. №25 Р-Р Д/ИН. АМП.</t>
  </si>
  <si>
    <t>TAKEDA CHEMICAL IND. LTD</t>
  </si>
  <si>
    <t>НЕБИЛЕТ 5МГ. №14 ТАБ. /МЕНАРИНИ/</t>
  </si>
  <si>
    <t>КАЛЧЕК 5МГ. №30 ТАБ. /ИПКА/</t>
  </si>
  <si>
    <t>МИЛЬГАММА 2МЛ. №25 Р-Р Д/В/М АМП.</t>
  </si>
  <si>
    <t>ЭТОРИАКС 90МГ. №7 ТАБ. П/П/О</t>
  </si>
  <si>
    <t>КАМЕТОН 45Г. АЭРОЗОЛЬ Д/МЕСТ.ПРИМ. БАЛЛОН /ФАРМСТАНДАРТ ЛЕКСРЕДСТВА/</t>
  </si>
  <si>
    <t>УРОЛЕСАН 25МЛ. КАПЛИ Д/ПРИЕМА ВНУТРЬ ФЛ.</t>
  </si>
  <si>
    <t>ГАЛИЧФАРМ</t>
  </si>
  <si>
    <t>ФРЕНЧИ УМНАЯ ЭМАЛЬ ВОССТ. ПОВР. НОГТЕЙ 15/11МЛ. /АРТ.12069/</t>
  </si>
  <si>
    <t>Frenchi Products Inc. /ФРЕНЧИ ПРОДАКТС</t>
  </si>
  <si>
    <t>ГИДРОКОРТИЗОН 0,5% 3Г. ГЛ. МАЗЬ ТУБА /ВАЛЕАНТ/ ЕЛЬФА/</t>
  </si>
  <si>
    <t>НУРОФЕН 200МГ. №20 ТАБ. П/О /РЕКИТТ БЕНКИЗЕР/</t>
  </si>
  <si>
    <t>ЦИТОФЛАВИН 10МЛ. №5 Р-Р Д/В/В АМП. /ПОЛИСАН/</t>
  </si>
  <si>
    <t>СЛАБИЛЕН 5МГ. №20 ТАБ. П/П/О /ВЕРОФАРМ/</t>
  </si>
  <si>
    <t>ЛЕСПЕФРИЛ 100МЛ. Р-Р Д/ПРИЕМА ВНУТРЬ ФЛ. /ВИФИТЕХ/</t>
  </si>
  <si>
    <t>КО-ДАЛЬНЕВА 5МГ+0,625МГ.+2МГ. №30 ТАБ.</t>
  </si>
  <si>
    <t>АКВАДЕТРИМ 15000МЕ/МЛ. 10МЛ. КАПЛИ Д/ПРИЕМА ВНУТРЬ ФЛ./КАП. (ВИТАМИН Д3 ВОДН.Р-Р) /МЕДАНА/</t>
  </si>
  <si>
    <t>MEDANA PHARMA (МЕДАНА )</t>
  </si>
  <si>
    <t>ВАЛИДОЛ 50МГ. №40 КАПС. ПОДЪЯЗЫЧ. /ЛЮМИ/</t>
  </si>
  <si>
    <t>ЛЮМИ ООО</t>
  </si>
  <si>
    <t>ТРИГРИМ 5МГ. №30 ТАБ.</t>
  </si>
  <si>
    <t>ВИПИДИЯ 25МГ. №28 ТАБ. П/П/О /ТАКЕДА/</t>
  </si>
  <si>
    <t>TAKEDA IRELAND LIMIYED</t>
  </si>
  <si>
    <t>АЛЬФА НОРМИКС 200МГ. №12 ТАБ. П/П/О</t>
  </si>
  <si>
    <t>АЛЬФАСИГМА С.П.А.</t>
  </si>
  <si>
    <t>БИФИФОРМ №30 КАПС. КШ/РАСТВ.</t>
  </si>
  <si>
    <t>РЕНЮ Р-Р Д/ЛИНЗ MULTIPLUS 240МЛ. ФЛ. [RENU]</t>
  </si>
  <si>
    <t>BAUSCH &amp; LOMB ( БАУШ ЭНД ЛОМБ)</t>
  </si>
  <si>
    <t>ОПТИ ФРИ КАПЛИ Д/ГЛАЗ УВЛАЖН. 15МЛ. [OPTI-FREE]</t>
  </si>
  <si>
    <t>L-ТИРОКСИН 150МКГ. №100 ТАБ. /БЕРЛИН ХЕМИ/</t>
  </si>
  <si>
    <t>КОЛЕТЕКС КОЛЕГЕЛЬ-ДНК-Л ДЕРИНАТ+ЛИДОКАИН 100МЛ. ТУБА (САЛФЕТКА ГИДРОГЕЛЕВ.)</t>
  </si>
  <si>
    <t>Колетекс ООО</t>
  </si>
  <si>
    <t>ДИМЕДРОЛ 10МГ/МЛ. 1МЛ. №10 Р-Р Д/В/В,В/М АМП. /ВЕЛФАРМ/</t>
  </si>
  <si>
    <t>ДИАДЕРМ КРЕМ-ТАЛЬК Д/ТЕЛА П/ОПРЕЛОСТЕЙ 75МЛ. /АВАНТА/</t>
  </si>
  <si>
    <t>ФИТОЛАКС 500МГ. №40 ТАБ.ЖЕВ. /ЭВАЛАР/</t>
  </si>
  <si>
    <t>СЕНИ ПОДГУЗНИКИ СУПЕР АИР ЭКСТРА ЛАРЧ Д/ВЗР. Р.XL(4) №30 (130-170СМ.) [SENI]</t>
  </si>
  <si>
    <t>TZMO</t>
  </si>
  <si>
    <t>РОЗАРТ 10МГ. №90 ТАБ. П/П/О</t>
  </si>
  <si>
    <t>Актавис АО</t>
  </si>
  <si>
    <t>КСИЛЕН 0,05% 10МЛ. №1 НАЗАЛ.КАПЛИ ФЛ./КАП. /ВЕРОФАРМ/</t>
  </si>
  <si>
    <t>ПАНКРЕАТИН 25ЕД №60 ТАБ.КШ/РАСТВ. П/О /АВЕКСИМА/</t>
  </si>
  <si>
    <t>Авексима ОАО</t>
  </si>
  <si>
    <t>СИРДАЛУД 4МГ. №30 ТАБ. /НОВАРТИС/</t>
  </si>
  <si>
    <t>Новартис Фарма АГ</t>
  </si>
  <si>
    <t>МЕРИДИАН МОЧЕПРИЕМНИК ДЕТСКИЙ PD2200 200МЛ. [MERIDIAN]</t>
  </si>
  <si>
    <t>МЕРИДИАН / MERIDIAN</t>
  </si>
  <si>
    <t>ГЕМАТОГЕН РУССКИЙ КЕДРОВЫЙ ОРЕХ 40Г. ПЛИТКА /ФАРМ-ПРО/</t>
  </si>
  <si>
    <t>Названия строк</t>
  </si>
  <si>
    <t>Общий итог</t>
  </si>
  <si>
    <t>Сумма по столбцу DR_Kol</t>
  </si>
  <si>
    <t>Name</t>
  </si>
  <si>
    <t>Count</t>
  </si>
  <si>
    <t>Perc_Count</t>
  </si>
  <si>
    <t>CumSumCount</t>
  </si>
  <si>
    <t>ABC_Count</t>
  </si>
  <si>
    <t>A</t>
  </si>
  <si>
    <t>B</t>
  </si>
  <si>
    <t>C</t>
  </si>
  <si>
    <t>TotalSum</t>
  </si>
  <si>
    <t>Perc_Tsum</t>
  </si>
  <si>
    <t>CumSumTSUM</t>
  </si>
  <si>
    <t>ABC_TotalSum</t>
  </si>
  <si>
    <t>Сумма по столбцу TotalSum</t>
  </si>
  <si>
    <t>Число разных элементов в столбце DR_Dat</t>
  </si>
  <si>
    <t>MonthlyTurnover</t>
  </si>
  <si>
    <t>Perc_MTurnover</t>
  </si>
  <si>
    <t>ABC_MonthlyTurnover</t>
  </si>
  <si>
    <t>CumSum_MTurnover</t>
  </si>
  <si>
    <t>ABC</t>
  </si>
  <si>
    <t>AAA</t>
  </si>
  <si>
    <t>ABA</t>
  </si>
  <si>
    <t>ACA</t>
  </si>
  <si>
    <t>BAB</t>
  </si>
  <si>
    <t>BBB</t>
  </si>
  <si>
    <t>BCB</t>
  </si>
  <si>
    <t>CAC</t>
  </si>
  <si>
    <t>CBC</t>
  </si>
  <si>
    <t>CCC</t>
  </si>
  <si>
    <t>Число элементов в столбце ABC</t>
  </si>
  <si>
    <t>Period</t>
  </si>
  <si>
    <t>MinDate</t>
  </si>
  <si>
    <t>MaxDate</t>
  </si>
  <si>
    <t>var_koef</t>
  </si>
  <si>
    <t>XYZ</t>
  </si>
  <si>
    <t>var</t>
  </si>
  <si>
    <t>ABCXYZ</t>
  </si>
  <si>
    <t>AAAZ</t>
  </si>
  <si>
    <t>ABAZ</t>
  </si>
  <si>
    <t>ACAZ</t>
  </si>
  <si>
    <t>CACZ</t>
  </si>
  <si>
    <t>Число элементов в столбце ABCXYZ</t>
  </si>
  <si>
    <t>minDaysCheck</t>
  </si>
  <si>
    <t>Отсутствие Z - указывает, что группу по XYZ оценить невозможно, тк товар продавался меньше 2х дней из периода.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</si>
</sst>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charset val="204"/>
      <scheme val="minor"/>
    </font>
    <font>
      <sz val="10"/>
      <color rgb="FF000000"/>
      <name val="Arial"/>
      <family val="2"/>
      <charset val="204"/>
      <scheme val="minor"/>
    </font>
    <font>
      <b/>
      <sz val="10"/>
      <color theme="1"/>
      <name val="Arial"/>
      <family val="2"/>
      <charset val="204"/>
      <scheme val="minor"/>
    </font>
    <font>
      <b/>
      <sz val="10"/>
      <color rgb="FF000000"/>
      <name val="Arial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6">
    <xf numFmtId="0" fontId="0" fillId="0" borderId="0" xfId="0" applyFont="1" applyAlignment="1"/>
    <xf numFmtId="0" fontId="1" fillId="0" borderId="0" xfId="0" applyFont="1" applyAlignment="1"/>
    <xf numFmtId="4" fontId="1" fillId="0" borderId="0" xfId="0" applyNumberFormat="1" applyFont="1" applyAlignment="1"/>
    <xf numFmtId="164" fontId="1" fillId="0" borderId="0" xfId="0" applyNumberFormat="1" applyFont="1" applyAlignment="1"/>
    <xf numFmtId="21" fontId="1" fillId="0" borderId="0" xfId="0" applyNumberFormat="1" applyFont="1" applyAlignment="1"/>
    <xf numFmtId="4" fontId="1" fillId="0" borderId="0" xfId="0" applyNumberFormat="1" applyFont="1"/>
    <xf numFmtId="0" fontId="0" fillId="0" borderId="0" xfId="0" pivotButton="1" applyFont="1" applyAlignment="1"/>
    <xf numFmtId="0" fontId="0" fillId="0" borderId="0" xfId="0" applyFont="1" applyAlignment="1">
      <alignment horizontal="left"/>
    </xf>
    <xf numFmtId="0" fontId="0" fillId="0" borderId="0" xfId="0" applyNumberFormat="1" applyFont="1" applyAlignment="1"/>
    <xf numFmtId="0" fontId="3" fillId="0" borderId="0" xfId="0" applyFont="1" applyAlignment="1"/>
    <xf numFmtId="0" fontId="4" fillId="0" borderId="0" xfId="0" applyFont="1" applyAlignment="1"/>
    <xf numFmtId="10" fontId="0" fillId="0" borderId="0" xfId="1" applyNumberFormat="1" applyFont="1" applyAlignment="1"/>
    <xf numFmtId="10" fontId="0" fillId="0" borderId="0" xfId="0" applyNumberFormat="1" applyFont="1" applyAlignment="1"/>
    <xf numFmtId="10" fontId="4" fillId="0" borderId="0" xfId="0" applyNumberFormat="1" applyFont="1" applyAlignment="1"/>
    <xf numFmtId="0" fontId="1" fillId="2" borderId="0" xfId="0" applyFont="1" applyFill="1" applyAlignment="1"/>
    <xf numFmtId="0" fontId="0" fillId="2" borderId="0" xfId="0" applyFont="1" applyFill="1" applyAlignment="1"/>
    <xf numFmtId="3" fontId="1" fillId="2" borderId="0" xfId="0" applyNumberFormat="1" applyFont="1" applyFill="1" applyAlignment="1"/>
    <xf numFmtId="3" fontId="1" fillId="2" borderId="0" xfId="0" applyNumberFormat="1" applyFont="1" applyFill="1"/>
    <xf numFmtId="10" fontId="4" fillId="0" borderId="0" xfId="1" applyNumberFormat="1" applyFont="1" applyAlignment="1"/>
    <xf numFmtId="0" fontId="2" fillId="0" borderId="0" xfId="0" applyFont="1" applyAlignment="1"/>
    <xf numFmtId="14" fontId="0" fillId="0" borderId="0" xfId="0" applyNumberFormat="1" applyFont="1" applyAlignment="1"/>
    <xf numFmtId="14" fontId="4" fillId="0" borderId="0" xfId="0" applyNumberFormat="1" applyFont="1" applyAlignment="1"/>
    <xf numFmtId="9" fontId="4" fillId="0" borderId="0" xfId="1" applyFont="1" applyAlignment="1"/>
    <xf numFmtId="9" fontId="0" fillId="0" borderId="0" xfId="1" applyFont="1" applyAlignment="1"/>
    <xf numFmtId="0" fontId="2" fillId="0" borderId="0" xfId="0" applyFont="1" applyAlignment="1">
      <alignment horizontal="left"/>
    </xf>
    <xf numFmtId="9" fontId="2" fillId="0" borderId="0" xfId="1" applyFont="1" applyAlignment="1"/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powerPivotData" Target="model/item.data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uawei" refreshedDate="45937.893471875002" backgroundQuery="1" createdVersion="7" refreshedVersion="7" minRefreshableVersion="3" recordCount="0" supportSubquery="1" supportAdvancedDrill="1" xr:uid="{F60B83B7-CE57-4A7B-85C8-F3E924983DA1}">
  <cacheSource type="external" connectionId="1"/>
  <cacheFields count="4">
    <cacheField name="[Диапазон].[DR_NDrugs].[DR_NDrugs]" caption="DR_NDrugs" numFmtId="0" hierarchy="9" level="1">
      <sharedItems count="803">
        <s v="911-ВЕНОЛГОН ГЕЛЬ Д/НОГ ПРИ ТЯЖЕСТИ,БОЛИ,ОТЕКАХ 100МЛ. ТУБА"/>
        <s v="911-ГЕЛЬ-БАЛЬЗАМ Д/НОГ КОНСКИЙ КАШТАН 100МЛ. ТУБА"/>
        <s v="911-ГЕЛЬ-БАЛЬЗАМ Д/СУСТАВОВ РАЗОГР. ОКОПНИК+МУРАВ.К-ТА 100МЛ."/>
        <s v="L-ТИРОКСИН 100МКГ. №100 ТАБ. /БЕРЛИН ХЕМИ/"/>
        <s v="L-ТИРОКСИН 150МКГ. №100 ТАБ. /БЕРЛИН ХЕМИ/"/>
        <s v="L-ТИРОКСИН 50МКГ. №50 ТАБ. /БЕРЛИН ХЕМИ/"/>
        <s v="L-ТИРОКСИН 75МКГ. №100 ТАБ. /БЕРЛИН ХЕМИ/"/>
        <s v="NF ВАТА ХИРУРГ. СТЕР. 100Г. /НЬЮФАРМ/"/>
        <s v="АДЖИСЕПТ МЕД+ЛИМОН №24 ТАБ. Д/РАСС."/>
        <s v="АДЖИСЕПТ МЕНТОЛ+ЭВКАЛИПТ №24 ТАБ. Д/РАСС."/>
        <s v="АЕВИТ 200МГ. №20 КАПС. (БАД) /МЕЛИГЕН/"/>
        <s v="АЗАРГА 10МГ/МЛ.+5МГ/МЛ. 5МЛ. №1 ГЛ.КАПЛИ ФЛ./КАП."/>
        <s v="АЗИТРОМИЦИН 500МГ. №3 КАПС. /ПРОИЗВОДСТВО МЕДИКАМЕНТОВ/ ПроМед/"/>
        <s v="АЙДИ ПРОТЕКТ ПЕЛЕНКИ ОДНОР. ВПИТ. 60Х90 №10 [ID]"/>
        <s v="АКВА МАРИС НОРМ ИНТЕНСИВ. ПРОМЫВАНИЕ 150МЛ. НАЗАЛ.СПРЕЙ"/>
        <s v="АКВА ЭЙР МОРЕ 50МЛ. НАЗАЛ.СПРЕЙ ФЛ."/>
        <s v="АКВАДЕТРИМ 15000МЕ/МЛ. 10МЛ. КАПЛИ Д/ПРИЕМА ВНУТРЬ ФЛ./КАП. (ВИТАМИН Д3 ВОДН.Р-Р) /МЕДАНА/"/>
        <s v="АКВАЛОР ЭКСТРА ФОРТЕ 150МЛ. АЛОЭ+РОМАШКА НАЗАЛ.СПРЕЙ"/>
        <s v="АККУ-ЧЕК ТЕСТ-ПОЛОСКИ ПЕРФОРМА №100 (50Х2) [ACCU-CHEK]"/>
        <s v="АКРИДЕРМ 0,05% 30Г. №1 КРЕМ Д/НАРУЖ.ПРИМ. ТУБА /АКРИХИН/"/>
        <s v="АКРИДЕРМ 0,05% 30Г. №1 МАЗЬ Д/НАРУЖ.ПРИМ. ТУБА /АКРИХИН/"/>
        <s v="АКРИДЕРМ ГК 0,05%+0,1%+1% 30Г. №1 КРЕМ Д/НАРУЖ.ПРИМ. ТУБА /АКРИХИН/"/>
        <s v="АКТОВЕГИН 40МГ/МЛ. 2МЛ. №25 Р-Р Д/ИН. АМП."/>
        <s v="АКТОВЕГИН 40МГ/МЛ. 5МЛ. №5 Р-Р Д/ИН. АМП."/>
        <s v="АКУЛИЙ ЖИР ГЕЛЬ-БАЛЬЗАМ Д/ТЕЛА ОКОПНИК+САБЕЛЬНИК 125МЛ."/>
        <s v="АЛЕРАНА ВИТАМИННО-МИНЕРАЛЬНЫЙ КОМПЛЕКС ДЕНЬ-НОЧЬ №60 ТАБ. [ALERANA]"/>
        <s v="АЛЛАПИНИН 25МГ. №30 ТАБ. /ВИЛАР/"/>
        <s v="АЛЛЕРВЭЙ 5МГ. №10 ТАБ. П/О"/>
        <s v="АЛЛОХОЛ №50 ТАБ. П/О /ФАРМСТАНДАРТ/"/>
        <s v="АЛМАГЕЛЬ А 170МЛ. №1 СУСП. Д/ПРИЕМА ВНУТРЬ ФЛ. /БАЛКАН ФАРМА-ТРОЯН/"/>
        <s v="АЛЬФА НОРМИКС 200МГ. №12 ТАБ. П/П/О"/>
        <s v="АЛЬФА НОРМИКС 200МГ. №28 ТАБ. П/П/О"/>
        <s v="АЛЬФА ТОКОФЕРОЛА АЦЕТАТ 200МГ. №30 КАПС. (ВИТАМИН Е) /МИНСКИНТЕРКАПС/"/>
        <s v="АЛЬФАГАН Р 0,15% 5МЛ. ГЛ.КАПЛИ ФЛ./КАП."/>
        <s v="АЛЬФАПЛАСТИК ТРУБКА РЕКТАЛЬНАЯ ГАЗООТВОДНАЯ Д/НОВОРОЖД. №16"/>
        <s v="АМБРОКСОЛ-АЛСИ 30МГ. №30 ТАБ. /АЛСИ/"/>
        <s v="АМЕЛИЯ ВАТА МЕД. ХИРУРГ. Н/СТЕР. 25Г."/>
        <s v="АМЕЛОТЕКС 1% 50Г. №1 ГЕЛЬ Д/НАРУЖ.ПРИМ. ТУБА"/>
        <s v="АМИКСИН 125МГ. №6 ТАБ. П/П/О /ОТИСИФАРМ/ФАРМСТАНДАРТ/"/>
        <s v="АМИНТАКС 35000МЕ+10000МЕ+35000МЕ №10 СУПП. ВАГ."/>
        <s v="АМИТРИПТИЛИН 25МГ. №50 ТАБ. /ОЗОН/"/>
        <s v="АМЛОДИПИН 10МГ. №60 ТАБ. /ВЕРТЕКС/"/>
        <s v="АМЛОДИПИН 5МГ. №60 ТАБ. /ВЕРТЕКС/"/>
        <s v="АМЛОДИПИН-ТЕВА 5МГ. №30 ТАБ. /ТЕВА/"/>
        <s v="АММИАК 100МГ/МЛ. 100МЛ. №1 Р-Р Д/НАРУЖ./ИНГ. ФЛ. /САМАРСКАЯ ФФ/"/>
        <s v="АМОКСИКЛАВ 250МГ.+62,5МГ/5МЛ. 25Г. 100МЛ. ПОР. Д/СУСП. Д/ПРИЕМА ВНУТРЬ ФЛ. +ПИПЕТ.ДОЗИР. /ЛЕК/"/>
        <s v="АМОКСИЦИЛЛИН 250МГ/5МЛ. 40Г. №1 ГРАН. Д/СУСП. Д/ПРИЕМА ВНУТРЬ ФЛ. /ХЕМОФАРМ/"/>
        <s v="АМОКСИЦИЛЛИН 500МГ. №16 КАПС. /ХЕМОФАРМ/"/>
        <s v="АМОКСИЦИЛЛИН САНДОЗ 1000МГ. №12 ТАБ. П/О БЛИСТЕР /САНДОЗ/"/>
        <s v="АМОСИН 500МГ. №10 ТАБ. /ПОЛЛО/"/>
        <s v="АНАЛЬГИН 500МГ. №20 ТАБ. /ФАРМСТАНДАРТ/"/>
        <s v="АНАЛЬГИН 500МГ/МЛ. 2МЛ. №10 Р-Р Д/В/В,В/М АМП. /НОВОСИБХИМФАРМ/"/>
        <s v="АНАУРЕТТЕ СПРЕЙ Д/ОЧИЩ. УШНОЙ ПОЛОСТИ 15МЛ."/>
        <s v="АНГЕЛ ПОВЯЗКА ПЛАСТЫРНОГО ТИПА БАКТЕР. 9Х10СМ. №10 [ANGEL]"/>
        <s v="АНДИПАЛ №20 ТАБ. /ФАРМСТАНДАРТ-ЛЕКСРЕДСТВА/"/>
        <s v="АНТИПОЛИЦАЙ №4 КАРАМЕЛЬ ЛЕДЕНЦОВАЯ Б/САХ."/>
        <s v="АНТИ-ЭЙДЖ ВИТАМИН Д3 500МЕ 10МЛ. №1 МАСЛ. Р-Р Д/ПРИЕМА ВНУТРЬ ФЛ./КАП. /ЭВАЛАР/ [ANTI-AGE]"/>
        <s v="АПИЗАРТРОН 20Г. №1 МАЗЬ Д/НАРУЖ. ПРИМ. ТУБА"/>
        <s v="АРБИДОЛ МАКСИМУМ 200МГ. №10 КАПС. /ОТИСИФАРМ/ФАРМСТАНДАРТ/"/>
        <s v="АРКОКСИА 90МГ. №28 ТАБ. П/П/О"/>
        <s v="АРТРАДОЛ 100МГ. №20 ЛИОФ. Д/Р-РА Д/В/М АМП."/>
        <s v="АСЕПТА ПАРОДОНТАЛ ЗУБ.ПАСТА АКТИВ ПРОФИЛ. 75МЛ."/>
        <s v="АСЕПТИКА САЛФЕТКА СПИРТОВАЯ 60Х100 №20"/>
        <s v="АСКОРБИНКА ЛУНТИК ВИТ.С №10 ТАБ. (30Г.) /ФАРМ-ПРО/ТИГОДА-ФАРМ/"/>
        <s v="АСКОРБИНКА ЛУНТИК ВИТ.С КЛУБНИКА №10 ТАБ. (30Г.) /ФАРМ-ПРО/ТИГОДА-ФАРМ/"/>
        <s v="АСКОРБИНОВАЯ К-ТА 100МГ.+877МГ. ГЛЮКОЗА №40 ТАБ. /ФАРМСТАНДАРТ/"/>
        <s v="АСКОРБИНОВАЯ К-ТА 2,5Г. №10 ПОР. /МЕЛИГЕН/ (БАД)"/>
        <s v="АСКОРБИНОВАЯ К-ТА 25МГ. ВИШНЯ №10 ТАБ. КРУТКА САХ. /АСКОПРОМ/"/>
        <s v="АСКОРБИНОВАЯ К-ТА 25МГ. ЯБЛОКО №10 ТАБ. КРУТКА САХ. /АСКОПРОМ/"/>
        <s v="АСКОРБИНОВАЯ К-ТА 50МГ/МЛ. 2МЛ. №10 Р-Р Д/В/В,В/М АМП. /ДАЛЬХИМФАРМ/"/>
        <s v="АСПАРКАМ №60 ТАБ. /ФАРМАПОЛ-ВОЛГА/"/>
        <s v="АСПЕРА СУПЕРЧИСТОТЕЛ 3МЛ. ФЛ."/>
        <s v="АТАРАКС 25МГ. №25 ТАБ. П/П/О /ЮСБ ФАРМА/"/>
        <s v="АТЕНОЛОЛ РЕНЕВАЛ 100МГ. №30 ТАБ. /ОБНОВЛЕНИЕ/"/>
        <s v="АТЕНОЛОЛ РЕНЕВАЛ 50МГ. №30 ТАБ. /ОБНОВЛЕНИЕ/"/>
        <s v="АТОПИК ГЕЛЬ Д/КУПАНИЯ С ГОЛОВЫ ДО ПЯТОК Д/ДЕТ. 0+ 200МЛ. ФЛ. [ATOPIC]"/>
        <s v="АТОПИК КРЕМ Д/ЕЖЕДН. УХОДА Д/ДЕТ. 0+ 100МЛ. ФЛ. [ATOPIC]"/>
        <s v="АТОПИК КРЕМ-СТИК УСПОКАИВАЮЩИЙ Д/ДЕТ. 0+ 4,9МЛ. ПЕНАЛ [ATOPIC]"/>
        <s v="АТОРВАСТАТИН-СЗ 10МГ. №60 ТАБ. П/П/О /СЕВЕРНАЯ ЗВЕЗДА/"/>
        <s v="АТОРВАСТАТИН-СЗ 20МГ. №30 ТАБ. П/П/О /СЕВЕРНАЯ ЗВЕЗДА/"/>
        <s v="АТОРВАСТАТИН-СЗ 20МГ. №60 ТАБ. П/П/О /СЕВЕРНАЯ ЗВЕЗДА/"/>
        <s v="АТОРВАСТАТИН-СЗ 40МГ. №30 ТАБ. П/П/О /СЕВЕРНАЯ ЗВЕЗДА/"/>
        <s v="АТОРИС 20МГ. №30 ТАБ. П/П/О /KRKA/"/>
        <s v="АТОРИС 20МГ. №90 ТАБ. П/П/О /KRKA/"/>
        <s v="АУГМЕНТИН 200МГ.+28,5МГ/5МЛ. 7,7Г. 70МЛ. ПОР. Д/СУСП. Д/ПРИЕМА ВНУТРЬ ФЛ. /ГЛАКСО/"/>
        <s v="АУРА ВАТНЫЕ ДИСКИ №100 [AURA]"/>
        <s v="АУРА ВАТНЫЕ ДИСКИ №120 [AURA]"/>
        <s v="АУРА ВАТНЫЕ ДИСКИ №80 [AURA]"/>
        <s v="АУРА САЛФЕТКИ ВЛАЖН. А/БАКТЕР. №15 [AURA]"/>
        <s v="АФОБАЗОЛ 10МГ. №60 ТАБ."/>
        <s v="АЦЕКАРДОЛ 100МГ. №30 ТАБ.КШ/РАСТВ. П/П/О /СИНТЕЗ/"/>
        <s v="АЦЕТИЛСАЛИЦИЛОВАЯ К-ТА 500МГ. №20 ТАБ. /ФАРМСТАНДАРТ/"/>
        <s v="АЦИКЛОВИР-АКРИХИН 200МГ. №20 ТАБ. /АКРИХИН/"/>
        <s v="АЦИКЛОВИР-БЕЛУПО 400МГ. №35 ТАБ. П/О /БЕЛУПО/"/>
        <s v="АЦИКЛОВИР-БЕЛУПО 5% 10Г. №1 КРЕМ Д/НАРУЖ.ПРИМ. ТУБА /БЕЛУПО/"/>
        <s v="АЦЦ-ЛОНГ 600МГ. №10 ШИП.ТАБ. /САНДОЗ/"/>
        <s v="АЭРТАЛ 100МГ. №60 ТАБ. П/П/О"/>
        <s v="БАДЯГА 5Г. ПОР. Д/СУСП. Д/НАРУЖ.ПРИМ. ПАК. /ЗДОРОВЬЕ/"/>
        <s v="БАЛЬЗАМ КАРАВАЕВА ВИТАОН 30МЛ. Д/ПОЛОСТИ РТА ФЛ."/>
        <s v="БАРАЛГИН М 500МГ. №100 ТАБ."/>
        <s v="БАХИЛЫ №10 (5ПАР)"/>
        <s v="БЕЙБИ КАЛМ Д/МЛАДЕНЦЕВ 15МЛ. КАПЛИ (СИРОП) ФЛ. БЕБИ"/>
        <s v="БЕПАНТЕН ПЛЮС 5% 30Г. №1 КРЕМ Д/НАРУЖ.ПРИМ. ТУБА"/>
        <s v="БЕТАГИСТИН-СЗ 16МГ. №60 ТАБ. /СЕВЕРНАЯ ЗВЕЗДА/"/>
        <s v="БЕТАДИН 10% 120МЛ. №1 Р-Р Д/МЕСТ. И НАРУЖ.ПРИМ. ФЛ. /ЭГИС/"/>
        <s v="БЕТАЛОК ЗОК 25МГ. №14 ТАБ.ПРОЛОНГ. П/О /АСТРА ЗЕНЕКА/"/>
        <s v="БЕТАЛОК ЗОК 50МГ. №30 ТАБ.ПРОЛОНГ. П/О /АСТРА ЗЕНЕКА/"/>
        <s v="БЕТАСЕРК 16МГ. №30 ТАБ. /ЭББОТ/"/>
        <s v="БЕТОПТИК С 0,25% 5МЛ. ГЛ.КАПЛИ ФЛ./КАП."/>
        <s v="БЕТОФТАН 0,5% 5МЛ. ГЛ.КАПЛИ ФЛ./КАП."/>
        <s v="БИКСИТОР 60МГ. №10 ТАБ. П/П/О"/>
        <s v="БИКСИТОР 90МГ. №10 ТАБ. П/П/О"/>
        <s v="БИЛОБИЛ 40МГ. №60 КАПС. /KRKA/"/>
        <s v="БИНТ СТЕР. 10МХ16СМ И/У"/>
        <s v="БИНТЛИ-Т БИНТ ЛИПКИЙ ПРОНИЦАЕМЫЙ 10СМХ2М."/>
        <s v="БИОВИТА ВОДА ПИТЬЕВАЯ СТРУКТУР. 0,6Л. Н/ГАЗ. [BIOVITA]"/>
        <s v="БИОИНВЕНТИКА СИРОП МАЛИНА НА ФРУКТОЗЕ 250МЛ. №1 ФЛ."/>
        <s v="БИОКОНТУР РЫБИЙ ЖИР 330МГ. №100 КАПС. (РЫБНЫЙ)"/>
        <s v="БИОЛИТ БАДЯГА ФОРТЕ ГЕЛЬ 75МЛ."/>
        <s v="БИСАКОДИЛ-НИЖФАРМ 10МГ. №10 СУПП. РЕКТ. /НИЖФАРМ/"/>
        <s v="БИСАКОДИЛ-ХЕМОФАРМ 5МГ. №30 ТАБ.КШ/РАСТВ. П/О /ХЕМОФАРМ/"/>
        <s v="БИСЕПТОЛ 480МГ. №28 ТАБ. /АДАМЕД ФАРМА/"/>
        <s v="БИСОПРОЛОЛ 2,5МГ. №30 ТАБ. П/П/О /ВЕРТЕКС/"/>
        <s v="БИСОПРОЛОЛ 2,5МГ. №60 ТАБ. П/О /ВЕРТЕКС/"/>
        <s v="БИСОПРОЛОЛ 5МГ. №60 ТАБ. П/П/О /ВЕРТЕКС/"/>
        <s v="БИФИДУМБАКТЕРИН 5ДОЗ №10 ЛИОФ. Д/СУСП. Д/ПРИЕМА ВНУТРЬ И МЕСТ.ПРИМ. ФЛ. /ЭКОПОЛИС/"/>
        <s v="БИФИФОРМ №30 КАПС. КШ/РАСТВ."/>
        <s v="БЛЕФАРОЛОСЬОН ЛОСЬОН КОСМЕТ. Д/ВЕК 15МЛ. ФЛ."/>
        <s v="БОБС ЛЕДЕНЦЫ Д/ГОРЛА 35Г. ЭКСТРА МЕНТОЛ №10"/>
        <s v="БОБС ЛЕДЕНЦЫ ОТ КАШЛЯ МЕД+ЛИМОН 35Г.(№10)"/>
        <s v="БОБС ЛЕДЕНЦЫ ОТ КАШЛЯ МЯТА+ЭВКАЛИПТ 35Г.(№10)"/>
        <s v="БОРЖОМИ ВОДА МИНЕР. ГАЗ. 0,5Л. СТЕКЛО"/>
        <s v="БОРНАЯ К-ТА 10Г. ДЕЗ.СР-ВО ПОР. (НДС 20%)"/>
        <s v="БОЯРЫШНИКА НАСТОЙКА 25МЛ. ФЛ. /ГИППОКРАТ/"/>
        <s v="БРАЛ 500МГ. №20 ТАБ."/>
        <s v="БРИЛЛИАНТОВЫЙ ЗЕЛЕН 1% 10МЛ. №1 СПИРТ. Р-Р Д/НАРУЖ.ПРИМ. ФЛ. /САМАРАМЕДПРОМ/"/>
        <s v="БРИЛЛИАНТОВЫЙ ЗЕЛЕН 1% 25МЛ. №1 СПИРТ. Р-Р Д/НАРУЖ.ПРИМ. ФЛ. /САМАРАМЕДПРОМ/ЖЕНЕЛ/"/>
        <s v="БРОКСИНАК 0,09% 2,5МЛ. №1 ГЛ.КАПЛИ ФЛ."/>
        <s v="БРОМГЕКСИН 8 БЕРЛИН-ХЕМИ 8МГ. №25 ТАБ. П/О /БЕРЛИН ХЕМИ/"/>
        <s v="БРОМГЕКСИН 8МГ. №50 ТАБ. /МЕДИСОРБ/"/>
        <s v="БРУСНИКИ ЛИСТ 1,5Г. №20 ПАК. /КРАСНОГОРСК/"/>
        <s v="БУСКОПАН 10МГ. №20 ТАБ. П/О"/>
        <s v="БУТАДИОН 5% 20Г. МАЗЬ Д/НАРУЖ.ПРИМ. ТУБА /ОЗОН/"/>
        <s v="ВАЗЕЛИН 30Г. МАЗЬ Д/НАРУЖ.ПРИМ. ТУБА /МУРОМСКИЙ/"/>
        <s v="ВАЗЕЛИНОВОЕ МАСЛО Д/ПРИЕМА ВНУТРЬ 100МЛ. №1 ФЛ. /ФЛОРА КАВКАЗА/"/>
        <s v="ВАЛЕМИДИН 25МЛ. КАПЛИ Д/ПРИЕМА ВНУТРЬ ФЛ."/>
        <s v="ВАЛЕРИАНА ЭКСТРАКТ 20МГ. №50 ТАБ. П/О /БОРИСОВСКИЙ/"/>
        <s v="ВАЛЕРИАНЫ НАСТОЙКА 25МЛ. ФЛ. /ГИППОКРАТ/"/>
        <s v="ВАЛИДОЛ 50МГ. №40 КАПС. ПОДЪЯЗЫЧ. /ЛЮМИ/"/>
        <s v="ВАЛИДОЛ 60МГ. №10 ТАБ. ПОДЪЯЗЫЧ. /ТАТХИМФАРМПРЕПАРАТЫ/"/>
        <s v="ВАЛИДОЛ 60МГ. №10 ТАБ. ПОДЪЯЗЫЧ. /ФАРМСТАНДАРТ/"/>
        <s v="ВАЛОКОРДИН 20МЛ. КАПЛИ Д/ПРИЕМА ВНУТРЬ ФЛ./КАП."/>
        <s v="ВАЛОСЕРДИН 25МЛ. КАПЛИ Д/ПРИЕМА ВНУТРЬ ФЛ. /МОСФАРМА/"/>
        <s v="ВАЛЬСАКОР 80МГ. №30 ТАБ. П/П/О /KRKA/"/>
        <s v="ВАЛЬСАКОР Н 160МГ.+12,5МГ. №90 ТАБ. П/П/О /KRKA/"/>
        <s v="ВЕЗИКАР 5МГ. №30 ТАБ. П/П/О /АСТЕЛЛАС/"/>
        <s v="ВЕНТОЛИН 100МКГ/ДОЗА 200ДОЗ №1 АЭРОЗОЛЬ Д/ИНГ. /ГЛАКСО/"/>
        <s v="ВЕРАПАМИЛ 80МГ. №30 ТАБ. П/О /АЛКАЛОИД/"/>
        <s v="ВЕРОШПИРОН 25МГ. №20 ТАБ. /ГЕДЕОН РИХТЕР/"/>
        <s v="ВЕРОШПИРОН 50МГ. №30 КАПС. /ГЕДЕОН РИХТЕР/"/>
        <s v="ВЕССЕЛ ДУЭ Ф 250ЕД №60 КАПС."/>
        <s v="ВИЛЬПРАФЕН СОЛЮТАБ 1000МГ. №10 ТАБ. ДИСПЕРГ. /АСТЕЛЛАС/"/>
        <s v="ВИНПОЦЕТИН ФОРТЕ КАНОН 10МГ. №30 ТАБ. /КАНОНФАРМА/"/>
        <s v="ВИПИДИЯ 25МГ. №28 ТАБ. П/П/О /ТАКЕДА/"/>
        <s v="ВИТАЛОР ЛЕДЕНЦ.КАРАМЕЛЬ АНИС+ВИТ.С 60Г."/>
        <s v="ВИТАМИН Д3 ХОЛЕКАЛЬЦИФЕРОЛ 2000МЕ 570МГ. №30 КАПС. /РЕАЛКАПС/"/>
        <s v="ВИТАМИР ЯНТАРНАЯ КИСЛОТА ФОРТЕ 620МГ. №30 ТАБ. /КВАДРАТ-С/"/>
        <s v="ВИТАПРОСТ 10МГ. №10 СУПП. РЕКТ. /НИЖФАРМ/"/>
        <s v="ВИФЕРОН 40000МЕ 12Г. МАЗЬ Д/МЕСТ. И НАРУЖ.ПРИМ. ТУБА /ФЕРОН/"/>
        <s v="ВОДА 2МЛ. №10 Д/ИН. АМП. /НОВОСИБХИМФАРМ/"/>
        <s v="ВОДА 2МЛ. №10 Д/ИН. АМП. /ФАРМАСИНТЕЗ/"/>
        <s v="ВОЛЬТАРЕН 25МГ/МЛ. 3МЛ. №5 Р-Р Д/В/М АМП. /НОВАРТИС/ГЛАКСО/"/>
        <s v="ВОЛЬТАРЕН ЭМУЛЬГЕЛЬ 2% 100Г. ГЕЛЬ Д/НАРУЖ.ПРИМ. ТУБА"/>
        <s v="ВОЛЬТАРЕН ЭМУЛЬГЕЛЬ 2% 50Г. ГЕЛЬ Д/НАРУЖ.ПРИМ. ТУБА"/>
        <s v="ГАСТАЛ №12 ТАБ. Д/РАСС."/>
        <s v="ГЕВИСКОН МЯТА №24 ТАБ.ЖЕВ."/>
        <s v="ГЕКСАЛИЗ №30 ТАБ. Д/РАСС."/>
        <s v="ГЕКСОРАЛ ТАБС №20 ТАБ. Д/РАСС."/>
        <s v="ГЕКСОРАЛ ТАБС КЛАССИК №16 АПЕЛЬСИН ТАБ. Д/РАСС."/>
        <s v="ГЕКСОРАЛ ТАБС КЛАССИК №16 ЛИМОН ТАБ. Д/РАСС."/>
        <s v="ГЕЛАДРИНК ФОРТЕ ПОР. Д/ПРИЕМА ВНУТРЬ АПЕЛЬСИН 420Г. БАНКА"/>
        <s v="ГЕМАТОГЕН РУССКИЙ ДЕТСКИЙ 40Г. ПЛИТКА /ФАРМ-ПРО/"/>
        <s v="ГЕМАТОГЕН РУССКИЙ КЕДРОВЫЙ ОРЕХ 40Г. ПЛИТКА /ФАРМ-ПРО/"/>
        <s v="ГЕПАРИНОВАЯ 25Г. МАЗЬ Д/НАРУЖ.ПРИМ. ТУБА /ЗЕЛЕНАЯ ДУБРАВА/"/>
        <s v="ГЕПАРИНОВАЯ 25Г. МАЗЬ Д/НАРУЖ.ПРИМ. ТУБА /НИЖФАРМ/"/>
        <s v="ГИДРОКОРТИЗОН 0,5% 3Г. ГЛ. МАЗЬ ТУБА /ВАЛЕАНТ/ ЕЛЬФА/"/>
        <s v="ГИДРОКОРТИЗОН 1% 10Г. МАЗЬ Д/НАРУЖ.ПРИМ. ТУБА /НИЖФАРМ/"/>
        <s v="ГИДРОПЕРИТ 1,5Г. №8 ТАБ. Д/Р-РА Д/МЕСТ. И НАРУЖ.ПРИМ. /ТАТХИМФАРМПРЕПАРАТЫ/"/>
        <s v="ГИНКОУМ 40МГ. №60 КАПС. /ЭВАЛАР/"/>
        <s v="ГИОКСИЗОН 10Г. 10МГ.+30МГ/Г. МАЗЬ Д/МЕСТ. И НАРУЖ.ПРИМ. ТУБА /МУРОМСКИЙ/"/>
        <s v="ГИПОСАРТ 16МГ. №28 ТАБ."/>
        <s v="ГИПОСАРТ 8МГ. №28 ТАБ."/>
        <s v="ГЛИЦЕРИН 2,11Г. №10 СУПП. РЕКТ. /НИЖФАРМ/"/>
        <s v="ГЛИЦИН 100МГ. №100 ТАБ. ПОДЪЯЗЫЧ. /БИОТИКИ/"/>
        <s v="ГЛИЦИН 100МГ. №50 ТАБ. ПОДЪЯЗЫЧ. /БИОТИКИ/"/>
        <s v="ГЛИЦИН ФОРТЕ 300/600МГ. №60 ТАБ. Д/РАСС. /ЭВАЛАР/"/>
        <s v="ГЛИЦИН ФОРТЕ 500/580МГ. №60 ТАБ. Д/РАСС. /ЭВАЛАР/"/>
        <s v="ГЛЮКОЗА 40% 10МЛ. №10 Р-Р Д/ИН. АМП. /ДАЛЬХИМФАРМ/"/>
        <s v="ГЛЮКОЗА 5% 200МЛ. №28 Р-Р Д/ИНФ. БУТ. /МОСФАРМ/"/>
        <s v="ГЛЮКОФАЖ ЛОНГ 1000МГ. №60 ТАБ.ПРОЛОНГ. /МЕРК САНТЭ/"/>
        <s v="ГОРЧИЧНИКИ-ПАКЕТ №20"/>
        <s v="ГРАММИДИН ДЕТСК. 1,5МГ+1МГ. №18 ТАБ. 4+"/>
        <s v="ГРАММИДИН НЕО 3МГ+1МГ. №18 ТАБ. Д/РАСС."/>
        <s v="ГРАММИДИН НЕО С АНЕСТЕТИКОМ №18 ТАБ. Д/РАСС."/>
        <s v="ГРИППФЕРОН 10000МЕ/МЛ. 500МЕ/ДОЗА 10МЛ. 200ДОЗ НАЗАЛ.СПРЕЙ ФЛ. /ФИРН М/"/>
        <s v="ГУБКА ГЕМОСТАТ. КОЛЛАГЕН. С СЕРЕБРОМ 50Х50Х7ММ №10 /ЗЕЛЕНАЯ ДУБРАВА/"/>
        <s v="ГУТТАСИЛ 7,5МГ/МЛ. 30МЛ. КАПЛИ Д/ПРИЕМА ВНУТРЬ ФЛ."/>
        <s v="Д.ТАЙСС АНГИ СЕПТ ЛИМОН №24 ТАБ. Д/РАСС."/>
        <s v="Д.ТАЙСС АНГИ СЕПТ МЕД+ЛИПА №24 ТАБ. Д/РАСС."/>
        <s v="ДАНТИНОРМ БЕБИ 1МЛ. №10 Р-Р Д/ВНУТР. Д/СНЯТ.ВОСПАЛ. ДЕСЕН ПРИ ПРОРЕЗ"/>
        <s v="ДЕЗЛОРАТАДИН-ВЕЛФАРМ 5МГ. №10 ТАБ. П/О"/>
        <s v="ДЕКАРИС 150МГ. №1 ТАБ. /ГЕДЕОН РИХТЕР/"/>
        <s v="ДЕКАРИС 50МГ. №2 ТАБ. /ГЕДЕОН РИХТЕР/"/>
        <s v="ДЕКСАМЕТАЗОН 0,1% 10МЛ. ГЛ.КАПЛИ ФЛ. /РОМФАРМ/"/>
        <s v="ДЕКСАМЕТАЗОН РЕНЕВАЛ 0,1% 10МЛ. №1 ГЛ.КАПЛИ ТЮБ./КАП. /RENEWAL/"/>
        <s v="ДЕКСАМЕТАЗОН-ФЕРЕЙН 4МГ/МЛ. 1МЛ. №25 Р-Р Д/В/В,В/М АМП. /ФЕРЕЙН/"/>
        <s v="ДЕ-НОЛ 120МГ. №32 ТАБ. П/П/О /АСТЕЛЛАС/"/>
        <s v="ДЕПАНТОЛ 100МГ.+16МГ. №10 СУПП. ВАГ. /НИЖФАРМ/"/>
        <s v="ДЕРМОВЕЙТ 0,05% 25Г. КРЕМ Д/НАРУЖ.ПРИМ. ТУБА"/>
        <s v="ДЕСИТИН 57Г./50МЛ. КРЕМ ТУБА"/>
        <s v="ДЕТРАЛЕКС 1000МГ. №60 ТАБ. П/П/О"/>
        <s v="ДЕТРАЛЕКС 500МГ. №30 ТАБ. П/П/О"/>
        <s v="ДЕТРИМАКС 2000 240МГ. №60 ТАБ. П/О"/>
        <s v="ДИАБЕТОН МВ 60МГ. №30 ТАБ. МОДИФ.ВЫСВ. /СЕРВЬЕ/"/>
        <s v="ДИАДЕРМ КРЕМ-ТАЛЬК Д/ТЕЛА П/ОПРЕЛОСТЕЙ 75МЛ. /АВАНТА/"/>
        <s v="ДИАЗОЛИН 100МГ. №10 ДРАЖЕ /ФАРМСТАНДАРТ-УФАВИТА/"/>
        <s v="ДИАКАРБ 250МГ. №30 ТАБ. /АКРИХИН/"/>
        <s v="ДИВАЗА №100 ТАБ. Д/РАСС."/>
        <s v="ДИГОКСИН 250МКГ. №50 ТАБ. /ГЕДЕОН РИХТЕР/"/>
        <s v="ДИКЛОФЕНАК 1% 40Г. ГЕЛЬ Д/НАРУЖ.ПРИМ. ТУБА /ХЕМОФАРМ/"/>
        <s v="ДИКЛОФЕНАК 100МГ. №10 СУПП. РЕКТ. /ДАЛЬХИМФАРМ/"/>
        <s v="ДИКЛОФЕНАК 100МГ. №20 ТАБ.ПРОЛОНГ. П/О /НИЖФАРМ/ХЕМОФАРМ/"/>
        <s v="ДИКЛОФЕНАК 25МГ/МЛ. 3МЛ. №5 Р-Р Д/В/М ВВЕД. АМП. /ХЕМОФАРМ/"/>
        <s v="ДИКЛОФЕНАК 50МГ. №20 ТАБ.КШ/РАСТВ. П/О /ХЕМОФАРМ/"/>
        <s v="ДИКЛОФЕНАК-АКОС 5% 100Г. ГЕЛЬ Д/НАРУЖ.ПРИМ. ТУБА /СИНТЕЗ/"/>
        <s v="ДИКЛОФЕНАК-АКОС 5% 50Г. ГЕЛЬ Д/НАРУЖ.ПРИМ. ТУБА /СИНТЕЗ/"/>
        <s v="ДИМЕДРОЛ 10МГ/МЛ. 1МЛ. №10 Р-Р Д/В/В,В/М АМП. /ВЕЛФАРМ/"/>
        <s v="ДИМЕКСИД 99% 100МЛ. КОНЦ. Д/Р-РА Д/НАРУЖ.ПРИМ. ФЛ. /ЙОДНЫЕ ТЕХНОЛОГИИ И МАРКЕТИНГ/"/>
        <s v="ДИОКСИДИН 5МГ/МЛ. 10МЛ. №10 Р-Р Д/ИНФ. И НАРУЖ.ПРИМ. АМП. /ВАЛЕНТА/НОВОСИБХИМФАРМ/ФЕРМЕНТ/ГРОТЕКС/"/>
        <s v="ДИФЛЮКАН 150МГ. №1 КАПС. /ПФАЙЗЕР/"/>
        <s v="ДОКСИЦИКЛИН СОЛЮШН ТАБЛЕТС 100МГ. №10 ТАБ.ДИСПЕРГ. /АТОЛЛ/ОЗОН/"/>
        <s v="ДОКТОР МОМ №20 ПАСТИЛКИ АПЕЛЬСИН"/>
        <s v="ДОКТОР ПЕРЕЦ ЛЕЙКОПЛАСТ. ПЕРЦОВЫЙ 10X18 №1 ПЕРФ. /ВЕРОФАРМ/"/>
        <s v="ДОКТОР ПЕРЕЦ ЛЕЙКОПЛАСТ. ПЕРЦОВЫЙ 6X10 №1 ПЕРФ. /ВЕРОФАРМ/"/>
        <s v="ДОЛГИТ 5% 100Г. КРЕМ Д/НАРУЖ.ПРИМ. ТУБА /ДОЛОРГИТ/"/>
        <s v="ДОНА 750МГ. №60 ТАБ. П/О"/>
        <s v="ДОНАТ МАГНИЙ ВОДА ГАЗ. 1Л. ПЭТ [DONAT]"/>
        <s v="ДОНОРМИЛ 15МГ. №30 ТАБ. П/П/О"/>
        <s v="ДОППЕЛЬГЕРЦ АКТИВ ГЛИЦИН+ВИТ.В №30 КАПС."/>
        <s v="ДОППЕЛЬГЕРЦ АКТИВ МАГНИЙ+ВИТ. ГРУППЫ В №30 ТАБ."/>
        <s v="ДОППЕЛЬГЕРЦ АКТИВ ОМЕГА-3 №80 КАПС."/>
        <s v="ДОРЗОПТ ПЛЮС 20+5МГ/МЛ. 5МЛ. ГЛ.КАПЛИ ФЛ./КАП."/>
        <s v="ДОРИТРИЦИН №10 ТАБ. Д/РАСС."/>
        <s v="ДРАЖЕ ВЕЧЕРНЕЕ №100 ВАЛЕРИАНА+ХМЕЛЬ+МЯТА /ПАРАФАРМ/"/>
        <s v="ДРАПОЛЕН 55Г. КРЕМ Д/НАРУЖ.ПРИМ. ТУБА"/>
        <s v="ДЮСПАТАЛИН 200МГ. №30 КАПС. РЕТАРД /ЭББОТТ/"/>
        <s v="ДЮФАЛАК 667МГ/МЛ. 1000МЛ. СИРОП ФЛ. +МЕРН.СТАКАН /ЭББОТТ/СОЛВЕЙ/"/>
        <s v="ДЮФАЛАК 667МГ/МЛ. 200МЛ. СИРОП ФЛ. +МЕРН.СТАКАН /ЭББОТТ/СОЛВЕЙ/"/>
        <s v="ДЮФАЛАК 667МГ/МЛ. 500МЛ. СИРОП ФЛ. +МЕРН.СТАКАН /ЭББОТТ/СОЛВЕЙ/"/>
        <s v="ЕССЕНТУКИ ВОДА МИНЕР. №17 0,45Л. ГАЗ. СТЕКЛО"/>
        <s v="ЗВЕЗДОЧКА НОЗ 0,1% 15МЛ. НАЗАЛ.СПРЕЙ ФЛ. +РАСП."/>
        <s v="ЗВЕЗДОЧКА ФЛЮ ЛИМОН 15Г. №5 ПОР. Д/Р-РА Д/ПРИЕМА ВНУТРЬ ПАК."/>
        <s v="ЗВЕРОБОЯ ТРАВА 50Г. /КРАСНОГОРСК/"/>
        <s v="ЗИННАТ 250МГ. №10 ТАБ. П/П/О /ГЛАКСО/"/>
        <s v="ЗОЛОТОЙ ШЕЛК ШАМПУНЬ-УКРЕП. КОРНЕЙ П/ВЫПАД. 400МЛ."/>
        <s v="ЗУЛА ЛЕДЕНЦЫ МУЛЬТИВИТАМИН +ВИТ.С 60Г. Б/САХ. ПАК. [SULA]"/>
        <s v="ЗУЛА ЛЕДЕНЦЫ ЭВКАЛИПТ +ВИТ.С 60Г. Б/САХ. ПАК. [SULA]"/>
        <s v="ИБУКЛИН 100МГ.+125МГ. №20 ТАБ. Д/ДЕТЕЙ (ЮНИОР)"/>
        <s v="ИБУКЛИН 400МГ.+325МГ. №10 ТАБ. П/П/О"/>
        <s v="ИБУПРОФЕН 200МГ. №50 ТАБ. П/О /БОРИСОВСКИЙ/"/>
        <s v="ИБУПРОФЕН-ВЕРТЕ 5% 50Г. ГЕЛЬ Д/НАРУЖ.ПРИМ. ТУБА /ВЕРТЕКС/"/>
        <s v="ИМОДИУМ ЭКСПРЕСС 2МГ. №10 ТАБ.ЛИОФ. /ЯНССЕН/"/>
        <s v="ИНГАВИРИН 90МГ. №10 КАПС. /ВАЛЕНТА/"/>
        <s v="ИНГАЛИПТ-ВИАЛАЙН ГОТОВОЕ ПОЛОСКАНИЕ 200МЛ. Р-Р ФЛ."/>
        <s v="ИНДАП 2,5МГ. №30 КАПС. /ПРО.МЕД.ЦС/"/>
        <s v="ИНДАПАМИД 2,5МГ. №30 ТАБ. П/О /КАНОНФАРМА/"/>
        <s v="ИНДАПАМИД 2,5МГ. №30 ТАБ. П/О /ХЕМОФАРМ/"/>
        <s v="ИНДАПАМИД МВ ШТАДА 1,5МГ. №30 ТАБ.ПРОЛОНГ. П/О /НИЖФАРМ/"/>
        <s v="ИНДОМЕТАЦИН-АЛЬТФАРМ 100МГ. №10 СУПП. РЕКТ."/>
        <s v="ИНДОМЕТАЦИН-СОФАРМА 25МГ. №30 ТАБ.КШ/РАСТВ. П/О"/>
        <s v="ИНЪЕКТРАН 100МГ/МЛ. 2МЛ. №10 Р-Р Д/В/М АМП."/>
        <s v="ИРУНИН 100МГ. №14 КАПС. /ВЕРОФАРМ/"/>
        <s v="ЙОДА 5% 10МЛ. СПИРТ. Р-Р ФЛ. /ЯРОСЛАВСКАЯ ФФ/"/>
        <s v="ЙОДА 5% 25МЛ. №1 СПИРТ. Р-Р Д/НАРУЖ.ПРИМ. ФЛ. /ТУЛЬСКАЯ ФФ/"/>
        <s v="ЙОДОМАРИН 200 №100 ТАБ. /БЕРЛИН ХЕМИ/"/>
        <s v="КАГОЦЕЛ 12МГ. №10 ТАБ. /НИАРМЕДИК ПЛЮС/"/>
        <s v="КАЛЕНДУЛА №10 СУПП.РЕКТ. ГОМЕОПАТ. /МОСФАРМА/"/>
        <s v="КАЛЕНДУЛЫ НАСТОЙКА 25МЛ. ФЛ. /ГИППОКРАТ/"/>
        <s v="КАЛИНОВ РОДНИК ВОДА МИНЕР. 0,5Л. Н/ГАЗ."/>
        <s v="КАЛЧЕК 5МГ. №30 ТАБ. /ИПКА/"/>
        <s v="КАЛЬЦЕМИН АДВАНС №60 ТАБ. П/П/О"/>
        <s v="КАЛЬЦИЙ Д3 НИКОМЕД 500МГ.+200МЕ №60 КЛУБНИКА+АРБУЗ ТАБ.ЖЕВ."/>
        <s v="КАЛЬЦИЯ ГЛЮКОНАТ 10% 5МЛ. №10 Р-Р Д/В/В,В/М ВВЕД. АМП. /АТОЛЛ/ОЗОН/"/>
        <s v="КАМЕТОН 45Г. АЭРОЗОЛЬ Д/МЕСТ.ПРИМ. БАЛЛОН /ФАРМСТАНДАРТ ЛЕКСРЕДСТВА/"/>
        <s v="КАМФОРНЫЙ СПИРТ 10% 40МЛ. №1 Р-Р Д/НАРУЖ.ПРИМ. ФЛ. /ИВАНОВСКАЯ ФФ/"/>
        <s v="КАНЕФРОН Н №120 ТАБ. П/О"/>
        <s v="КАНЕФРОН Н №60 ТАБ. П/О"/>
        <s v="КАПИЛАР 250МГ. №200 ТАБ."/>
        <s v="КАПОТЕН 25МГ. №28 ТАБ. /АКРИХИН/"/>
        <s v="КАПТОПРИЛ 50МГ. №20 ТАБ. /ОЗОН/"/>
        <s v="КАРБАМАЗЕПИН-АЛСИ 200МГ. №40 ТАБ. /АЛСИ/"/>
        <s v="КАРДИАСК МАГНИЙ 75МГ.+15,2МГ. №100 ТАБ. П/П/О /КАНОНФАРМА/"/>
        <s v="КАРДИКЕТ 20МГ. №50 ТАБ.ПРОЛОНГ. /ЮСБ ФАРМА/ЭЙСИКА/"/>
        <s v="КАРДИОАКТИВ ТАУРИН 500МГ. №60 ТАБ. /ЭВАЛАР/"/>
        <s v="КАРДИОМАГНИЛ 75МГ.+15,2МГ. №100 ТАБ."/>
        <s v="Карта LOYALITY 0,01Р"/>
        <s v="Карта LOYALITY 25Р"/>
        <s v="КАТАЛИН 750МГ. ТАБ. +15МЛ. Р-ЛЬ ГЛ.КАПЛИ"/>
        <s v="КАФФЕТИН ЛАЙТ №12 ТАБ."/>
        <s v="КЕСТИН 20МГ. №10 ТАБ. П/О"/>
        <s v="КЕТОНАЛ 50МГ/МЛ. 2МЛ. №10 Р-Р Д/В/В,В/М АМП. /ЛЕК/"/>
        <s v="КЕТОПРОФЕН-АКОС 5% 50Г. ГЕЛЬ Д/НАРУЖ.ПРИМ. ТУБА /СИНТЕЗ/"/>
        <s v="КЕТОРОЛ 30МГ/МЛ. 1МЛ. №10 Р-Р Д/ИН. АМП. /Д-Р РЕДДИС/"/>
        <s v="КЕТОРОЛ ЭКСПРЕСС 10МГ. №20 ТАБ. ДИСПЕРГ. /Д-Р РЕДДИС/"/>
        <s v="КЕТОРОЛАК 10МГ. №14 ТАБ. П/П/О /ОБНОВЛЕНИЕ/"/>
        <s v="КЕТОРОЛАК 10МГ. №28 ТАБ. П/П/О /ОБНОВЛЕНИЕ/"/>
        <s v="КИЕВГУМА БИНТ МАРТЕНСА 3,5М."/>
        <s v="КЛАРИТРОМИЦИН 500МГ. №14 ТАБ. П/П/О /РЕПЛЕКФАРМ/БЕРЕЗОВСКИЙ/"/>
        <s v="КЛАРИТРОМИЦИН-ВЕРТЕ 500МГ. №14 ТАБ. П/П/О /ВЕРТЕКС/"/>
        <s v="КЛИРВИН КРЕМ (ПЯТНА,ШРАМЫ) 25Г."/>
        <s v="КЛОПИДОГРЕЛ-СЗ 75МГ. №28 ТАБ. П/П/О /СЕВЕРНАЯ ЗВЕЗДА/"/>
        <s v="КЛОТРИМАЗОЛ 1% 20Г. КРЕМ Д/НАРУЖ.ПРИМ. ТУБА /ХИПЕРИОН/РУМЫНИЯ/"/>
        <s v="КО-ВАМЛОСЕТ 5МГ.+160МГ.+12,5МГ. №30 ТАБ. П/П/О"/>
        <s v="КО-ДАЛЬНЕВА 5МГ+0,625МГ.+2МГ. №30 ТАБ."/>
        <s v="КОДЕЛАК НЕО 1,5МГ/МЛ. 100МЛ. №1 СИРОП ФЛ."/>
        <s v="КОКАРНИТ 187,125МГ. №3 ЛИОФ. Д/Р-РА Д/В/М АМП. +Р-ЛЬ 2МЛ. №3 АМП."/>
        <s v="КОЛГЕЙТ ЗУБ.ЩЕТКА МАССАЖЕР МЯГКАЯ [COLGATE]"/>
        <s v="КОЛДАКТ ФЛЮ ПЛЮС №10 КАПС.ПРОЛОНГ"/>
        <s v="КОЛЕТЕКС КОЛЕГЕЛЬ-ДНК-Л ДЕРИНАТ+ЛИДОКАИН 100МЛ. ТУБА (САЛФЕТКА ГИДРОГЕЛЕВ.)"/>
        <s v="КОМБИЛИПЕН 2МЛ. №10 Р-Р Д/В/М АМП."/>
        <s v="КОМБИЛИПЕН ТАБС №60 ТАБ. П/П/О"/>
        <s v="КОМПЛИВИТ №60 ТАБ. П/О"/>
        <s v="КОМПЛИВИТ КАЛЬЦИЙ Д3 500МГ.+200МЕ АПЕЛЬСИН №30 ТАБ.ЖЕВ."/>
        <s v="КОНКОР 10МГ. №30 ТАБ. П/П/О /МЕРК/"/>
        <s v="КОНКОР 5МГ. №30 ТАБ. П/П/О /МЕРК/"/>
        <s v="КОНКОР КОР 2,5МГ. №30 ТАБ. П/П/О /МЕРК/"/>
        <s v="КОНТЕЙНЕР Д/СБОРА БИОМАТЕРИАЛА 100МЛ. СТЕР. (БАНКА)"/>
        <s v="КОНТЕЙНЕР Д/СБОРА БИОМАТЕРИАЛА 120МЛ. УНИВЕРС. СТЕР. (БАНКА)"/>
        <s v="КОНТЕЙНЕР Д/СБОРА БИОМАТЕРИАЛА 60МЛ. +ШПАТЕЛЬ СТЕР. И/У (БАНКА)"/>
        <s v="КОНТЕКС ПРЕЗЕРВАТИВ LIGHTS ОСОБО ТОНКИЕ №12 [CONTEX]"/>
        <s v="КОРВАЛОЛ 25МЛ. КАПЛИ Д/ПРИЕМА ВНУТРЬ ФЛ. И/У /ФАРМСТАНДАРТ ЛЕКСРЕДСТВА/"/>
        <s v="КОРВАЛОЛ №20 ТАБ. /ЮЖФАРМ/"/>
        <s v="КОРВАЛОЛ ФИТО 50МЛ. КАПЛИ Д/ПРИЕМА ВНУТРЬ ФЛ. И/У"/>
        <s v="КОРЕГА ТАБС БИОФОРМУЛА Д/ЧИСТ. ЗУБ.ПРОТЕЗОВ №30 ТАБ. [COREGA]"/>
        <s v="КОРНЕРЕГЕЛЬ 5% 10Г. ГЛ. ГЕЛЬ ТУБА"/>
        <s v="КОТЕКС ПРОКЛАДКИ УЛЬТРА СУПЕР СОФТ №8 [KOTEX]"/>
        <s v="КРЕМ ДЕТСКИЙ РОМАШКА+ВИТ.А+F 75МЛ. /АВАНТА/"/>
        <s v="КРЕОН 10000 №20 КАПС. КШ/РАСТВ. ФЛ. /ЭББОТТ/"/>
        <s v="КРЕОН 25000 №20 КАПС. КШ/РАСТВ. ФЛ. /ЭББОТТ/"/>
        <s v="КСАЛАТАН 0,005% 2,5МЛ. №1 ГЛ.КАПЛИ ФЛ./КАП."/>
        <s v="КСАЛАТАН 0,005% 2,5МЛ. №3 ГЛ.КАПЛИ ФЛ./КАП."/>
        <s v="КСАРЕЛТО 10МГ. №98 ТАБ. П/П/О /БАЙЕР/"/>
        <s v="КСИЛЕН 0,05% 10МЛ. №1 НАЗАЛ.КАПЛИ ФЛ./КАП. /ВЕРОФАРМ/"/>
        <s v="КСИЛЕН 0,1% 20МЛ. №1 НАЗАЛ.КАПЛИ ФЛ./КАП. /ВЕРОФАРМ/"/>
        <s v="КСИМЕЛИН ЭКСТРА 84МКГ/ДОЗА+70МКГ/ДОЗА 10МЛ. №1 НАЗАЛ.СПРЕЙ ДОЗИР. ФЛ."/>
        <s v="ЛАКОМКА ПОМАДА ГИГИЕН. ЯГОДНЫЙ МИКС 2,8Г. /АВАНТА/"/>
        <s v="ЛАКТОФИЛЬТРУМ 500МГ. №30 ТАБ."/>
        <s v="ЛАПЧАТКА КОРНЕВИЩА 2,5Г. №20 ПАК. /КРАСНОГОРСК/"/>
        <s v="ЛАПЧАТКА КОРНЕВИЩА 50Г. ПАК. /ЗДОРОВЬЕ/"/>
        <s v="ЛАРИПРОНТ №20 ТАБ. Д/РАСС."/>
        <s v="ЛЕВОМЕКОЛЬ 40МГ/Г.+7,5МГ/Г. 40Г. №1 МАЗЬ Д/НАРУЖ.ПРИМ. ТУБА /НИЖФАРМ/"/>
        <s v="ЛЕВОМИЦЕТИН 0,25% 10МЛ. №1 ГЛ.КАПЛИ ФЛ./КАП. /ЛЕККО/"/>
        <s v="ЛЕВОМИЦЕТИН 1% 25МЛ. №1 СПИРТ. Р-Р Д/НАРУЖ.ПРИМ. ФЛ./КАП. /ТУЛЬСКАЯ ФФ/"/>
        <s v="ЛЕВОФЛОКСАЦИН 500МГ. №10 ТАБ. П/П/О /ФАРМСТАНДАРТ-ТОМСКХИМФАРМ/"/>
        <s v="ЛЕДЕНЦЫ СИЛА ЧЕТЫРЕХ ТРАВ ЛАКРИЧНЫЕ 50Г."/>
        <s v="ЛЕЙКО ПЛАСТЫРЬ МОЗОЛЬНЫЙ №6 [LEIKO]"/>
        <s v="ЛЕЙКОПЛАСТЫРЬ 1Х500 РУЛОН КОНТ.УПАКОВКА/ПАКЕТ /ВЕРОФАРМ/"/>
        <s v="ЛЕЙКОПЛАСТЫРЬ 2Х500 ТКАН.ОСНОВА КАТУШКА КАРТОН /ВЕРОФАРМ/"/>
        <s v="ЛЕЙКОПЛАСТЫРЬ 4Х500 ТКАН.ОСНОВА КАТУШКА КАРТОН /ВЕРОФАРМ/"/>
        <s v="ЛЕЙКОПЛАСТЫРЬ 5Х500 ТКАН.ОСНОВА КАТУШКА КАРТОН /ВЕРОФАРМ/"/>
        <s v="ЛЕЙКОПЛАСТЫРЬ БАКТЕР. 2,5Х7,2 №1 /ВЕРОФАРМ/"/>
        <s v="ЛЕЙКОПЛАСТЫРЬ БАКТЕР. 4Х10 №1 /ВЕРОФАРМ/"/>
        <s v="ЛЕЙКОПЛАСТЫРЬ БАКТЕР. 6X10 №1 /ВЕРОФАРМ/"/>
        <s v="ЛЕККЕР-БЗ БРИЛЛИАНТОВЫЙ ЗЕЛЕНЫЙ 1% 5МЛ. СПИРТ. Р-Р ФЛОМАСТЕР"/>
        <s v="ЛЕККЕР-ЙОДА 5% 5МЛ. СПИРТ. Р-Р КАРАНДАШ"/>
        <s v="ЛЕКРОЛИН 20МГ/МЛ. 10МЛ. №1 ГЛ.КАПЛИ ФЛ. /САНТЭН/"/>
        <s v="ЛЕРКАНИДИПИН-СЗ 10МГ. №30 ТАБ.П/О /СЕВЕРНАЯ ЗВЕЗДА/"/>
        <s v="ЛЕСНОЙ БАЛЬЗАМ ОПОЛАСК. Д/РТА П/КРОВОТОЧИВОСТИ ДЕСЕН КОРА ДУБА+ПИХТА 250МЛ."/>
        <s v="ЛЕСПЕФРИЛ 100МЛ. Р-Р Д/ПРИЕМА ВНУТРЬ ФЛ. /ВИФИТЕХ/"/>
        <s v="ЛИВ-52 №100 ТАБ."/>
        <s v="ЛИДОКАИН 20МГ/МЛ. 2МЛ. №10 Р-Р Д/ИН. АМП. /ДАЛЬХИМФАРМ/"/>
        <s v="ЛИДОКАИН 20МГ/МЛ. 2МЛ. №10 Р-Р Д/ИН. АМП. /СЛАВЯНСКАЯ АПТЕКА/"/>
        <s v="ЛИЗИНОПРИЛ 10МГ. №30 ТАБ. /ВЕРТЕКС/"/>
        <s v="ЛИЗИНОПРИЛ 10МГ. №60 ТАБ. /ВЕРТЕКС/"/>
        <s v="ЛИЗИНОПРИЛ 5МГ. №30 ТАБ. /ВЕРТЕКС/"/>
        <s v="ЛИНЕКС ФОРТЕ №7 КАПС. /ЛЕК/"/>
        <s v="ЛИПРИМАР 10МГ. №30 ТАБ. П/П/О /ГЕДЕКЕ/ПФАЙЗЕР/"/>
        <s v="ЛИТТЛ ДОКТОР ТОНОМЕТР LD-51U АВТОМАТ НА ПЛЕЧО 22-42СМ. +АДАПТЕР [LITTLE DOCTOR]"/>
        <s v="ЛОГЕСТ 75МКГ.+20МКГ. №21 ТАБ. П/О"/>
        <s v="ЛОЗАРТАН-КАНОН 100МГ. №60 ТАБ. П/О /КАНОНФАРМА/"/>
        <s v="ЛОНГИДАЗА 3000МЕ №10 СУПП. РЕКТ./ВАГИН."/>
        <s v="ЛОПЕДИУМ 2МГ. №10 ТАБ. /САЛЮТАС/"/>
        <s v="ЛОПЕРАМИД-АКРИХИН 2МГ. №20 КАПС. /АКРИХИН/"/>
        <s v="ЛОРАГЕКСАЛ 10МГ. №10 ТАБ. /ГЕКСАЛ АГ/"/>
        <s v="ЛОРАТАДИН 10МГ. №30 ТАБ. /ВЕРТЕКС/"/>
        <s v="ЛОРАТАДИН 10МГ. №30 ТАБ. /ОЗОН/"/>
        <s v="ЛОРИСТА 12,5МГ. №30 ТАБ. П/П/О /KRKA/"/>
        <s v="ЛОРИСТА 25МГ. №30 ТАБ. П/П/О /KRKA/"/>
        <s v="ЛЮКСПЛАСТ ЛЕЙКОПЛАСТ. БАКТЕР. 19Х72ММ ПЕРФ. ТЕЛЕСН. ПОЛИМЕР. №10 [LUXPLAST]"/>
        <s v="ЛЮКСПЛАСТ ЛЕЙКОПЛАСТ. БАКТЕР. 19Х72ММ ТКАН. ЭЛ.ТЕЛЕСН. №10 [LUXPLAST]"/>
        <s v="МАГНЕ В6 ФОРТЕ №40 ТАБ. П/П/О"/>
        <s v="МАГНЕЛИС В6 №120 ТАБ. П/О"/>
        <s v="МАГНЕЛИС В6 №90 ТАБ. П/О"/>
        <s v="МАКСИКОЛД РИНО МАЛИНА 15Г. №10 ПОР. Д/Р-РА Д/ПРИЕМА ВНУТРЬ ПАК."/>
        <s v="МАКСИЛАК СИНБИОТИК №10 КАПС."/>
        <s v="МАСКА МЕД. ЛАТИО ДЕТСКАЯ ТРЕХСЛОЙНАЯ (3-Х) РИСУНОК №50 И/У [LATIO]"/>
        <s v="МАСКА МЕД. ТРЕХСЛОЙНАЯ (3-Х) НА РЕЗИНКЕ №5"/>
        <s v="МАСЛО ОБЛЕПИХОВОЕ ГОРНОАЛТАЙСКОЕ 100МЛ. ФЛ. И/У /АЛТАЙСКИЙ БУКЕТ/"/>
        <s v="МЕДИКОМЕД ГИАЛУРОНОВАЯ К-ТА ГЕЛЬ КОСМЕТИЧ. 15МЛ. ФЛ."/>
        <s v="МЕЗИМ-ФОРТЕ №20 ТАБ. П/О /БЕРЛИН-ХЕМИ/"/>
        <s v="МЕЗИМ-ФОРТЕ №80 ТАБ. П/О /БЕРЛИН-ХЕМИ/"/>
        <s v="МЕКСИДОЛ 125МГ. №50 ТАБ. П/П/О /ФАРМАСОФТ/ЗИО ЗДОРОВЬЕ/"/>
        <s v="МЕКСИДОЛ ЗУБ.ПАСТА ДЕНТ АКТИВ 100Г. [MEXIDOL]"/>
        <s v="МЕКСИКОР 100МГ. №60 КАПС. /ЭКОФАРМИНВЕСТ/"/>
        <s v="МЕЛАТОНИН 3МГ. №30 ТАБ. П/П/О /ОЗОН/"/>
        <s v="МЕЛАТОНИН-СЗ 3МГ. №60 ТАБ. П/П/О"/>
        <s v="МЕЛОКСИКАМ-ТЕВА 15МГ. №10 ТАБ."/>
        <s v="МЕНОВАЗИН 40МЛ. №1 СПИРТ. Р-Р Д/НАРУЖ.ПРИМ. ФЛ. /САМАРАМЕДПРОМ/"/>
        <s v="МЕНОВАЗИН 40МЛ. №1 СПИРТ. Р-Р Д/НАРУЖ.ПРИМ. ФЛ. /ТУЛЬСКАЯ ФФ/"/>
        <s v="МЕРИДИАН МОЧЕПРИЕМНИК ДЕТСКИЙ PD2200 200МЛ. [MERIDIAN]"/>
        <s v="МЕТИЛУРАЦИЛ 10% 25Г. МАЗЬ Д/МЕСТ. И НАРУЖ.ПРИМ. ТУБА /НИЖФАРМ/"/>
        <s v="МЕТОПРОЛОЛ-ТЕВА 100МГ. №30 ТАБ. /ТЕВА/"/>
        <s v="МЕТРОГИЛ 5МГ/МЛ. 100МЛ. №1 Р-Р Д/ИНФ. ФЛ. /ЮНИК/"/>
        <s v="МЕТРОГИЛ ДЕНТА 20Г. №1 ГЕЛЬ СТОМАТ. ТУБА"/>
        <s v="МЕТРОНИДАЗОЛ 250МГ. №20 ТАБ. /МЕДИСОРБ/"/>
        <s v="МЕТФОРМИН-ТЕВА 500МГ. №60 ТАБ. П/П/О /ТЕВА/"/>
        <s v="МИГ 400МГ. №20 ТАБ. П/П/О /БЕРЛИН-ХЕМИ/"/>
        <s v="МИДОКАЛМ 150МГ. №30 ТАБ. П/П/О /ГЕДЕОН РИХТЕР/"/>
        <s v="МИДОКАЛМ 50МГ. №30 ТАБ. П/П/О /ГЕДЕОН РИХТЕР/"/>
        <s v="МИДРИМАКС 5МЛ. №1 ГЛ.КАПЛИ ФЛ./КАП."/>
        <s v="МИКОДЕРИЛ 1% 10МЛ. №1 Р-Р Д/НАРУЖ.ПРИМ. ФЛ./КАП."/>
        <s v="МИКОСТОП СПРЕЙ Д/НОГ И Д/ОБУВИ ПРОФИЛАКТИКА ГРИБКА 150МЛ. ФЛ."/>
        <s v="МИКРОЛАКС 5МЛ. №12 Р-Р Д/РЕКТ. ВВЕД. МИКРОКЛИЗМА"/>
        <s v="МИКРОЛАКС 5МЛ. №4 Р-Р Д/РЕКТ. ВВЕД. МИКРОКЛИЗМА"/>
        <s v="МИЛДРОНАТ 100МГ/МЛ. 5МЛ. №10 Р-Р Д/В/В,В/М И ПАРАБУЛЬБ. ВВЕД. АМП. /ГРИНДЕКС/"/>
        <s v="МИЛДРОНАТ 500МГ. №30 КАПС. /ГРИНДЕКС/"/>
        <s v="МИЛУРИТ 100МГ. №50 ТАБ. /ЭГИС/"/>
        <s v="МИЛЬГАММА 2МЛ. №10 Р-Р Д/В/М АМП."/>
        <s v="МИЛЬГАММА 2МЛ. №25 Р-Р Д/В/М АМП."/>
        <s v="МИЛЬГАММА КОМПОЗИТУМ 100МГ+100МГ. №60 ТАБ. П/О"/>
        <s v="МИРАМИСТИН 0,01% 150МЛ. №1 Р-Р Д/МЕСТ.ПРИМ. ФЛ. С РАСП."/>
        <s v="МИРРОЛЛА РЕПЕЙНОЕ МАСЛО 100МЛ. ВИТ.А+ВИТ.Е [MIRROLLA]"/>
        <s v="МИРРОЛЛА РЫБИЙ ЖИР ВИТАМИНЫ А+Д+Е 370МГ. №100 КАПС."/>
        <s v="МИРРОЛЛА СУЛЬСЕН ФОРТЕ ШАМПУНЬ 2% КЕТОКОНАЗОЛ 250МЛ. ФЛ."/>
        <s v="МИРРОЛЛА ШАМПУНЬ ЛУКОВЫЙ + КРАСНЫЙ ПЕРЕЦ 150МЛ. [MIRROLLA]"/>
        <s v="МОВАЛИС 7,5МГ. №20 ТАБ."/>
        <s v="МОЕ СОЛНЫШКО БАЛЬЗАМ Д/ГУБ ВАНИЛЬ 2,8Г. СТИК"/>
        <s v="МОЕ СОЛНЫШКО ГЕЛЬ Д/ПОДМЫВ. МЛАДЕНЦЕВ ГИПОАЛЛЕРГ. 400МЛ."/>
        <s v="МОЕ СОЛНЫШКО ГЕЛЬ-КРЕМ Д/КУПАНИЯ АБРИКОСОВЫЙ ОСТРОВ 400МЛ."/>
        <s v="МОЕ СОЛНЫШКО МЫЛО ЖИДКОЕ МАСЛО АВОКАДО 300МЛ. ДОЗАТОР"/>
        <s v="МОЕ СОЛНЫШКО ПЕНКА Д/КУПАНИЯ БАЮ-БАЮШКИ ЛАВАНДА+РОЗ.МАСЛО 200МЛ."/>
        <s v="МОЕ СОЛНЫШКО САЛФЕТКИ ВЛАЖН. ПАНТЕНОЛ №70"/>
        <s v="МОКСОНИДИН-СЗ 0,2МГ. №60 ТАБ. П/П/О /СЕВЕРНАЯ ЗВЕЗДА/"/>
        <s v="МОМАТ РИНО 50МКГ/ДОЗА 60ДОЗ НАЗАЛ.СПРЕЙ ФЛ."/>
        <s v="МОТИЛЕГАЗ ФОРТЕ 120МГ. №20 КАПС."/>
        <s v="МУКАЛТИН 50МГ. №20 ТАБ. /ФАРМСТАНДАРТ/"/>
        <s v="МУКАЛТИН РЕНЕВАЛ 50МГ. №20 ТАБ. /ОБНОВЛЕНИЕ/"/>
        <s v="НАЗИВИН 0,05% 10МЛ. №1 6+ НАЗАЛ.КАПЛИ ФЛ./КАП."/>
        <s v="НАЗИВИН СЕНСИТИВ 22,5МКГ/ДОЗА 10МЛ. №1 6+ НАЗАЛ.СПРЕЙ ФЛ."/>
        <s v="НАЗОНЕКС 50МКГ/ДОЗА 18Г. 120ДОЗ №1 НАЗАЛ.СПРЕЙ ФЛ."/>
        <s v="НАЙЗ 1% 50Г. №1 ГЕЛЬ Д/НАРУЖ.ПРИМ. ТУБА"/>
        <s v="НАЙЗ 100МГ. №20 ТАБ."/>
        <s v="НАЙЗ 100МГ. №30 ТАБ."/>
        <s v="НАЙЗ АКТИВГЕЛЬ 1% 50Г. №1 ГЕЛЬ Д/НАРУЖ.ПРИМ. ТУБА"/>
        <s v="НАНОПЛАСТ ФОРТЕ ПЛАСТЫРЬ ОБЕЗБОЛ. 9Х12СМ. №3"/>
        <s v="НАРЗАН ВОДА МИНЕР. 1Л. ГАЗ. ПЭТ."/>
        <s v="НАСОБЕК 50МКГ/ДОЗА 200ДОЗ №1 НАЗАЛ.СПРЕЙ ФЛ. /ТЕВА/"/>
        <s v="НАТАЛЬСИД 250МГ. №10 СУПП. РЕКТ. /НИЖФАРМ/"/>
        <s v="НАТРИЯ ХЛОРИД 0,9% 100МЛ. №28 Р-Р Д/ИНФ. /ЭСКОМ/"/>
        <s v="НАТУРА МЕДИКА ГЕЛЬ-БАЛЬЗАМ КОНСКИЙ КАШТАН+ТРОКСЕРУТИН Д/НОГ 85МЛ. [NATURA MEDICA]"/>
        <s v="НАТУРИНО ЛЕДЕНЦЫ АПЕЛЬСИН+ВИТАМИНЫ 33,5Г./36,4Г. №8"/>
        <s v="НАТУРИНО ЛЕДЕНЦЫ КЛУБНИКА+ВИТАМИНЫ 33,5Г./36,4Г. №8"/>
        <s v="НАФТИЗИН 0,1% 15МЛ. НАЗАЛ.КАПЛИ ФЛ./КАП. /СЛАВЯНСКАЯ АПТЕКА/"/>
        <s v="НЕБИВОЛОЛ-СЗ 5МГ. №56 ТАБ. /СЕВЕРНАЯ ЗВЕЗДА/"/>
        <s v="НЕБИЛЕТ 5МГ. №14 ТАБ. /МЕНАРИНИ/"/>
        <s v="НЕКСИУМ 20МГ. №28 ТАБ. П/О /АСТРА ЗЕНЕКА/"/>
        <s v="НЕМОЗОЛ 400МГ. №1 ТАБ. П/П/О"/>
        <s v="НЕО-АНГИН №24 ТАБ. Д/РАСС. САХ."/>
        <s v="НЕОБУТИН 200МГ. №30 ТАБ."/>
        <s v="НЕОТАНИН КРЕМ Д/ДЕТ. И ВЗРОС. 50Г. ТУБА"/>
        <s v="НЕОТАНИН СПРЕЙ Д/ДЕТ. И ВЗРОС. 100МЛ. ФЛ."/>
        <s v="НЕОТРАВИСИЛ МЯТА №24 ПАСТИЛКИ [NEOTRAVISIL]"/>
        <s v="НИМЕСИЛ 100МГ. 2Г. №30 ГРАН. Д/СУСП. Д/ПРИЕМА ВНУТРЬ ПАК. /ГУИДОТТИ/МЕНАРИНИ/"/>
        <s v="НИМЕСУЛИД 100МГ. №20 ТАБ. /РЕПЛЕКФАРМ/БЕРЕЗОВСКИЙ/"/>
        <s v="НИМУЛИД 100МГ. №30 ТАБ."/>
        <s v="НИФЕДИПИН 10МГ. №50 ТАБ. П/П/О /ОЗОН/"/>
        <s v="НОВИНЕТ 150МКГ+20МКГ. №63 (21X3) ТАБ. П/О /ГЕДЕОН РИХТЕР/"/>
        <s v="НОЛИПРЕЛ А 2,5МГ.+0,625МГ. №30 ТАБ. П/П/О"/>
        <s v="НОЛИПРЕЛ А ФОРТЕ 5МГ.+1,25МГ. №30 ТАБ. П/П/О"/>
        <s v="НОЛЬПАЗА 20МГ. №14 ТАБ.КШ/РАСТВ. П/О /KRKA/"/>
        <s v="НОЛЬПАЗА 20МГ. №28 ТАБ.КШ/РАСТВ. П/О /KRKA/"/>
        <s v="НОРМОБАКТ-L 3Г. №10 ПОР. Д/-Р-РА Д/ПРИЕМА ВНУТРЬ САШЕ"/>
        <s v="НОРМОДИПИН 5МГ. №30 ТАБ. /ГЕДЕОН РИХТЕР/"/>
        <s v="НО-ШПА 20МГ/МЛ. 2МЛ. №25 Р-Р Д/В/В,В/М АМП. /ХИНОИН/"/>
        <s v="НО-ШПА 40МГ. №24 ТАБ. /ХИНОИН/"/>
        <s v="НО-ШПА 40МГ. №64 ТАБ. ФЛ. ДОЗАТОР /ХИНОИН/"/>
        <s v="НУРОФЕН 100МГ/5МЛ. 100МЛ. СУСП. КЛУБНИКА Д/ДЕТЕЙ ФЛ. /РЕКИТТ БЕНКИЗЕР/"/>
        <s v="НУРОФЕН 12+ 200МГ. №12 ТАБ. П/О /РЕКИТТ БЕНКИЗЕР/"/>
        <s v="НУРОФЕН 200МГ. №20 ТАБ. П/О /РЕКИТТ БЕНКИЗЕР/"/>
        <s v="НУРОФЕН ФОРТЕ 400МГ. №12 ТАБ. П/О /РЕКИТТ БЕНКИЗЕР/"/>
        <s v="НУРОФЕН ЭКСПРЕСС 200МГ. №16 КАПС. /РЕКИТТ БЕНКИЗЕР/"/>
        <s v="НУРОФЕН ЭКСПРЕСС ФОРТЕ 400МГ. №20 КАПС. /РЕКИТТ БЕНКИЗЕР/"/>
        <s v="НУТРИДРИНК СМЕСЬ Д/ЭНТЕР. ПИТАНИЯ КЛУБНИКА 200МЛ."/>
        <s v="О.Б. ТАМПОНЫ ПРОКОМФОРТ МИНИ №16 [OB]"/>
        <s v="ОКВИС ПРОТЕКТОР ЭПИТЕЛИЯ РОГОВОЦЫ 0,3% 5МЛ. ФЛ./КАП."/>
        <s v="ОКСИТОЦИН 5МЕ/МЛ. 1МЛ. №5 Р-Р Д/ИН. АМП. /ГЕДЕОН РИХТЕР/"/>
        <s v="ОКТОЛИПЕН 600МГ. №30 ТАБ. П/П/О /ФАРСТАНДАРТ-ЛЕКСРЕДСТВА/"/>
        <s v="ОКУПРЕС-Е 0,5% 5МЛ. ГЛ.КАПЛИ ФЛ./КАП. /КАДИЛА/"/>
        <s v="ОЛВЭЙЗ ПРОКЛАДКИ УЛЬТРА НОРМАЛ №10 [ALWAYS]"/>
        <s v="ОМЕЗ 20МГ. №30 КАПС. /Д-Р РЕДДИ/"/>
        <s v="ОМЕПРАЗОЛ 20МГ. №30 КАПС. /ПРОИЗВОДСТВО МЕДИКАМЕНТОВ/"/>
        <s v="ОМЕПРАЗОЛ-ТЕВА 10МГ. №28 КАПС. КШ/РАСТВ. /ТЕВА/"/>
        <s v="ОМЕПРАЗОЛ-ТЕВА 20МГ. №28 КАПС. КШ/РАСТВ. /ТЕВА/"/>
        <s v="ОМНИТУС 50МГ. №10 ТАБ. МОДИФ.ВЫСВ. П/П/О"/>
        <s v="ОМРОН ТОНОМЕТР M2 БАЗИК АВТОМАТ АДАПТЕР /АРТ.HEM-7121-ARU/ [OMRON]"/>
        <s v="ОПТИ ФРИ КАПЛИ Д/ГЛАЗ УВЛАЖН. 15МЛ. [OPTI-FREE]"/>
        <s v="ОРВИРЕМ 2МГ/МЛ. 100МЛ. СИРОП Д/ДЕТЕЙ"/>
        <s v="ОРДИСС 16МГ. №30 ТАБ."/>
        <s v="ОФЛОМЕЛИД 100Г. МАЗЬ Д/НАРУЖ.ПРИМ. ТУБА /СИНТЕЗ/"/>
        <s v="ОФТАН-КАТАХРОМ 10МЛ. ГЛ.КАПЛИ ФЛ."/>
        <s v="ПАКЕТ"/>
        <s v="ПАНАНГИН 158МГ+140МГ. №50 ТАБ. П/П/О /ГЕДЕОН РИХТЕР/"/>
        <s v="ПАНАНГИН ФОРТЕ 316МГ+280МГ. №60 ТАБ. П/П/О /ГЕДЕОН РИХТЕР/"/>
        <s v="ПАНКРЕАТИН 25ЕД №60 ТАБ.КШ/РАСТВ. П/О /АВЕКСИМА/"/>
        <s v="ПАНКРЕАТИН 25ЕД №60 ТАБ.КШ/РАСТВ. П/О БАНКА /БИОСИНТЕЗ/"/>
        <s v="ПАНКРЕАТИН 30ЕД №60 ТАБ.КШ/РАСТВ. П/О БАНКА /ФАРМПРОЕКТ/"/>
        <s v="ПАНТОКРИН 50МЛ. ЭКСТРАКТ Д/ПРИЕМА ВНУТРЬ ФЛ. /ФАРМСТАНДАРТ/"/>
        <s v="ПАРАЦЕТАМОЛ 500МГ. №20 ТАБ. /ФАРМСТАНДАРТ/"/>
        <s v="ПАСКАЛЬ ШПРИЦ 3-Х КОМП. 20МЛ. С ИГЛОЙ 21G 0,8Х40ММ. №5 [PASCAL]"/>
        <s v="ПАСКАЛЬ ШПРИЦ 3-Х КОМП. 2МЛ. С ИГЛОЙ 23G 0,6Х30ММ. №10 [PASCAL]"/>
        <s v="ПАСКАЛЬ ШПРИЦ 3-Х КОМП. 3МЛ. С ИГЛОЙ 22G 0,7Х40ММ. №10 [PASCAL]"/>
        <s v="ПАСКАЛЬ ШПРИЦ 3-Х КОМП. 5МЛ. С ИГЛОЙ 22G 0,7Х30ММ. №10 [PASCAL]"/>
        <s v="ПАСТА САЛИЦИЛОВО-ЦИНКОВАЯ 25Г. БАНКА /ТУЛЬСКАЯ ФФ/"/>
        <s v="ПЕНТАЛГИН №24 ТАБ. П/П/О /ОТИСИФАРМ/"/>
        <s v="ПЕНТАЛГИН ЭКСТРА-ГЕЛЬ 5% 50Г. ГЕЛЬ Д/НАРУЖ.ПРИМ. ТУБА"/>
        <s v="ПЕНТОКСИФИЛЛИН-СЗ 400МГ. №20 ТАБ.ПРОЛОНГ. П/О /СЕВЕРНАЯ ЗВЕЗДА/"/>
        <s v="ПЕРЕКИСЬ ВОДОРОДА 3% 100МЛ. №1 Р-Р ДЕЗ.СР-ВО ФЛ. (НДС 20%)"/>
        <s v="ПЕРЕКИСЬ ВОДОРОДА 3% 100МЛ. №1 Р-Р ДЕЗ.СР-ВО ФЛ. ПЛАСТ. /САМАРАМЕДПРОМ/"/>
        <s v="ПЕРЕКИСЬ ВОДОРОДА 3% 1Л. Р-Р ДЕЗ.СР-ВО ФЛ."/>
        <s v="ПЕРЕКИСЬ ВОДОРОДА 3% 200МЛ. Р-Р ФЛ. ПЛАСТ. /ЛЕКАРЬ/"/>
        <s v="ПЕРИНДОПРИЛ-СЗ 8МГ. №30 ТАБ. /СЕВЕРНАЯ ЗВЕЗДА/"/>
        <s v="ПЕРИНЕВА 4МГ. №30 ТАБ. /KRKA/"/>
        <s v="ПЕРТУССИН-ЭКО 100МЛ. СИРОП ФЛ. /ЭКОЛАБ/"/>
        <s v="ПИКАМИЛОН 20МГ. №30 ТАБ. /ФАРМСТАНДАРТ/"/>
        <s v="ПИНОСОЛ 10МЛ. НАЗАЛ.КАПЛИ ФЛ./КАП."/>
        <s v="ПИОНА НАСТОЙКА 25МЛ. И/У ФЛ. /ИВАНОВСКАЯ ФФ/"/>
        <s v="ПИПЕТКА ГЛ. ТРАВМОБЕЗ. №1 ФУТ."/>
        <s v="ПИРАЦЕТАМ 200МГ. №60 ТАБ. П/П/О /ОБНОВЛЕНИЕ/"/>
        <s v="ПЛАТИФИЛЛИНА Г/Т 2МГ/МЛ. 1МЛ. №10 Р-Р Д/П/К АМП. /ДАЛЬХИМФАРМ/"/>
        <s v="ПОЛИДЕКСА С ФЕНИЛЭФРИНОМ 15МЛ. НАЗАЛ.СПРЕЙ ФЛ."/>
        <s v="ПОЛИНАДИМ 0,1%+0,025% 10МЛ. ГЛ.КАПЛИ ФЛ. /СИНТЕЗ/"/>
        <s v="ПОЛИОКСИДОНИЙ 12МГ. №10 ТАБ. /ПЕТРОВАКС/"/>
        <s v="ПОЛИОКСИДОНИЙ 6МГ. №10 СУПП. РЕКТ./ВАГИН. /ПЕТРОВАКС/"/>
        <s v="ПОЛИСОРБ МП 50Г. №1 ПОР. Д/СУСП. БАНКА"/>
        <s v="ПОСТЕРИЗАН №10 СУПП. РЕКТ."/>
        <s v="ПОХУДЕЙ ЧАЙ Д/ЗДОРОВЬЯ ЛЮДЕЙ КЛУБНИКА 2Г. №30 ПАК."/>
        <s v="ПРАДАКСА 110МГ. №180 КАПС. /БЕРИНГЕР/"/>
        <s v="ПРЕГИНОР 550МГ. №10 КАПС."/>
        <s v="ПРЕДИЗИН 35МГ. №60 ТАБ.ПРОЛОНГ. П/П/О /ГЕДЕОН РИХТЕР/"/>
        <s v="ПРЕДНИЗОЛОН 0,5% 15Г. МАЗЬ Д/НАРУЖ.ПРИМ. ТУБА /БИОСИНТЕЗ/"/>
        <s v="ПРЕСТАНС 10МГ.+10МГ. №30 ТАБ."/>
        <s v="ПРЕСТАНС 5МГ.+5МГ. №30 ТАБ."/>
        <s v="ПРИСЫПКА ДЕТСКАЯ ЧЕРЕДА 40Г. /САМАРАМЕДПРОМ/"/>
        <s v="ПРОКТО-ГЛИВЕНОЛ 2% 30Г. КРЕМ РЕКТ. ТУБА"/>
        <s v="ПРОПОЛИСА НАСТОЙКА 25МЛ. ФЛ. И/У /ВИФИТЕХ/"/>
        <s v="ПРОПОСОЛ 25Г. СПРЕЙ Д/МЕСТ.ПРИМ. БАЛЛОН /АЛТАЙВИТАМИНЫ/"/>
        <s v="ПРОСТАПЛАНТ 320МГ. №30 КАПС."/>
        <s v="ПРОТАРГОЛ-ЛОР 200МГ. №1 ТАБ. Д/Р-РА Д/МЕСТ.ПРИМ. ФЛ."/>
        <s v="ПРОТЕФИКС ОЧИСТИТЕЛЬ АКТИВН. Д/ЗУБ.ПРОТЕЗ. №66 ТАБ. [PROTEFIX]"/>
        <s v="ПСИЛО-БАЛЬЗАМ 20Г. ГЕЛЬ Д/НАРУЖ.ПРИМ."/>
        <s v="ПУЛЬМИКОРТ 0,25МГ/МЛ. 2МЛ. №20 СУСП. Д/ИНГ. КОНТ. /АСТРА ЗЕНЕКА/"/>
        <s v="ПУСТЫРНИКА НАСТОЙКА 25МЛ. ФЛ. /ГИППОКРАТ/"/>
        <s v="ПУСТЫРНИКА ЭКСТРАКТ 14МГ. №50 ТАБ. /ФАРМСТАНДАРТ/"/>
        <s v="РАЗО 20МГ. №30 ТАБ.КШ/РАСТВ. П/О"/>
        <s v="РАСТОРОПША №100 ТАБ."/>
        <s v="РАСТОРОПШИ ШРОТ 100Г. ПОР."/>
        <s v="РАУНАТИН 2МГ. №50 ТАБ. П/О /ЗДОРОВЬЕ/"/>
        <s v="РЕВАЛГИН №20 ТАБ."/>
        <s v="РЕГЕЦИН 15Г. ГЕЛЬ П/УГРЕВОЙ СЫПИ"/>
        <s v="РЕГИДРОН 18,9Г. №20 ПОР. Д/Р-РА Д/ПРИЕМА ВНУТРЬ ПАК. /ОРИОН/"/>
        <s v="РЕГУЛОН 150МКГ+30МКГ. №63 (21X3) ТАБ. П/О /ГЕДЕОН РИХТЕР/"/>
        <s v="РЕЛИФ 5МГ. №10 СУПП. РЕКТ."/>
        <s v="РЕЛИФ ПРО 40МГ.+1МГ. №10 СУПП. РЕКТ."/>
        <s v="РЕМЕНС №36 ТАБ. ПОДЪЯЗЫЧ. ГОМЕОПАТ."/>
        <s v="РЕНГАЛИН №20 ТАБ. Д/РАСС."/>
        <s v="РЕННИ №24 ТАБ.ЖЕВ. МЯТА Б/САХ."/>
        <s v="РЕНЮ Р-Р Д/ЛИНЗ MULTIPLUS 240МЛ. ФЛ. [RENU]"/>
        <s v="РЕТИНОЛА АЦЕТАТ 33000МЕ №30 КАПС. (ВИТАМИН А) /МЕЛИГЕН/"/>
        <s v="РИБОКСИН АВЕКСИМА 200МГ. №50 ТАБ. П/П/О"/>
        <s v="РИГЕВИДОН 0,15МГ+0,03МГ. №63 (21Х3) ТАБ. П/О /ГЕДЕОН РИХТЕР/"/>
        <s v="РИМАНТАДИН АВЕКСИМА 50МГ. №20 ТАБ. (РЕМАНТАДИН)"/>
        <s v="РИНЗАСИП С ВИТ.С ЛИМОН 5Г. №10 ПОР. Д/Р-РА Д/ПРИЕМА ВНУТРЬ ПАК."/>
        <s v="РИНОНОРМ-ТЕВА 0,1% 140МКГ/ДОЗА 20МЛ. НАЗАЛ.СПРЕЙ ФЛ. /ТЕВА/"/>
        <s v="РИНОРУС 0,1% 10МЛ. НАЗАЛ.КАПЛИ ФЛ./КАП. И/У /СИНТЕЗ/"/>
        <s v="РИНОРУС 0,1% 20МЛ. НАЗАЛ.СПРЕЙ ФЛ. +НАСАДКА РАСПЫЛИТЕЛЬ /СИНТЕЗ/"/>
        <s v="РИНОСТОП 0,1% 10МЛ. НАЗАЛ.КАПЛИ ФЛ./КАП. /ОТИСИФАРМ/ЛЕККО/ФАРМСТАНДАРТ ЛЕКСРЕДСТВА/"/>
        <s v="РИНОСТОП 0,1% 15МЛ. НАЗАЛ.СПРЕЙ ФЛ. /ОТИСИФАРМ/ЛЕККО/ФАРМСТАНДАРТ ЛЕКСРЕДСТВА/"/>
        <s v="РИНОФЛУИМУЦИЛ 10МЛ. СПРЕЙ НАЗАЛ. ФЛ. /ЗАМБОН/"/>
        <s v="РОЗАРТ 10МГ. №90 ТАБ. П/П/О"/>
        <s v="РОЗУВАСТАТИН-СЗ 20МГ. №30 ТАБ. П/П/О"/>
        <s v="РОКС ЗУБ.ЩЕТКА МЕДИКАЛ ЭКСТРА МЯГКАЯ [ROCS]"/>
        <s v="РОМАШКИ ЦВЕТКИ 1,5Г. №20 ПАК. /КРАСНОГОРСК/"/>
        <s v="РОТОКАН 50МЛ. ЭКСТРАКТ Д/ПРИЕМА ВНУТРЬ И МЕСТ.ПРИМ. ФЛ. /ВИФИТЕХ/"/>
        <s v="РУТАЦИД 500МГ. №20 ТАБ.ЖЕВ. /KRKA/"/>
        <s v="САЛИПОД ЛЕЙКОПЛАСТ. МОЗОЛЬНЫЙ 6Х10СМ. /ВЕРОФАРМ/"/>
        <s v="САЛИЦИЛОВАЯ 2% 25Г. МАЗЬ /ТУЛЬСКАЯ ФФ/"/>
        <s v="САЛИЦИЛОВАЯ К-ТА 2% 40МЛ. №1 СПИРТ. Р-Р Д/НАРУЖ.ПРИМ. ФЛ. /ИВАНОВСКАЯ ФФ/"/>
        <s v="САЛФЕТКИ 8-И СЛОЙНАЯ СТЕР. 10СМХ10СМ №10"/>
        <s v="САЛФЕТКИ 8-И СЛОЙНАЯ СТЕР. 5СМХ5СМ №10"/>
        <s v="САЛФЕТКИ ДВУХСЛ. СТЕР. 16Х14СМ №10 И/У"/>
        <s v="САЛФЕТКИ ДВУХСЛ. СТЕР. 45Х29СМ №5"/>
        <s v="САЛФЕТКИ СТЕР. 10X10СМ №10"/>
        <s v="САНИТЕЛЬ СПРЕЙ Д/РУК А/СЕПТИЧ. ВИТ.Е+АЛОЭ 20МЛ. [SANITELLE]"/>
        <s v="САНОРИН 0,1% 10МЛ. №1 С МАСЛОМ ЭВКАЛИПТА НАЗАЛ.КАПЛИ ФЛ."/>
        <s v="САТЕЛЛИТ СЕНСОРЫ ПЛЮС ПКГЭ-02.4 №50 ТЕСТ ПОЛОСКИ"/>
        <s v="СБОР УРОЛОГИЧЕСКИЙ 2Г. №20 ПАК. (ФИТОНЕФРОЛ) /КРАСНОГОРСК/"/>
        <s v="СВЯТОЙ ИСТОЧНИК ВОДА ПИТЬЕВАЯ 0,5Л. Н/ГАЗ. ПЭТ"/>
        <s v="СЕМЕЙНЫЙ ЗУБ.ПОРОШОК МОРСК.МИНЕР. 140СМ.КУБ/60Г. БАНКА /АВАНТА/"/>
        <s v="СЕНАДЕ 13,5МГ. №500 ТАБ. /ЦИПЛА/"/>
        <s v="СЕНИ ПОДГУЗНИКИ СУПЕР АИР ЭКСТРА ЛАРЧ Д/ВЗР. Р.XL(4) №30 (130-170СМ.) [SENI]"/>
        <s v="СЕНИ ПОДГУЗНИКИ СУПЕР ПЛЮС АИР ЭКСТРА ЛАРЧ Д/ВЗР. Р.XL(4) №30 (130-170СМ.) [SENI]"/>
        <s v="СЕНИ ТРУСИКИ АКТИВ ВПИТЫВ. НОРМАЛ Р.L(3) №10 (100-135СМ.) [SENI]"/>
        <s v="СЕНСЕ МАСКА МЕД. ТРЕХСЛОЙНАЯ (3-Х) НА РЕЗИНКЕ ГОЛ. №10 [SENSE]"/>
        <s v="СИГНИЦЕФ 0,5% 5МЛ. №1 ГЛ.КАПЛИ ФЛ./КАП. /СЕНТИСС/ПРОМЕД/"/>
        <s v="СИЛДЕНАФИЛ-СЗ 100МГ. №10 ТАБ. П/П/О /СЕВЕРНАЯ ЗВЕЗДА/"/>
        <s v="СИЛДЕНАФИЛ-СЗ 100МГ. №20 ТАБ. П/П/О /СЕВЕРНАЯ ЗВЕЗДА/"/>
        <s v="СИЛДЕНАФИЛ-СЗ 25МГ. №20 ТАБ. П/П/О /СЕВЕРНАЯ ЗВЕЗДА/"/>
        <s v="СИЛДЕНАФИЛ-СЗ 50МГ. №4 ТАБ. П/П/О /СЕВЕРНАЯ ЗВЕЗДА/"/>
        <s v="СИЛИМАР 100МГ. №30 ТАБ."/>
        <s v="СИЛУЕТ 2МГ.+0,03МГ. №21 ТАБ. П/О /ГЕДЕОН РИХТЕР/"/>
        <s v="СИЛЬВЕР КАПИТАН БАТОНЧИК КОКОС БЕЛ.ГЛАЗ. 50Г."/>
        <s v="СИЛЬВЕР КАПИТАН БАТОНЧИК КОКОС КАКАО БЕЛ.ГЛАЗ. 50Г."/>
        <s v="СИЛЬВЕР КАПИТАН БАТОНЧИК КОКОС ШОК.ГЛАЗ. 50Г."/>
        <s v="СИЛЬВЕР КАПИТАН БАТОНЧИК ТРЮФЕЛЬ+ОРЕХ ШОК.ГЛАЗ. 50Г."/>
        <s v="СИНАФЛАН 0,025% 15Г. МАЗЬ Д/НАРУЖ.ПРИМ. ТУБА /МУРОМСКИЙ ЗАВОД/"/>
        <s v="СИОФОР 500 №60 ТАБ. П/П/О /БЕРЛИН ХЕМИ/"/>
        <s v="СИРДАЛУД 4МГ. №30 ТАБ. /НОВАРТИС/"/>
        <s v="СЛАБИКАП 7,5МГ/МЛ. 10МЛ. КАПЛИ Д/ПРИЕМА ВНУТРЬ ФЛ./КАП. /СИНТЕЗ/"/>
        <s v="СЛАБИЛЕН 5МГ. №20 ТАБ. П/П/О /ВЕРОФАРМ/"/>
        <s v="СМЕКТА ВАНИЛЬ 3Г. №20 ПОР. Д/СУСП. Д/ПРИЕМА ВНУТРЬ ПАК. /ИПСЕН/"/>
        <s v="СНУП 0,1% 90МКГ/ДОЗА 15МЛ. НАЗАЛ.СПРЕЙ ФЛ. /ШТАДА/"/>
        <s v="СОРБИФЕР ДУРУЛЕС 320МГ/60МГ. №50 ТАБ. П/О"/>
        <s v="СОТАГЕКСАЛ 160МГ. №20 ТАБ. /ГЕКСАЛ АГ/"/>
        <s v="СОТАГЕКСАЛ 80МГ. №20 ТАБ. /ГЕКСАЛ АГ/"/>
        <s v="СПАЗГАН №100 ТАБ."/>
        <s v="СПАЗГАН №20 ТАБ."/>
        <s v="СПАЗМАЛГОН №50 ТАБ."/>
        <s v="СПЛАТ ЗУБ.ПАСТА БИОКАЛЬЦИЙ 100МЛ. [SPLAT]"/>
        <s v="СПЛАТ ЗУБ.ПАСТА ЛЕЧЕБНЫЕ ТРАВЫ 100МЛ. [SPLAT]"/>
        <s v="СТАРЫЙ ИСТОЧНИК СЛАВЯНОВСКАЯ ВОДА МИНЕР. ЭЛИТНАЯ 1Л."/>
        <s v="СТАТИН 1Г. №5 ПОР. ПАК. (Д/ОСТАНОВКИ КРОВОТЕЧЕНИЙ)"/>
        <s v="СТЕЛЛАНИН 3% 20Г. МАЗЬ Д/НАРУЖ.ПРИМ. ТУБА"/>
        <s v="СТЕЛЛАНИН-ПЭГ 3% 20Г. МАЗЬ Д/НАРУЖ.ПРИМ. ТУБА"/>
        <s v="СТОМАТОФИТ 100МЛ. ЭКСТРАКТ Д/МЕСТ.ПРИМ. ФЛ."/>
        <s v="СТОПАНГИН-ТЕВА 0,2% 30МЛ. СПРЕЙ Д/МЕСТ.ПРИМ. ФЛ."/>
        <s v="СТОПСЕПТ ПЛЮС 90% 100МЛ. ДЕЗ.СР-ВО ФЛ."/>
        <s v="СТРЕЗАМ 50МГ. №60 КАПС."/>
        <s v="СТРЕПСИЛС ВИТ. С АПЕЛЬСИН №24 ТАБ. Д/РАСС."/>
        <s v="СТРЕПСИЛС МЕНТОЛ+ЭВКАЛИПТ №24 ТАБ. Д/РАСС."/>
        <s v="СТРЕПТОЦИД 10Г. №1 ПОР. Д/НАРУЖ.ПРИМ. БАНКА ДОЗ. /ЛЕКАРЬ/"/>
        <s v="СУЛЬФАЦИЛ-НАТРИЯ АЛЬБУЦИД 20% 10МЛ. №1 ГЛ.КАПЛИ ФЛ./КАП. /ЛЕККО/"/>
        <s v="СУПРАДИН КИДС РЫБКИ №30 ПАСТИЛКИ ЖЕВ."/>
        <s v="СУПРАКС СОЛЮТАБ 400МГ. №7 ТАБ. ДИСПЕРГ."/>
        <s v="СУПРАСТИН 2% 1МЛ. №5 Р-Р Д/В/В,В/М АМП. /ЭГИС/"/>
        <s v="СУПРАСТИН 25МГ. №20 ТАБ. /ЭГИС/"/>
        <s v="СУПРАСТИНЕКС 5МГ. №7 ТАБ. П/П/О"/>
        <s v="СУСТАМЕД ЖАБИЙ КАМЕНЬ БИО-БАЛЬЗАМ АКТИВИР. Д/ТЕЛА МАСЛО РЫЖИКА 50МЛ. ТУБА"/>
        <s v="СУСТАМЕД ЖАБИЙ КАМЕНЬ ГЕЛЬ Д/НОГ Д/ВЕН ГЛЮКОЗАМИН+ТРОКСЕРУТИН 30Г."/>
        <s v="СФМ СИСТЕМА Д/ПЕРЕЛИВ. ИНФУЗ. Р-РОВ №1 ПЛАСТ.ИГЛА [SFM]"/>
        <s v="СФМ ШПРИЦ 10МЛ. 3-Х КОМП. 0,8Х40ММ 21G №100 [SFM]"/>
        <s v="СФМ ШПРИЦ 2МЛ. 3-Х КОМП. 0,63Х32ММ 23G №100 [SFM]"/>
        <s v="СФМ ШПРИЦ 3МЛ. 3-Х КОМП. 0,6Х30ММ 23G №100 [SFM]"/>
        <s v="СФМ ШПРИЦ 5МЛ. 3-Х КОМП. 0,7Х40ММ 22G №100 [SFM]"/>
        <s v="ТАВАНИК 500МГ. №10 ТАБ. П/П/О /САНОФИ-АВЕНТИС/"/>
        <s v="ТАВЕГИЛ 1МГ. №20 ТАБ."/>
        <s v="ТАГИСТА 16МГ. №30 ТАБ. /НИЖФАРМ/"/>
        <s v="ТАНТУМ ВЕРДЕ 0,255МКГ/ДОЗА 30МЛ. 176ДОЗ СПРЕЙ Д/МЕСТ.ПРИМ. ДОЗИР. ФЛ."/>
        <s v="ТАУРИН 4% 10МЛ. ГЛ.КАПЛИ ФЛ./КАП. /СЛАВЯНСКАЯ АПТЕКА/"/>
        <s v="ТАУФОН 4% 10МЛ. №1 ГЛ.КАПЛИ ФЛ./КАП. /ОТИСИФАРМ/ФАРМСТАНДАРТ/"/>
        <s v="ТЕЛЗАП 40МГ. №30 ТАБ."/>
        <s v="ТЕЛМИСТА 80МГ. №84 ТАБ."/>
        <s v="ТЕМПАЛГИН №20 ТАБ. П/П/О"/>
        <s v="ТЕНОРИК 100МГ.+25МГ. №28 ТАБ. П/П/О"/>
        <s v="ТЕНОРИК 50МГ.+12,5МГ. №28 ТАБ. П/П/О"/>
        <s v="ТЕРАФЛЮ ЭКСТРА ЛИМОН ОТ ГРИППА И ПРОСТУДЫ 15Г. №10 ПОР. Д/Р-РА Д/ПРИЕМА ВНУТРЬ ПАК."/>
        <s v="ТЕРБИНАФИН 1% 30Г. КРЕМ Д/НАРУЖ.ПРИМ. ТУБА /ВЕРТЕ/"/>
        <s v="ТЕРЕЗА МЕД ПОДГУЗНИКИ Д/ВЗР. ЭКСТРА Р.3 L №28 [TEREZA]"/>
        <s v="ТЕТРАЦИКЛИН-ЛЕКТ 100МГ. №20 ТАБ. П/О /ТЮМЕНСКИЙ/"/>
        <s v="ТЕТРАЦИКЛИНОВАЯ 1% 5Г. ГЛ. МАЗЬ ТУБА /ТАТХИМФАРМ/"/>
        <s v="ТИАМИНА ХЛОРИД 50МГ/МЛ. 1МЛ. №10 Р-Р Д/В/М ВВЕД. АМП. (ВИТАМИН В1) /СТАТУСФАРМ/ЕРЕВАН.ФФ/"/>
        <s v="ТИЗАЛУД 2МГ. №30 ТАБ. /ВЕРОФАРМ/"/>
        <s v="ТИЗИН КЛАССИК 0,1% 10МЛ. НАЗАЛ.СПРЕЙ ФЛ. /ДЖОНСОН/"/>
        <s v="ТИМОЛОЛ 0,5% 10МЛ. ГЛ.КАПЛИ ФЛ./КАП. /СЛАВЯНСКАЯ АПТЕКА/"/>
        <s v="ТИРОЗОЛ 5МГ. №50 ТАБ. П/П/О /МЕРК/"/>
        <s v="ТОБРОПТ 0,3% 5МЛ. №1 ГЛ.КАПЛИ ФЛ./КАП. /РОМФАРМ/"/>
        <s v="ТОЛПЕРИЗОН 150МГ. №30 ТАБ. П/П/О /МЕДИСОРБ/"/>
        <s v="ТОНОМЕТР UA-604 П/АВТОМАТ [AND]"/>
        <s v="ТОРАСЕМИД-СЗ 5МГ. №60 ТАБ. /СЕВЕРНАЯ ЗВЕЗДА/"/>
        <s v="ТОРВАКАРД 20МГ. №30 ТАБ. П/П/О /САНОФИ/САНЕКА/"/>
        <s v="ТОРГ ЛАЙНС БАНКИ МАССАЖ А/ЦЕЛЛЮЛИТ. №1 ТЮЛЬПАН"/>
        <s v="ТРАВАТАН 0,004% 2,5МЛ. №3 ГЛ.КАПЛИ ФЛ./КАП."/>
        <s v="ТРИГРИМ 5МГ. №30 ТАБ."/>
        <s v="ТРИМЕДАТ 200МГ. №30 ТАБ."/>
        <s v="ТРИМЕДАТ ФОРТЕ 300МГ. №60 ТАБ.ПРОЛОНГ. П/П/О"/>
        <s v="ТРИМЕТАЗИДИН-АКОС МВ 35МГ. №60 ТАБ. МОДИФ.ВЫСВ. /БИОКОМ/"/>
        <s v="ТРИПЛИКСАМ 10МГ.+2,5МГ.+10МГ. №30 ТАБ. П/П/О"/>
        <s v="ТРИПЛИКСАМ 5МГ.+1,25МГ.+5МГ. №30 ТАБ. П/П/О"/>
        <s v="ТРИПЛИКСАМ 5МГ.+2,5МГ.+10МГ. №30 ТАБ. П/П/О"/>
        <s v="ТРИХОПОЛ 250МГ. №20 ТАБ. /ПОЛЬФАРМА/"/>
        <s v="ТРОКСЕРУТИН 2% 40Г. ГЕЛЬ Д/НАРУЖ.ПРИМ. ТУБА /ЗЕЛЕНАЯ ДУБРАВА/"/>
        <s v="ТРОКСЕРУТИН ВРАМЕД 2% 40Г. ГЕЛЬ Д/НАРУЖ.ПРИМ. ТУБА /СОФАРМА/"/>
        <s v="ТРОКСЕРУТИН ВРАМЕД 300МГ. №50 КАПС. /СОФАРМА/"/>
        <s v="ТРОМБОПОЛ 75МГ. №30 ТАБ.КШ/РАСТВ. П/О /ПОЛЬФАРМА/"/>
        <s v="УГОЛЬ АКТИВИРОВАННЫЙ 250МГ. №50 ТАБ. /ФАРМСТАНДАРТ ЛЕКСРЕДСТВА/"/>
        <s v="УКРОПА ПАХУЧЕГО ПЛОДЫ 50Г. /КРАСНОГОРСК/"/>
        <s v="УРОЛЕСАН 25МЛ. КАПЛИ Д/ПРИЕМА ВНУТРЬ ФЛ."/>
        <s v="УРСОФАЛЬК 250МГ/5МЛ. 250МЛ. СУСП. Д/ПРИЕМА ВНУТРЬ ФЛ. /ФАЛЬК ФАРМА/ВИФОР/"/>
        <s v="ФЕНИСТИЛ 0,1% 30Г. ГЕЛЬ Д/НАРУЖ.ПРИМ. ТУБА"/>
        <s v="ФЕРРОГЕМАТОГЕН 50Г. ПАСТИЛКА ЖЕВ. (ПЛИТКА)"/>
        <s v="ФЕСТАЛ №100 ДРАЖЕ"/>
        <s v="ФЕСТАЛ №40 ДРАЖЕ"/>
        <s v="ФИЛЬТРУМ-СТИ 400МГ. №50 ТАБ."/>
        <s v="ФИТОКОСМЕТИК КРЕМ-ХНА ИНДИЙСКАЯ НАТУР. 3.3 ГОРЬК.ШОКОЛАД 50МЛ."/>
        <s v="ФИТОЛАКС 500МГ. №40 ТАБ.ЖЕВ. /ЭВАЛАР/"/>
        <s v="ФЛАМИН 50МГ. №30 ТАБ. /ВИФИТЕХ/"/>
        <s v="ФЛОРЕСАН РЕПЕЙНИК МАСКА-КОМПРЕСС ГОРЯЧАЯ 450Г. Ф-86 [FLORESAN]"/>
        <s v="ФЛУИМУЦИЛ 600МГ. №10 ШИП.ТАБ. /ЗАМБОН/"/>
        <s v="ФЛУКОНАЗОЛ 150МГ. №4 КАПС. /ВЕРТЕКС/"/>
        <s v="ФЛЮКОСТАТ 150МГ. №1 КАПС. /ОТИСИФАРМ/"/>
        <s v="ФОСФАЛЮГЕЛЬ 16Г. №20 ГЕЛЬ Д/ПРИЕМА ВНУТРЬ ПАК."/>
        <s v="ФОСФОГЛИВ ФОРТЕ 65МГ+300МГ. №50 КАПС. /ФАРМСТАНДАРТ/"/>
        <s v="ФРАУ ТЕСТ НА ОВУЛЯЦИЮ №5 ТЕСТ-ПОЛОСКА [FRAUTEST]"/>
        <s v="ФРЕНЧИ УМНАЯ ЭМАЛЬ ВОССТ. ПОВР. НОГТЕЙ 15/11МЛ. /АРТ.12069/"/>
        <s v="ФУКОРЦИН 25МЛ. Р-Р Д/НАРУЖ.ПРИМ. ФЛ. /ТУЛЬСКАЯ ФФ/"/>
        <s v="ФУНДИЗОЛ КРЕМ Д/НОГТЕЙ И КОЖИ 30МЛ."/>
        <s v="ФУРАГИН 50МГ. №30 ТАБ. /СЕВЕРНАЯ ЗВЕЗДА/"/>
        <s v="ФУРАДОНИН 100МГ. №20 ТАБ. /ОЛАЙНФАРМ/"/>
        <s v="ФУРАДОНИН 50МГ. №20 ТАБ. И/У /БОРИСОВСКИЙ/"/>
        <s v="ФУРАЗОЛИДОН АВЕКСИМА 50МГ. №20 ТАБ. /ИРБИТСКИЙ/"/>
        <s v="ФУРАЗОЛИДОН РЕНЕВАЛ 50МГ. №20 ТАБ. И/У /ОБНОВЛЕНИЕ/"/>
        <s v="ФУРАМАГ 50МГ. №30 КАПС. /ОЛАЙНФАРМ/"/>
        <s v="ФУРАЦИЛИН 20МГ. №20 ТАБ. Д/Р-РА Д/МЕСТ. И НАРУЖ.ПРИМ. /АВЕКСИМА/"/>
        <s v="ФУРАЦИЛИН АВЕКСИМА 20МГ. №10 ШИП.ТАБ. Д/Р-РА Д/МЕСТ. И НАРУЖ.ПРИМ."/>
        <s v="ФУРОСЕМИД 40МГ. №50 ТАБ. /ОЗОН ООО/"/>
        <s v="ХАРТМАНН БРАНОЛИНД H ПОВЯЗКА СТЕР. 10Х20СМ. №30 ПЕРУАН.БАЛЬЗАМ /АРТ.4923462/ [BRANOLIND]"/>
        <s v="ХАРТМАНН БРАНОЛИНД H ПОВЯЗКА СТЕР. 7,5Х10СМ. №30 ПЕРУАН.БАЛЬЗАМ /АРТ.4923432/ [BRANOLIND]"/>
        <s v="ХАРТМАНН КОСМОПОР Е ПОВЯЗКА 10СМХ6СМ №25 П/ОПЕР. САМОКЛ. СТЕР. /АРТ.901009/ [HARTMANN COSMOPOR]"/>
        <s v="ХАРТМАНН КОСМОПОР Е ПОВЯЗКА 20СМХ10СМ №25 П/ОПЕР. САМОКЛ. СТЕР. /АРТ.9010220/900876/ [HARTMANN COSMO"/>
        <s v="ХАРТМАНН КОСМОПОР Е ПОВЯЗКА 7,2Х5СМ №50 П/ОПЕР. САМОКЛ. СТЕР. /АРТ.9008705/ [HARTMANN COSMOPOR]"/>
        <s v="ХАРТМАНН ПЕХА-ХАФТ БИНТ САМОФИКС. КОГЕЗИВ. 4МХ4СМ. БЕЛ. /АРТ.932483/ [HARTMANN PEHA-HAFT]"/>
        <s v="ХАРТМАНН ПЕХА-ХАФТ БИНТ САМОФИКС. КОГЕЗИВ. 4МХ6СМ. БЕЛ. /АРТ.9324841/9324842/ [HARTMANN PEHA-HAFT]"/>
        <s v="ХЕЛП БИНТ СТЕР. 5МХ10СМ И/У [HELP]"/>
        <s v="ХЕЛП БИНТ СТЕР. 7МХ14СМ И/У [HELP]"/>
        <s v="ХЛОРГЕКСИДИН 0,05% 100МЛ. №1 Р-Р Д/МЕСТ. И НАРУЖ.ПРИМ. ФЛ. ПЭТ. /ТУЛЬСКАЯ ФФ/"/>
        <s v="ХЛОРГЕКСИДИН 0,05% 200МЛ. №1 Р-Р Д/МЕСТ. И НАРУЖ.ПРИМ. ФЛ. ПЭТ. /ЛЕКАРЬ/"/>
        <s v="ХОЛИСАЛ 10Г. ГЕЛЬ СТОМАТ. ТУБА"/>
        <s v="ЦЕЛЕБРЕКС 200МГ. №30 КАПС."/>
        <s v="ЦЕРУКАЛ 10МГ. №50 ТАБ. /АВД ФАРМА/ТЕВА/"/>
        <s v="ЦЕТИРИЗИН 10МГ. №20 ТАБ. П/П/О /ОЗОН/"/>
        <s v="ЦЕТРИН 10МГ. №20 ТАБ. П/П/О /Д-Р РЕДДИ/"/>
        <s v="ЦЕТРИН 10МГ. №30 ТАБ. П/П/О /Д-Р РЕДДИ/"/>
        <s v="ЦЕФАЗОЛИНА НАТРИЕВАЯ СОЛЬ 1Г. №1 ПОР. Д/Р-РА В/В,В/М ФЛ. /БИОСИНТЕЗ/"/>
        <s v="ЦЕФИКСИМ ЭКСПРЕСС 400МГ. №7 ТАБ. ДИСПЕРГ."/>
        <s v="ЦЕФТРИАКСОН 1Г. №1 ПОР. Д/Р-РА Д/В/В,В/М ФЛ. /БИОСИНТЕЗ/"/>
        <s v="ЦЕФТРИАКСОН 1Г. №1 ПОР. Д/Р-РА Д/В/В,В/М ФЛ. /ПРОМОМЕД/БИОХИМИК/"/>
        <s v="ЦИАНОКОБАЛАМИН 0,5МГ/МЛ. 1МЛ. №10 Р-Р Д/ИН. АМП. (ВИТАМИН В12) /ДАЛЬХИМФАРМ/"/>
        <s v="ЦИНК+ ВИТ.С 270МГ. №50 ТАБ. /ЭВАЛАР/"/>
        <s v="ЦИПРОЛЕТ 3МГ/МЛ. 5МЛ. №1 ГЛ.КАПЛИ ФЛ./КАП. /Д-Р РЕДДИ/"/>
        <s v="ЦИПРОЛЕТ А 500МГ.+600МГ. №10 ТАБ. П/О"/>
        <s v="ЦИСТОН №100 ТАБ."/>
        <s v="ЦИТОФЛАВИН 10МЛ. №5 Р-Р Д/В/В АМП. /ПОЛИСАН/"/>
        <s v="ЦИТОФЛАВИН №100 ТАБ.КШ/РАСТВ. /ПОЛИСАН/"/>
        <s v="ЦИТРАМОН П №10 ТАБ. /ФАРМСТАНДАРТ/"/>
        <s v="ЦИТРАМОН П №20 ТАБ. /МЕДИСОРБ/"/>
        <s v="ЦИТРАМОН П №20 ТАБ. /ФАРМСТАНДАРТ/"/>
        <s v="ЦИТРОДЖЕКС(ВИТАМИН С 900) 3,8Г. №20 ТАБ.БЫСТРОРАСТВ."/>
        <s v="ЧУЛОК КРУГЛОВЯЗ. ДО БЕДРА 2 КОМПРЕСС. ОТКРЫТ. МЫСОК Р.1 (48-54) КРЕМ /АРТ.ЧККВ-ЦК/"/>
        <s v="ШИПОВНИКА ПЛОДЫ 2Г. №20 ПАК. /КРАСНОГОРСК/"/>
        <s v="ЭВЕРС-ЛАЙФ МАРЛЯ 5М. №1 [EVERS LIFE]"/>
        <s v="ЭВЕРС-ЛАЙФ САЛФЕТКА СТЕР. 2-Х СЛ. 16Х14СМ. №10 [EVERS LIFE]"/>
        <s v="ЭВИТА ВАТНЫЕ ДИСКИ №100 [E'VITA]"/>
        <s v="ЭВКАЛИПТ М №24 ПАСТИЛКИ"/>
        <s v="ЭВО КРЕМ Д/НОГ МОЧЕВИНА 50МЛ. ТУБА [EVO] /АВАНТА/"/>
        <s v="ЭВО ПАНТЕНОЛ ПОМАДА ГИГИЕН. 2,8Г. [EVO] /АВАНТА/"/>
        <s v="ЭГИЛОК 50МГ. №60 ТАБ. /ЭГИС/"/>
        <s v="ЭКСПРЕСС-ТЕСТ НА А/ТЕЛА COVID-19 LGG/LGM"/>
        <s v="ЭЛИКВИС 5МГ. №60 ТАБ. П/П/О /ПФАЙЗЕР/БРИСТОЛ-МАЙЕРС/"/>
        <s v="ЭМОКСИ-ОПТИК 10МГ/МЛ. 5МЛ. №1 ГЛ.КАПЛИ /СИНТЕЗ/"/>
        <s v="ЭМОКСИПИН 10МГ/МЛ. 5МЛ. №1 ГЛ.КАПЛИ ФЛ. КРЫШ/КАП."/>
        <s v="ЭНАЛАПРИЛ 10МГ. №20 ТАБ. /ХЕМОФАРМ/"/>
        <s v="ЭНАЛАПРИЛ 5МГ. №20 ТАБ. /ХЕМОФАРМ/"/>
        <s v="ЭНАЛАПРИЛ ГЕКСАЛ 10МГ. №50 ТАБ. /ГЕКСАЛ АГ/"/>
        <s v="ЭНАМ 2,5МГ. №20 ТАБ. /Д-Р РЕДДИ/"/>
        <s v="ЭНАМ 5МГ. №20 ТАБ. /Д-Р РЕДДИ/"/>
        <s v="ЭНАП 2,5МГ. №20 ТАБ. /KPKA/"/>
        <s v="ЭНТЕРОФУРИЛ 200МГ. №16 КАПС."/>
        <s v="ЭРИНИТ 10МГ. №50 ТАБ. /ФАРМАПОЛ-ВОЛГА/"/>
        <s v="ЭРИТРОМИЦИНОВАЯ 10000ЕД/Г. 10Г. ГЛ. МАЗЬ ТУБА /ТАТХИМФАРМ/"/>
        <s v="ЭСВИЦИН СР-ВО П/ОБЛЫСЕНИЯ ЛОСЬОН-ТОНИК 250МЛ. ФЛ. /ВИО-ФАРМ/"/>
        <s v="ЭСПУМИЗАН 40МГ. №25 КАПС. /БЕРЛИН-ХЕМИ/"/>
        <s v="ЭТОРИАКС 90МГ. №7 ТАБ. П/П/О"/>
        <s v="ЮНИДОКС СОЛЮТАБ 100МГ. №10 ТАБ.ДИСПЕРГ. /АСТЕЛЛАС/"/>
        <s v="ЮНИДОКС СОЛЮТАБ 100МГ. №20 ТАБ.ДИСПЕРГ. /АСТЕЛЛАС/"/>
      </sharedItems>
    </cacheField>
    <cacheField name="[Measures].[Сумма по столбцу DR_Kol]" caption="Сумма по столбцу DR_Kol" numFmtId="0" hierarchy="28" level="32767"/>
    <cacheField name="[Measures].[Сумма по столбцу TotalSum]" caption="Сумма по столбцу TotalSum" numFmtId="0" hierarchy="31" level="32767"/>
    <cacheField name="[Measures].[Число разных элементов в столбце DR_Dat]" caption="Число разных элементов в столбце DR_Dat" numFmtId="0" hierarchy="34" level="32767"/>
  </cacheFields>
  <cacheHierarchies count="37">
    <cacheHierarchy uniqueName="[Диапазон].[DR_Dat]" caption="DR_Dat" attribute="1" time="1" defaultMemberUniqueName="[Диапазон].[DR_Dat].[All]" allUniqueName="[Диапазон].[DR_Dat].[All]" dimensionUniqueName="[Диапазон]" displayFolder="" count="0" memberValueDatatype="7" unbalanced="0"/>
    <cacheHierarchy uniqueName="[Диапазон].[DR_Tim]" caption="DR_Tim" attribute="1" time="1" defaultMemberUniqueName="[Диапазон].[DR_Tim].[All]" allUniqueName="[Диапазон].[DR_Tim].[All]" dimensionUniqueName="[Диапазон]" displayFolder="" count="0" memberValueDatatype="7" unbalanced="0"/>
    <cacheHierarchy uniqueName="[Диапазон].[DR_NChk]" caption="DR_NChk" attribute="1" defaultMemberUniqueName="[Диапазон].[DR_NChk].[All]" allUniqueName="[Диапазон].[DR_NChk].[All]" dimensionUniqueName="[Диапазон]" displayFolder="" count="0" memberValueDatatype="20" unbalanced="0"/>
    <cacheHierarchy uniqueName="[Диапазон].[DR_NDoc]" caption="DR_NDoc" attribute="1" defaultMemberUniqueName="[Диапазон].[DR_NDoc].[All]" allUniqueName="[Диапазон].[DR_NDoc].[All]" dimensionUniqueName="[Диапазон]" displayFolder="" count="0" memberValueDatatype="20" unbalanced="0"/>
    <cacheHierarchy uniqueName="[Диапазон].[DR_Apt]" caption="DR_Apt" attribute="1" defaultMemberUniqueName="[Диапазон].[DR_Apt].[All]" allUniqueName="[Диапазон].[DR_Apt].[All]" dimensionUniqueName="[Диапазон]" displayFolder="" count="0" memberValueDatatype="20" unbalanced="0"/>
    <cacheHierarchy uniqueName="[Диапазон].[DR_Kkm]" caption="DR_Kkm" attribute="1" defaultMemberUniqueName="[Диапазон].[DR_Kkm].[All]" allUniqueName="[Диапазон].[DR_Kkm].[All]" dimensionUniqueName="[Диапазон]" displayFolder="" count="0" memberValueDatatype="20" unbalanced="0"/>
    <cacheHierarchy uniqueName="[Диапазон].[DR_TDoc]" caption="DR_TDoc" attribute="1" defaultMemberUniqueName="[Диапазон].[DR_TDoc].[All]" allUniqueName="[Диапазон].[DR_TDoc].[All]" dimensionUniqueName="[Диапазон]" displayFolder="" count="0" memberValueDatatype="130" unbalanced="0"/>
    <cacheHierarchy uniqueName="[Диапазон].[DR_TPay]" caption="DR_TPay" attribute="1" defaultMemberUniqueName="[Диапазон].[DR_TPay].[All]" allUniqueName="[Диапазон].[DR_TPay].[All]" dimensionUniqueName="[Диапазон]" displayFolder="" count="0" memberValueDatatype="20" unbalanced="0"/>
    <cacheHierarchy uniqueName="[Диапазон].[DR_CDrugs]" caption="DR_CDrugs" attribute="1" defaultMemberUniqueName="[Диапазон].[DR_CDrugs].[All]" allUniqueName="[Диапазон].[DR_CDrugs].[All]" dimensionUniqueName="[Диапазон]" displayFolder="" count="0" memberValueDatatype="20" unbalanced="0"/>
    <cacheHierarchy uniqueName="[Диапазон].[DR_NDrugs]" caption="DR_NDrugs" attribute="1" defaultMemberUniqueName="[Диапазон].[DR_NDrugs].[All]" allUniqueName="[Диапазон].[DR_NDrugs].[All]" dimensionUniqueName="[Диапазон]" displayFolder="" count="2" memberValueDatatype="130" unbalanced="0">
      <fieldsUsage count="2">
        <fieldUsage x="-1"/>
        <fieldUsage x="0"/>
      </fieldsUsage>
    </cacheHierarchy>
    <cacheHierarchy uniqueName="[Диапазон].[DR_Suppl]" caption="DR_Suppl" attribute="1" defaultMemberUniqueName="[Диапазон].[DR_Suppl].[All]" allUniqueName="[Диапазон].[DR_Suppl].[All]" dimensionUniqueName="[Диапазон]" displayFolder="" count="0" memberValueDatatype="130" unbalanced="0"/>
    <cacheHierarchy uniqueName="[Диапазон].[DR_Prod]" caption="DR_Prod" attribute="1" defaultMemberUniqueName="[Диапазон].[DR_Prod].[All]" allUniqueName="[Диапазон].[DR_Prod].[All]" dimensionUniqueName="[Диапазон]" displayFolder="" count="0" memberValueDatatype="130" unbalanced="0"/>
    <cacheHierarchy uniqueName="[Диапазон].[DR_Kol]" caption="DR_Kol" attribute="1" defaultMemberUniqueName="[Диапазон].[DR_Kol].[All]" allUniqueName="[Диапазон].[DR_Kol].[All]" dimensionUniqueName="[Диапазон]" displayFolder="" count="0" memberValueDatatype="5" unbalanced="0"/>
    <cacheHierarchy uniqueName="[Диапазон].[DR_CZak]" caption="DR_CZak" attribute="1" defaultMemberUniqueName="[Диапазон].[DR_CZak].[All]" allUniqueName="[Диапазон].[DR_CZak].[All]" dimensionUniqueName="[Диапазон]" displayFolder="" count="0" memberValueDatatype="5" unbalanced="0"/>
    <cacheHierarchy uniqueName="[Диапазон].[DR_CRoz]" caption="DR_CRoz" attribute="1" defaultMemberUniqueName="[Диапазон].[DR_CRoz].[All]" allUniqueName="[Диапазон].[DR_CRoz].[All]" dimensionUniqueName="[Диапазон]" displayFolder="" count="0" memberValueDatatype="5" unbalanced="0"/>
    <cacheHierarchy uniqueName="[Диапазон].[DR_SDisc]" caption="DR_SDisc" attribute="1" defaultMemberUniqueName="[Диапазон].[DR_SDisc].[All]" allUniqueName="[Диапазон].[DR_SDisc].[All]" dimensionUniqueName="[Диапазон]" displayFolder="" count="0" memberValueDatatype="5" unbalanced="0"/>
    <cacheHierarchy uniqueName="[Диапазон].[TotalSum]" caption="TotalSum" attribute="1" defaultMemberUniqueName="[Диапазон].[TotalSum].[All]" allUniqueName="[Диапазон].[TotalSum].[All]" dimensionUniqueName="[Диапазон]" displayFolder="" count="0" memberValueDatatype="5" unbalanced="0"/>
    <cacheHierarchy uniqueName="[Диапазон].[DR_CDisc]" caption="DR_CDisc" attribute="1" defaultMemberUniqueName="[Диапазон].[DR_CDisc].[All]" allUniqueName="[Диапазон].[DR_CDisc].[All]" dimensionUniqueName="[Диапазон]" displayFolder="" count="0" memberValueDatatype="130" unbalanced="0"/>
    <cacheHierarchy uniqueName="[Диапазон].[DR_BCDisc]" caption="DR_BCDisc" attribute="1" defaultMemberUniqueName="[Диапазон].[DR_BCDisc].[All]" allUniqueName="[Диапазон].[DR_BCDisc].[All]" dimensionUniqueName="[Диапазон]" displayFolder="" count="0" memberValueDatatype="130" unbalanced="0"/>
    <cacheHierarchy uniqueName="[Диапазон].[DR_TabEmpl]" caption="DR_TabEmpl" attribute="1" defaultMemberUniqueName="[Диапазон].[DR_TabEmpl].[All]" allUniqueName="[Диапазон].[DR_TabEmpl].[All]" dimensionUniqueName="[Диапазон]" displayFolder="" count="0" memberValueDatatype="20" unbalanced="0"/>
    <cacheHierarchy uniqueName="[Диапазон].[DR_VZak]" caption="DR_VZak" attribute="1" defaultMemberUniqueName="[Диапазон].[DR_VZak].[All]" allUniqueName="[Диапазон].[DR_VZak].[All]" dimensionUniqueName="[Диапазон]" displayFolder="" count="0" memberValueDatatype="20" unbalanced="0"/>
    <cacheHierarchy uniqueName="[Диапазон].[DR_Pos]" caption="DR_Pos" attribute="1" defaultMemberUniqueName="[Диапазон].[DR_Pos].[All]" allUniqueName="[Диапазон].[DR_Pos].[All]" dimensionUniqueName="[Диапазон]" displayFolder="" count="0" memberValueDatatype="20" unbalanced="0"/>
    <cacheHierarchy uniqueName="[Диапазон 1].[ABC]" caption="ABC" attribute="1" defaultMemberUniqueName="[Диапазон 1].[ABC].[All]" allUniqueName="[Диапазон 1].[ABC].[All]" dimensionUniqueName="[Диапазон 1]" displayFolder="" count="0" memberValueDatatype="130" unbalanced="0"/>
    <cacheHierarchy uniqueName="[Диапазон 2].[ABCXYZ]" caption="ABCXYZ" attribute="1" defaultMemberUniqueName="[Диапазон 2].[ABCXYZ].[All]" allUniqueName="[Диапазон 2].[ABCXYZ].[All]" dimensionUniqueName="[Диапазон 2]" displayFolder="" count="0" memberValueDatatype="130" unbalanced="0"/>
    <cacheHierarchy uniqueName="[Measures].[__XL_Count Диапазон]" caption="__XL_Count Диапазон" measure="1" displayFolder="" measureGroup="Диапазон" count="0" hidden="1"/>
    <cacheHierarchy uniqueName="[Measures].[__XL_Count Диапазон 1]" caption="__XL_Count Диапазон 1" measure="1" displayFolder="" measureGroup="Диапазон 1" count="0" hidden="1"/>
    <cacheHierarchy uniqueName="[Measures].[__XL_Count Диапазон 2]" caption="__XL_Count Диапазон 2" measure="1" displayFolder="" measureGroup="Диапазон 2" count="0" hidden="1"/>
    <cacheHierarchy uniqueName="[Measures].[__No measures defined]" caption="__No measures defined" measure="1" displayFolder="" count="0" hidden="1"/>
    <cacheHierarchy uniqueName="[Measures].[Сумма по столбцу DR_Kol]" caption="Сумма по столбцу DR_Kol" measure="1" displayFolder="" measureGroup="Диапазон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Сумма по столбцу DR_CZak]" caption="Сумма по столбцу DR_CZak" measure="1" displayFolder="" measureGroup="Диапазон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Сумма по столбцу DR_CRoz]" caption="Сумма по столбцу DR_CRoz" measure="1" displayFolder="" measureGroup="Диапазон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Сумма по столбцу TotalSum]" caption="Сумма по столбцу TotalSum" measure="1" displayFolder="" measureGroup="Диапазон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Число элементов в столбце DR_Dat]" caption="Число элементов в столбце DR_Dat" measure="1" displayFolder="" measureGroup="Диапазон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Число разных элементов в столбце DR_Kol]" caption="Число разных элементов в столбце DR_Kol" measure="1" displayFolder="" measureGroup="Диапазон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Число разных элементов в столбце DR_Dat]" caption="Число разных элементов в столбце DR_Dat" measure="1" displayFolder="" measureGroup="Диапазон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Число элементов в столбце ABC]" caption="Число элементов в столбце ABC" measure="1" displayFolder="" measureGroup="Диапазон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Число элементов в столбце ABCXYZ]" caption="Число элементов в столбце ABCXYZ" measure="1" displayFolder="" measureGroup="Диапазон 2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</cacheHierarchies>
  <kpis count="0"/>
  <dimensions count="4">
    <dimension measure="1" name="Measures" uniqueName="[Measures]" caption="Measures"/>
    <dimension name="Диапазон" uniqueName="[Диапазон]" caption="Диапазон"/>
    <dimension name="Диапазон 1" uniqueName="[Диапазон 1]" caption="Диапазон 1"/>
    <dimension name="Диапазон 2" uniqueName="[Диапазон 2]" caption="Диапазон 2"/>
  </dimensions>
  <measureGroups count="3">
    <measureGroup name="Диапазон" caption="Диапазон"/>
    <measureGroup name="Диапазон 1" caption="Диапазон 1"/>
    <measureGroup name="Диапазон 2" caption="Диапазон 2"/>
  </measureGroups>
  <maps count="3">
    <map measureGroup="0" dimension="1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uawei" refreshedDate="45937.893468287039" backgroundQuery="1" createdVersion="7" refreshedVersion="7" minRefreshableVersion="3" recordCount="0" supportSubquery="1" supportAdvancedDrill="1" xr:uid="{2852DC3E-44F5-43DF-843A-C92623424CCB}">
  <cacheSource type="external" connectionId="1"/>
  <cacheFields count="2">
    <cacheField name="[Measures].[Число элементов в столбце ABC]" caption="Число элементов в столбце ABC" numFmtId="0" hierarchy="35" level="32767"/>
    <cacheField name="[Диапазон 1].[ABC].[ABC]" caption="ABC" numFmtId="0" hierarchy="22" level="1">
      <sharedItems count="9">
        <s v="AAA"/>
        <s v="ABA"/>
        <s v="ACA"/>
        <s v="BAB"/>
        <s v="BBB"/>
        <s v="BCB"/>
        <s v="CAC"/>
        <s v="CBC"/>
        <s v="CCC"/>
      </sharedItems>
    </cacheField>
  </cacheFields>
  <cacheHierarchies count="37">
    <cacheHierarchy uniqueName="[Диапазон].[DR_Dat]" caption="DR_Dat" attribute="1" time="1" defaultMemberUniqueName="[Диапазон].[DR_Dat].[All]" allUniqueName="[Диапазон].[DR_Dat].[All]" dimensionUniqueName="[Диапазон]" displayFolder="" count="0" memberValueDatatype="7" unbalanced="0"/>
    <cacheHierarchy uniqueName="[Диапазон].[DR_Tim]" caption="DR_Tim" attribute="1" time="1" defaultMemberUniqueName="[Диапазон].[DR_Tim].[All]" allUniqueName="[Диапазон].[DR_Tim].[All]" dimensionUniqueName="[Диапазон]" displayFolder="" count="0" memberValueDatatype="7" unbalanced="0"/>
    <cacheHierarchy uniqueName="[Диапазон].[DR_NChk]" caption="DR_NChk" attribute="1" defaultMemberUniqueName="[Диапазон].[DR_NChk].[All]" allUniqueName="[Диапазон].[DR_NChk].[All]" dimensionUniqueName="[Диапазон]" displayFolder="" count="0" memberValueDatatype="20" unbalanced="0"/>
    <cacheHierarchy uniqueName="[Диапазон].[DR_NDoc]" caption="DR_NDoc" attribute="1" defaultMemberUniqueName="[Диапазон].[DR_NDoc].[All]" allUniqueName="[Диапазон].[DR_NDoc].[All]" dimensionUniqueName="[Диапазон]" displayFolder="" count="0" memberValueDatatype="20" unbalanced="0"/>
    <cacheHierarchy uniqueName="[Диапазон].[DR_Apt]" caption="DR_Apt" attribute="1" defaultMemberUniqueName="[Диапазон].[DR_Apt].[All]" allUniqueName="[Диапазон].[DR_Apt].[All]" dimensionUniqueName="[Диапазон]" displayFolder="" count="0" memberValueDatatype="20" unbalanced="0"/>
    <cacheHierarchy uniqueName="[Диапазон].[DR_Kkm]" caption="DR_Kkm" attribute="1" defaultMemberUniqueName="[Диапазон].[DR_Kkm].[All]" allUniqueName="[Диапазон].[DR_Kkm].[All]" dimensionUniqueName="[Диапазон]" displayFolder="" count="0" memberValueDatatype="20" unbalanced="0"/>
    <cacheHierarchy uniqueName="[Диапазон].[DR_TDoc]" caption="DR_TDoc" attribute="1" defaultMemberUniqueName="[Диапазон].[DR_TDoc].[All]" allUniqueName="[Диапазон].[DR_TDoc].[All]" dimensionUniqueName="[Диапазон]" displayFolder="" count="0" memberValueDatatype="130" unbalanced="0"/>
    <cacheHierarchy uniqueName="[Диапазон].[DR_TPay]" caption="DR_TPay" attribute="1" defaultMemberUniqueName="[Диапазон].[DR_TPay].[All]" allUniqueName="[Диапазон].[DR_TPay].[All]" dimensionUniqueName="[Диапазон]" displayFolder="" count="0" memberValueDatatype="20" unbalanced="0"/>
    <cacheHierarchy uniqueName="[Диапазон].[DR_CDrugs]" caption="DR_CDrugs" attribute="1" defaultMemberUniqueName="[Диапазон].[DR_CDrugs].[All]" allUniqueName="[Диапазон].[DR_CDrugs].[All]" dimensionUniqueName="[Диапазон]" displayFolder="" count="0" memberValueDatatype="20" unbalanced="0"/>
    <cacheHierarchy uniqueName="[Диапазон].[DR_NDrugs]" caption="DR_NDrugs" attribute="1" defaultMemberUniqueName="[Диапазон].[DR_NDrugs].[All]" allUniqueName="[Диапазон].[DR_NDrugs].[All]" dimensionUniqueName="[Диапазон]" displayFolder="" count="0" memberValueDatatype="130" unbalanced="0"/>
    <cacheHierarchy uniqueName="[Диапазон].[DR_Suppl]" caption="DR_Suppl" attribute="1" defaultMemberUniqueName="[Диапазон].[DR_Suppl].[All]" allUniqueName="[Диапазон].[DR_Suppl].[All]" dimensionUniqueName="[Диапазон]" displayFolder="" count="0" memberValueDatatype="130" unbalanced="0"/>
    <cacheHierarchy uniqueName="[Диапазон].[DR_Prod]" caption="DR_Prod" attribute="1" defaultMemberUniqueName="[Диапазон].[DR_Prod].[All]" allUniqueName="[Диапазон].[DR_Prod].[All]" dimensionUniqueName="[Диапазон]" displayFolder="" count="0" memberValueDatatype="130" unbalanced="0"/>
    <cacheHierarchy uniqueName="[Диапазон].[DR_Kol]" caption="DR_Kol" attribute="1" defaultMemberUniqueName="[Диапазон].[DR_Kol].[All]" allUniqueName="[Диапазон].[DR_Kol].[All]" dimensionUniqueName="[Диапазон]" displayFolder="" count="0" memberValueDatatype="5" unbalanced="0"/>
    <cacheHierarchy uniqueName="[Диапазон].[DR_CZak]" caption="DR_CZak" attribute="1" defaultMemberUniqueName="[Диапазон].[DR_CZak].[All]" allUniqueName="[Диапазон].[DR_CZak].[All]" dimensionUniqueName="[Диапазон]" displayFolder="" count="0" memberValueDatatype="5" unbalanced="0"/>
    <cacheHierarchy uniqueName="[Диапазон].[DR_CRoz]" caption="DR_CRoz" attribute="1" defaultMemberUniqueName="[Диапазон].[DR_CRoz].[All]" allUniqueName="[Диапазон].[DR_CRoz].[All]" dimensionUniqueName="[Диапазон]" displayFolder="" count="0" memberValueDatatype="5" unbalanced="0"/>
    <cacheHierarchy uniqueName="[Диапазон].[DR_SDisc]" caption="DR_SDisc" attribute="1" defaultMemberUniqueName="[Диапазон].[DR_SDisc].[All]" allUniqueName="[Диапазон].[DR_SDisc].[All]" dimensionUniqueName="[Диапазон]" displayFolder="" count="0" memberValueDatatype="5" unbalanced="0"/>
    <cacheHierarchy uniqueName="[Диапазон].[TotalSum]" caption="TotalSum" attribute="1" defaultMemberUniqueName="[Диапазон].[TotalSum].[All]" allUniqueName="[Диапазон].[TotalSum].[All]" dimensionUniqueName="[Диапазон]" displayFolder="" count="0" memberValueDatatype="5" unbalanced="0"/>
    <cacheHierarchy uniqueName="[Диапазон].[DR_CDisc]" caption="DR_CDisc" attribute="1" defaultMemberUniqueName="[Диапазон].[DR_CDisc].[All]" allUniqueName="[Диапазон].[DR_CDisc].[All]" dimensionUniqueName="[Диапазон]" displayFolder="" count="0" memberValueDatatype="130" unbalanced="0"/>
    <cacheHierarchy uniqueName="[Диапазон].[DR_BCDisc]" caption="DR_BCDisc" attribute="1" defaultMemberUniqueName="[Диапазон].[DR_BCDisc].[All]" allUniqueName="[Диапазон].[DR_BCDisc].[All]" dimensionUniqueName="[Диапазон]" displayFolder="" count="0" memberValueDatatype="130" unbalanced="0"/>
    <cacheHierarchy uniqueName="[Диапазон].[DR_TabEmpl]" caption="DR_TabEmpl" attribute="1" defaultMemberUniqueName="[Диапазон].[DR_TabEmpl].[All]" allUniqueName="[Диапазон].[DR_TabEmpl].[All]" dimensionUniqueName="[Диапазон]" displayFolder="" count="0" memberValueDatatype="20" unbalanced="0"/>
    <cacheHierarchy uniqueName="[Диапазон].[DR_VZak]" caption="DR_VZak" attribute="1" defaultMemberUniqueName="[Диапазон].[DR_VZak].[All]" allUniqueName="[Диапазон].[DR_VZak].[All]" dimensionUniqueName="[Диапазон]" displayFolder="" count="0" memberValueDatatype="20" unbalanced="0"/>
    <cacheHierarchy uniqueName="[Диапазон].[DR_Pos]" caption="DR_Pos" attribute="1" defaultMemberUniqueName="[Диапазон].[DR_Pos].[All]" allUniqueName="[Диапазон].[DR_Pos].[All]" dimensionUniqueName="[Диапазон]" displayFolder="" count="0" memberValueDatatype="20" unbalanced="0"/>
    <cacheHierarchy uniqueName="[Диапазон 1].[ABC]" caption="ABC" attribute="1" defaultMemberUniqueName="[Диапазон 1].[ABC].[All]" allUniqueName="[Диапазон 1].[ABC].[All]" dimensionUniqueName="[Диапазон 1]" displayFolder="" count="2" memberValueDatatype="130" unbalanced="0">
      <fieldsUsage count="2">
        <fieldUsage x="-1"/>
        <fieldUsage x="1"/>
      </fieldsUsage>
    </cacheHierarchy>
    <cacheHierarchy uniqueName="[Диапазон 2].[ABCXYZ]" caption="ABCXYZ" attribute="1" defaultMemberUniqueName="[Диапазон 2].[ABCXYZ].[All]" allUniqueName="[Диапазон 2].[ABCXYZ].[All]" dimensionUniqueName="[Диапазон 2]" displayFolder="" count="0" memberValueDatatype="130" unbalanced="0"/>
    <cacheHierarchy uniqueName="[Measures].[__XL_Count Диапазон]" caption="__XL_Count Диапазон" measure="1" displayFolder="" measureGroup="Диапазон" count="0" hidden="1"/>
    <cacheHierarchy uniqueName="[Measures].[__XL_Count Диапазон 1]" caption="__XL_Count Диапазон 1" measure="1" displayFolder="" measureGroup="Диапазон 1" count="0" hidden="1"/>
    <cacheHierarchy uniqueName="[Measures].[__XL_Count Диапазон 2]" caption="__XL_Count Диапазон 2" measure="1" displayFolder="" measureGroup="Диапазон 2" count="0" hidden="1"/>
    <cacheHierarchy uniqueName="[Measures].[__No measures defined]" caption="__No measures defined" measure="1" displayFolder="" count="0" hidden="1"/>
    <cacheHierarchy uniqueName="[Measures].[Сумма по столбцу DR_Kol]" caption="Сумма по столбцу DR_Kol" measure="1" displayFolder="" measureGroup="Диапазон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Сумма по столбцу DR_CZak]" caption="Сумма по столбцу DR_CZak" measure="1" displayFolder="" measureGroup="Диапазон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Сумма по столбцу DR_CRoz]" caption="Сумма по столбцу DR_CRoz" measure="1" displayFolder="" measureGroup="Диапазон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Сумма по столбцу TotalSum]" caption="Сумма по столбцу TotalSum" measure="1" displayFolder="" measureGroup="Диапазон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Число элементов в столбце DR_Dat]" caption="Число элементов в столбце DR_Dat" measure="1" displayFolder="" measureGroup="Диапазон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Число разных элементов в столбце DR_Kol]" caption="Число разных элементов в столбце DR_Kol" measure="1" displayFolder="" measureGroup="Диапазон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Число разных элементов в столбце DR_Dat]" caption="Число разных элементов в столбце DR_Dat" measure="1" displayFolder="" measureGroup="Диапазон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Число элементов в столбце ABC]" caption="Число элементов в столбце ABC" measure="1" displayFolder="" measureGroup="Диапазон 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Число элементов в столбце ABCXYZ]" caption="Число элементов в столбце ABCXYZ" measure="1" displayFolder="" measureGroup="Диапазон 2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</cacheHierarchies>
  <kpis count="0"/>
  <dimensions count="4">
    <dimension measure="1" name="Measures" uniqueName="[Measures]" caption="Measures"/>
    <dimension name="Диапазон" uniqueName="[Диапазон]" caption="Диапазон"/>
    <dimension name="Диапазон 1" uniqueName="[Диапазон 1]" caption="Диапазон 1"/>
    <dimension name="Диапазон 2" uniqueName="[Диапазон 2]" caption="Диапазон 2"/>
  </dimensions>
  <measureGroups count="3">
    <measureGroup name="Диапазон" caption="Диапазон"/>
    <measureGroup name="Диапазон 1" caption="Диапазон 1"/>
    <measureGroup name="Диапазон 2" caption="Диапазон 2"/>
  </measureGroups>
  <maps count="3">
    <map measureGroup="0" dimension="1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uawei" refreshedDate="45937.918258912039" backgroundQuery="1" createdVersion="7" refreshedVersion="7" minRefreshableVersion="3" recordCount="0" supportSubquery="1" supportAdvancedDrill="1" xr:uid="{00252863-7060-453C-AFC5-B65C6E3A4FF9}">
  <cacheSource type="external" connectionId="1"/>
  <cacheFields count="2">
    <cacheField name="[Диапазон 2].[ABCXYZ].[ABCXYZ]" caption="ABCXYZ" numFmtId="0" hierarchy="23" level="1">
      <sharedItems count="13">
        <s v="AAA"/>
        <s v="AAAZ"/>
        <s v="ABA"/>
        <s v="ABAZ"/>
        <s v="ACA"/>
        <s v="ACAZ"/>
        <s v="BAB"/>
        <s v="BBB"/>
        <s v="BCB"/>
        <s v="CAC"/>
        <s v="CACZ"/>
        <s v="CBC"/>
        <s v="CCC"/>
      </sharedItems>
    </cacheField>
    <cacheField name="[Measures].[Число элементов в столбце ABCXYZ]" caption="Число элементов в столбце ABCXYZ" numFmtId="0" hierarchy="36" level="32767"/>
  </cacheFields>
  <cacheHierarchies count="37">
    <cacheHierarchy uniqueName="[Диапазон].[DR_Dat]" caption="DR_Dat" attribute="1" time="1" defaultMemberUniqueName="[Диапазон].[DR_Dat].[All]" allUniqueName="[Диапазон].[DR_Dat].[All]" dimensionUniqueName="[Диапазон]" displayFolder="" count="0" memberValueDatatype="7" unbalanced="0"/>
    <cacheHierarchy uniqueName="[Диапазон].[DR_Tim]" caption="DR_Tim" attribute="1" time="1" defaultMemberUniqueName="[Диапазон].[DR_Tim].[All]" allUniqueName="[Диапазон].[DR_Tim].[All]" dimensionUniqueName="[Диапазон]" displayFolder="" count="0" memberValueDatatype="7" unbalanced="0"/>
    <cacheHierarchy uniqueName="[Диапазон].[DR_NChk]" caption="DR_NChk" attribute="1" defaultMemberUniqueName="[Диапазон].[DR_NChk].[All]" allUniqueName="[Диапазон].[DR_NChk].[All]" dimensionUniqueName="[Диапазон]" displayFolder="" count="0" memberValueDatatype="20" unbalanced="0"/>
    <cacheHierarchy uniqueName="[Диапазон].[DR_NDoc]" caption="DR_NDoc" attribute="1" defaultMemberUniqueName="[Диапазон].[DR_NDoc].[All]" allUniqueName="[Диапазон].[DR_NDoc].[All]" dimensionUniqueName="[Диапазон]" displayFolder="" count="0" memberValueDatatype="20" unbalanced="0"/>
    <cacheHierarchy uniqueName="[Диапазон].[DR_Apt]" caption="DR_Apt" attribute="1" defaultMemberUniqueName="[Диапазон].[DR_Apt].[All]" allUniqueName="[Диапазон].[DR_Apt].[All]" dimensionUniqueName="[Диапазон]" displayFolder="" count="0" memberValueDatatype="20" unbalanced="0"/>
    <cacheHierarchy uniqueName="[Диапазон].[DR_Kkm]" caption="DR_Kkm" attribute="1" defaultMemberUniqueName="[Диапазон].[DR_Kkm].[All]" allUniqueName="[Диапазон].[DR_Kkm].[All]" dimensionUniqueName="[Диапазон]" displayFolder="" count="0" memberValueDatatype="20" unbalanced="0"/>
    <cacheHierarchy uniqueName="[Диапазон].[DR_TDoc]" caption="DR_TDoc" attribute="1" defaultMemberUniqueName="[Диапазон].[DR_TDoc].[All]" allUniqueName="[Диапазон].[DR_TDoc].[All]" dimensionUniqueName="[Диапазон]" displayFolder="" count="0" memberValueDatatype="130" unbalanced="0"/>
    <cacheHierarchy uniqueName="[Диапазон].[DR_TPay]" caption="DR_TPay" attribute="1" defaultMemberUniqueName="[Диапазон].[DR_TPay].[All]" allUniqueName="[Диапазон].[DR_TPay].[All]" dimensionUniqueName="[Диапазон]" displayFolder="" count="0" memberValueDatatype="20" unbalanced="0"/>
    <cacheHierarchy uniqueName="[Диапазон].[DR_CDrugs]" caption="DR_CDrugs" attribute="1" defaultMemberUniqueName="[Диапазон].[DR_CDrugs].[All]" allUniqueName="[Диапазон].[DR_CDrugs].[All]" dimensionUniqueName="[Диапазон]" displayFolder="" count="0" memberValueDatatype="20" unbalanced="0"/>
    <cacheHierarchy uniqueName="[Диапазон].[DR_NDrugs]" caption="DR_NDrugs" attribute="1" defaultMemberUniqueName="[Диапазон].[DR_NDrugs].[All]" allUniqueName="[Диапазон].[DR_NDrugs].[All]" dimensionUniqueName="[Диапазон]" displayFolder="" count="0" memberValueDatatype="130" unbalanced="0"/>
    <cacheHierarchy uniqueName="[Диапазон].[DR_Suppl]" caption="DR_Suppl" attribute="1" defaultMemberUniqueName="[Диапазон].[DR_Suppl].[All]" allUniqueName="[Диапазон].[DR_Suppl].[All]" dimensionUniqueName="[Диапазон]" displayFolder="" count="0" memberValueDatatype="130" unbalanced="0"/>
    <cacheHierarchy uniqueName="[Диапазон].[DR_Prod]" caption="DR_Prod" attribute="1" defaultMemberUniqueName="[Диапазон].[DR_Prod].[All]" allUniqueName="[Диапазон].[DR_Prod].[All]" dimensionUniqueName="[Диапазон]" displayFolder="" count="0" memberValueDatatype="130" unbalanced="0"/>
    <cacheHierarchy uniqueName="[Диапазон].[DR_Kol]" caption="DR_Kol" attribute="1" defaultMemberUniqueName="[Диапазон].[DR_Kol].[All]" allUniqueName="[Диапазон].[DR_Kol].[All]" dimensionUniqueName="[Диапазон]" displayFolder="" count="0" memberValueDatatype="5" unbalanced="0"/>
    <cacheHierarchy uniqueName="[Диапазон].[DR_CZak]" caption="DR_CZak" attribute="1" defaultMemberUniqueName="[Диапазон].[DR_CZak].[All]" allUniqueName="[Диапазон].[DR_CZak].[All]" dimensionUniqueName="[Диапазон]" displayFolder="" count="0" memberValueDatatype="5" unbalanced="0"/>
    <cacheHierarchy uniqueName="[Диапазон].[DR_CRoz]" caption="DR_CRoz" attribute="1" defaultMemberUniqueName="[Диапазон].[DR_CRoz].[All]" allUniqueName="[Диапазон].[DR_CRoz].[All]" dimensionUniqueName="[Диапазон]" displayFolder="" count="0" memberValueDatatype="5" unbalanced="0"/>
    <cacheHierarchy uniqueName="[Диапазон].[DR_SDisc]" caption="DR_SDisc" attribute="1" defaultMemberUniqueName="[Диапазон].[DR_SDisc].[All]" allUniqueName="[Диапазон].[DR_SDisc].[All]" dimensionUniqueName="[Диапазон]" displayFolder="" count="0" memberValueDatatype="5" unbalanced="0"/>
    <cacheHierarchy uniqueName="[Диапазон].[TotalSum]" caption="TotalSum" attribute="1" defaultMemberUniqueName="[Диапазон].[TotalSum].[All]" allUniqueName="[Диапазон].[TotalSum].[All]" dimensionUniqueName="[Диапазон]" displayFolder="" count="0" memberValueDatatype="5" unbalanced="0"/>
    <cacheHierarchy uniqueName="[Диапазон].[DR_CDisc]" caption="DR_CDisc" attribute="1" defaultMemberUniqueName="[Диапазон].[DR_CDisc].[All]" allUniqueName="[Диапазон].[DR_CDisc].[All]" dimensionUniqueName="[Диапазон]" displayFolder="" count="0" memberValueDatatype="130" unbalanced="0"/>
    <cacheHierarchy uniqueName="[Диапазон].[DR_BCDisc]" caption="DR_BCDisc" attribute="1" defaultMemberUniqueName="[Диапазон].[DR_BCDisc].[All]" allUniqueName="[Диапазон].[DR_BCDisc].[All]" dimensionUniqueName="[Диапазон]" displayFolder="" count="0" memberValueDatatype="130" unbalanced="0"/>
    <cacheHierarchy uniqueName="[Диапазон].[DR_TabEmpl]" caption="DR_TabEmpl" attribute="1" defaultMemberUniqueName="[Диапазон].[DR_TabEmpl].[All]" allUniqueName="[Диапазон].[DR_TabEmpl].[All]" dimensionUniqueName="[Диапазон]" displayFolder="" count="0" memberValueDatatype="20" unbalanced="0"/>
    <cacheHierarchy uniqueName="[Диапазон].[DR_VZak]" caption="DR_VZak" attribute="1" defaultMemberUniqueName="[Диапазон].[DR_VZak].[All]" allUniqueName="[Диапазон].[DR_VZak].[All]" dimensionUniqueName="[Диапазон]" displayFolder="" count="0" memberValueDatatype="20" unbalanced="0"/>
    <cacheHierarchy uniqueName="[Диапазон].[DR_Pos]" caption="DR_Pos" attribute="1" defaultMemberUniqueName="[Диапазон].[DR_Pos].[All]" allUniqueName="[Диапазон].[DR_Pos].[All]" dimensionUniqueName="[Диапазон]" displayFolder="" count="0" memberValueDatatype="20" unbalanced="0"/>
    <cacheHierarchy uniqueName="[Диапазон 1].[ABC]" caption="ABC" attribute="1" defaultMemberUniqueName="[Диапазон 1].[ABC].[All]" allUniqueName="[Диапазон 1].[ABC].[All]" dimensionUniqueName="[Диапазон 1]" displayFolder="" count="0" memberValueDatatype="130" unbalanced="0"/>
    <cacheHierarchy uniqueName="[Диапазон 2].[ABCXYZ]" caption="ABCXYZ" attribute="1" defaultMemberUniqueName="[Диапазон 2].[ABCXYZ].[All]" allUniqueName="[Диапазон 2].[ABCXYZ].[All]" dimensionUniqueName="[Диапазон 2]" displayFolder="" count="2" memberValueDatatype="130" unbalanced="0">
      <fieldsUsage count="2">
        <fieldUsage x="-1"/>
        <fieldUsage x="0"/>
      </fieldsUsage>
    </cacheHierarchy>
    <cacheHierarchy uniqueName="[Measures].[__XL_Count Диапазон]" caption="__XL_Count Диапазон" measure="1" displayFolder="" measureGroup="Диапазон" count="0" hidden="1"/>
    <cacheHierarchy uniqueName="[Measures].[__XL_Count Диапазон 1]" caption="__XL_Count Диапазон 1" measure="1" displayFolder="" measureGroup="Диапазон 1" count="0" hidden="1"/>
    <cacheHierarchy uniqueName="[Measures].[__XL_Count Диапазон 2]" caption="__XL_Count Диапазон 2" measure="1" displayFolder="" measureGroup="Диапазон 2" count="0" hidden="1"/>
    <cacheHierarchy uniqueName="[Measures].[__No measures defined]" caption="__No measures defined" measure="1" displayFolder="" count="0" hidden="1"/>
    <cacheHierarchy uniqueName="[Measures].[Сумма по столбцу DR_Kol]" caption="Сумма по столбцу DR_Kol" measure="1" displayFolder="" measureGroup="Диапазон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Сумма по столбцу DR_CZak]" caption="Сумма по столбцу DR_CZak" measure="1" displayFolder="" measureGroup="Диапазон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Сумма по столбцу DR_CRoz]" caption="Сумма по столбцу DR_CRoz" measure="1" displayFolder="" measureGroup="Диапазон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Сумма по столбцу TotalSum]" caption="Сумма по столбцу TotalSum" measure="1" displayFolder="" measureGroup="Диапазон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Число элементов в столбце DR_Dat]" caption="Число элементов в столбце DR_Dat" measure="1" displayFolder="" measureGroup="Диапазон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Число разных элементов в столбце DR_Kol]" caption="Число разных элементов в столбце DR_Kol" measure="1" displayFolder="" measureGroup="Диапазон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Число разных элементов в столбце DR_Dat]" caption="Число разных элементов в столбце DR_Dat" measure="1" displayFolder="" measureGroup="Диапазон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Число элементов в столбце ABC]" caption="Число элементов в столбце ABC" measure="1" displayFolder="" measureGroup="Диапазон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Число элементов в столбце ABCXYZ]" caption="Число элементов в столбце ABCXYZ" measure="1" displayFolder="" measureGroup="Диапазон 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3"/>
        </ext>
      </extLst>
    </cacheHierarchy>
  </cacheHierarchies>
  <kpis count="0"/>
  <dimensions count="4">
    <dimension measure="1" name="Measures" uniqueName="[Measures]" caption="Measures"/>
    <dimension name="Диапазон" uniqueName="[Диапазон]" caption="Диапазон"/>
    <dimension name="Диапазон 1" uniqueName="[Диапазон 1]" caption="Диапазон 1"/>
    <dimension name="Диапазон 2" uniqueName="[Диапазон 2]" caption="Диапазон 2"/>
  </dimensions>
  <measureGroups count="3">
    <measureGroup name="Диапазон" caption="Диапазон"/>
    <measureGroup name="Диапазон 1" caption="Диапазон 1"/>
    <measureGroup name="Диапазон 2" caption="Диапазон 2"/>
  </measureGroups>
  <maps count="3">
    <map measureGroup="0" dimension="1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2EC369-0192-492A-B79A-879A28294422}" name="Сводная таблица2" cacheId="165" applyNumberFormats="0" applyBorderFormats="0" applyFontFormats="0" applyPatternFormats="0" applyAlignmentFormats="0" applyWidthHeightFormats="1" dataCaption="Значения" updatedVersion="7" minRefreshableVersion="3" useAutoFormatting="1" subtotalHiddenItems="1" itemPrintTitles="1" createdVersion="7" indent="0" outline="1" outlineData="1" multipleFieldFilters="0">
  <location ref="A3:D807" firstHeaderRow="0" firstDataRow="1" firstDataCol="1"/>
  <pivotFields count="4">
    <pivotField axis="axisRow" allDrilled="1" subtotalTop="0" showAll="0" dataSourceSort="1" defaultSubtotal="0" defaultAttributeDrillState="1">
      <items count="80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80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Сумма по столбцу DR_Kol" fld="1" baseField="0" baseItem="0"/>
    <dataField name="Сумма по столбцу TotalSum" fld="2" baseField="0" baseItem="0"/>
    <dataField name="Число разных элементов в столбце DR_Dat" fld="3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pivotHierarchies count="3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Число элементов в столбце DR_Dat"/>
    <pivotHierarchy dragToData="1" caption="Число разных элементов в столбце DR_Kol2"/>
    <pivotHierarchy dragToData="1" caption="Число разных элементов в столбце DR_Dat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 (1)!$A$1:$V$1449">
        <x15:activeTabTopLevelEntity name="[Диапазон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9AEFCB-3E0E-4708-8054-8F9A8EAA5505}" name="Сводная таблица1" cacheId="166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>
  <location ref="A3:B13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9">
        <item x="0"/>
        <item x="1"/>
        <item x="2"/>
        <item x="3"/>
        <item x="4"/>
        <item x="5"/>
        <item x="6"/>
        <item x="7"/>
        <item x="8"/>
      </items>
    </pivotField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Число элементов в столбце ABC" fld="0" subtotal="count" baseField="0" baseItem="0"/>
  </dataFields>
  <pivotHierarchies count="3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расчеты!$O:$O">
        <x15:activeTabTopLevelEntity name="[Диапазон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AFD42B-2B87-4A19-AB6A-F61E2B7E19D6}" name="Сводная таблица2" cacheId="176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>
  <location ref="A3:B17" firstHeaderRow="1" firstDataRow="1" firstDataCol="1"/>
  <pivotFields count="2">
    <pivotField axis="axisRow" allDrilled="1" subtotalTop="0" showAll="0" dataSourceSort="1" defaultSubtotal="0" defaultAttributeDrillState="1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</pivotField>
    <pivotField dataField="1" subtotalTop="0" showAll="0" defaultSubtotal="0"/>
  </pivotFields>
  <rowFields count="1">
    <field x="0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Число элементов в столбце ABCXYZ" fld="1" subtotal="count" baseField="0" baseItem="0"/>
  </dataFields>
  <pivotHierarchies count="3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расчеты!$R:$R">
        <x15:activeTabTopLevelEntity name="[Диапазон 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X1451"/>
  <sheetViews>
    <sheetView workbookViewId="0">
      <selection sqref="A1:V1048576"/>
    </sheetView>
  </sheetViews>
  <sheetFormatPr defaultColWidth="12.6640625" defaultRowHeight="15.75" customHeight="1" x14ac:dyDescent="0.25"/>
  <cols>
    <col min="1" max="1" width="13.21875" customWidth="1"/>
    <col min="7" max="7" width="21" customWidth="1"/>
    <col min="10" max="10" width="12.6640625" style="15"/>
    <col min="13" max="13" width="12.6640625" style="15"/>
    <col min="15" max="17" width="12.6640625" style="15"/>
  </cols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4" t="s">
        <v>9</v>
      </c>
      <c r="K1" s="1" t="s">
        <v>10</v>
      </c>
      <c r="L1" s="1" t="s">
        <v>11</v>
      </c>
      <c r="M1" s="14" t="s">
        <v>12</v>
      </c>
      <c r="N1" s="2" t="s">
        <v>13</v>
      </c>
      <c r="O1" s="16" t="s">
        <v>14</v>
      </c>
      <c r="P1" s="14" t="s">
        <v>15</v>
      </c>
      <c r="Q1" s="14" t="s">
        <v>1241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9" t="s">
        <v>1263</v>
      </c>
      <c r="X1" s="19" t="s">
        <v>1264</v>
      </c>
    </row>
    <row r="2" spans="1:24" x14ac:dyDescent="0.25">
      <c r="A2" s="3">
        <v>44774</v>
      </c>
      <c r="B2" s="4">
        <v>0.45239583333333333</v>
      </c>
      <c r="C2" s="1">
        <v>1299</v>
      </c>
      <c r="D2" s="1">
        <v>13002561</v>
      </c>
      <c r="E2" s="1">
        <v>13</v>
      </c>
      <c r="F2" s="1">
        <v>22589</v>
      </c>
      <c r="G2" s="1" t="s">
        <v>21</v>
      </c>
      <c r="H2" s="1">
        <v>18</v>
      </c>
      <c r="I2" s="1">
        <v>26351</v>
      </c>
      <c r="J2" s="14" t="s">
        <v>154</v>
      </c>
      <c r="K2" s="1" t="s">
        <v>34</v>
      </c>
      <c r="L2" s="1" t="s">
        <v>155</v>
      </c>
      <c r="M2" s="14">
        <v>1</v>
      </c>
      <c r="N2" s="2">
        <v>75.81</v>
      </c>
      <c r="O2" s="16">
        <v>120</v>
      </c>
      <c r="P2" s="14">
        <v>12</v>
      </c>
      <c r="Q2" s="14">
        <f t="shared" ref="Q2:Q65" si="0">M2*O2-P2</f>
        <v>108</v>
      </c>
      <c r="R2" s="1">
        <v>9</v>
      </c>
      <c r="S2" s="1">
        <v>200010023919</v>
      </c>
      <c r="T2" s="1">
        <v>29</v>
      </c>
      <c r="U2" s="1">
        <v>1</v>
      </c>
      <c r="V2" s="1">
        <v>1</v>
      </c>
    </row>
    <row r="3" spans="1:24" x14ac:dyDescent="0.25">
      <c r="A3" s="3">
        <v>44775</v>
      </c>
      <c r="B3" s="4">
        <v>0.43678240740740742</v>
      </c>
      <c r="C3" s="1">
        <v>1433</v>
      </c>
      <c r="D3" s="1">
        <v>13002581</v>
      </c>
      <c r="E3" s="1">
        <v>13</v>
      </c>
      <c r="F3" s="1">
        <v>22589</v>
      </c>
      <c r="G3" s="1" t="s">
        <v>21</v>
      </c>
      <c r="H3" s="1">
        <v>15</v>
      </c>
      <c r="I3" s="1">
        <v>78687</v>
      </c>
      <c r="J3" s="14" t="s">
        <v>518</v>
      </c>
      <c r="K3" s="1" t="s">
        <v>51</v>
      </c>
      <c r="L3" s="1" t="s">
        <v>519</v>
      </c>
      <c r="M3" s="14">
        <v>1</v>
      </c>
      <c r="N3" s="2">
        <v>66.400000000000006</v>
      </c>
      <c r="O3" s="16">
        <v>105</v>
      </c>
      <c r="P3" s="14">
        <v>10</v>
      </c>
      <c r="Q3" s="14">
        <f t="shared" si="0"/>
        <v>95</v>
      </c>
      <c r="R3" s="1">
        <v>9</v>
      </c>
      <c r="S3" s="1">
        <v>200010002062</v>
      </c>
      <c r="T3" s="1">
        <v>29</v>
      </c>
      <c r="U3" s="1">
        <v>1</v>
      </c>
      <c r="V3" s="1">
        <v>1</v>
      </c>
    </row>
    <row r="4" spans="1:24" x14ac:dyDescent="0.25">
      <c r="A4" s="3">
        <v>44776</v>
      </c>
      <c r="B4" s="4">
        <v>0.65290509259259255</v>
      </c>
      <c r="C4" s="1">
        <v>1619</v>
      </c>
      <c r="D4" s="1">
        <v>13002595</v>
      </c>
      <c r="E4" s="1">
        <v>13</v>
      </c>
      <c r="F4" s="1">
        <v>22589</v>
      </c>
      <c r="G4" s="1" t="s">
        <v>21</v>
      </c>
      <c r="H4" s="1">
        <v>15</v>
      </c>
      <c r="I4" s="1">
        <v>117695</v>
      </c>
      <c r="J4" s="14" t="s">
        <v>870</v>
      </c>
      <c r="K4" s="1" t="s">
        <v>117</v>
      </c>
      <c r="L4" s="1" t="s">
        <v>155</v>
      </c>
      <c r="M4" s="14">
        <v>1</v>
      </c>
      <c r="N4" s="2">
        <v>77.3</v>
      </c>
      <c r="O4" s="16">
        <v>122</v>
      </c>
      <c r="P4" s="14">
        <v>12</v>
      </c>
      <c r="Q4" s="14">
        <f t="shared" si="0"/>
        <v>110</v>
      </c>
      <c r="R4" s="1">
        <v>9</v>
      </c>
      <c r="S4" s="1">
        <v>200010001007</v>
      </c>
      <c r="T4" s="1">
        <v>29</v>
      </c>
      <c r="U4" s="1">
        <v>1</v>
      </c>
      <c r="V4" s="1">
        <v>1</v>
      </c>
    </row>
    <row r="5" spans="1:24" x14ac:dyDescent="0.25">
      <c r="A5" s="3">
        <v>44774</v>
      </c>
      <c r="B5" s="4">
        <v>0.43967592592592591</v>
      </c>
      <c r="C5" s="1">
        <v>1291</v>
      </c>
      <c r="D5" s="1">
        <v>13002561</v>
      </c>
      <c r="E5" s="1">
        <v>13</v>
      </c>
      <c r="F5" s="1">
        <v>22589</v>
      </c>
      <c r="G5" s="1" t="s">
        <v>21</v>
      </c>
      <c r="H5" s="1">
        <v>15</v>
      </c>
      <c r="I5" s="1">
        <v>2289</v>
      </c>
      <c r="J5" s="14" t="s">
        <v>109</v>
      </c>
      <c r="K5" s="1" t="s">
        <v>110</v>
      </c>
      <c r="L5" s="1" t="s">
        <v>69</v>
      </c>
      <c r="M5" s="14">
        <v>1</v>
      </c>
      <c r="N5" s="2">
        <v>129.03</v>
      </c>
      <c r="O5" s="16">
        <v>153</v>
      </c>
      <c r="P5" s="14">
        <v>7</v>
      </c>
      <c r="Q5" s="14">
        <f t="shared" si="0"/>
        <v>146</v>
      </c>
      <c r="R5" s="1">
        <v>9</v>
      </c>
      <c r="S5" s="1">
        <v>200010004067</v>
      </c>
      <c r="T5" s="1">
        <v>29</v>
      </c>
      <c r="U5" s="1">
        <v>1</v>
      </c>
      <c r="V5" s="1">
        <v>1</v>
      </c>
    </row>
    <row r="6" spans="1:24" x14ac:dyDescent="0.25">
      <c r="A6" s="3">
        <v>44778</v>
      </c>
      <c r="B6" s="4">
        <v>0.77109953703703704</v>
      </c>
      <c r="C6" s="1">
        <v>1890</v>
      </c>
      <c r="D6" s="1">
        <v>13002616</v>
      </c>
      <c r="E6" s="1">
        <v>13</v>
      </c>
      <c r="F6" s="1">
        <v>22589</v>
      </c>
      <c r="G6" s="1" t="s">
        <v>21</v>
      </c>
      <c r="H6" s="1">
        <v>18</v>
      </c>
      <c r="I6" s="1">
        <v>75428</v>
      </c>
      <c r="J6" s="14" t="s">
        <v>1212</v>
      </c>
      <c r="K6" s="1" t="s">
        <v>23</v>
      </c>
      <c r="L6" s="1" t="s">
        <v>214</v>
      </c>
      <c r="M6" s="14">
        <v>1</v>
      </c>
      <c r="N6" s="2">
        <v>148.12</v>
      </c>
      <c r="O6" s="16">
        <v>177</v>
      </c>
      <c r="P6" s="14">
        <v>0</v>
      </c>
      <c r="Q6" s="14">
        <f t="shared" si="0"/>
        <v>177</v>
      </c>
      <c r="R6" s="1" t="s">
        <v>25</v>
      </c>
      <c r="S6" s="1" t="s">
        <v>25</v>
      </c>
      <c r="T6" s="1">
        <v>50</v>
      </c>
      <c r="U6" s="1">
        <v>1</v>
      </c>
      <c r="V6" s="1">
        <v>1</v>
      </c>
    </row>
    <row r="7" spans="1:24" x14ac:dyDescent="0.25">
      <c r="A7" s="3">
        <v>44774</v>
      </c>
      <c r="B7" s="4">
        <v>0.50565972222222222</v>
      </c>
      <c r="C7" s="1">
        <v>1319</v>
      </c>
      <c r="D7" s="1">
        <v>13002561</v>
      </c>
      <c r="E7" s="1">
        <v>13</v>
      </c>
      <c r="F7" s="1">
        <v>22589</v>
      </c>
      <c r="G7" s="1" t="s">
        <v>21</v>
      </c>
      <c r="H7" s="1">
        <v>18</v>
      </c>
      <c r="I7" s="1">
        <v>2039</v>
      </c>
      <c r="J7" s="14" t="s">
        <v>213</v>
      </c>
      <c r="K7" s="1" t="s">
        <v>23</v>
      </c>
      <c r="L7" s="1" t="s">
        <v>214</v>
      </c>
      <c r="M7" s="14">
        <v>1</v>
      </c>
      <c r="N7" s="2">
        <v>81.39</v>
      </c>
      <c r="O7" s="16">
        <v>99</v>
      </c>
      <c r="P7" s="14">
        <v>4</v>
      </c>
      <c r="Q7" s="14">
        <f t="shared" si="0"/>
        <v>95</v>
      </c>
      <c r="R7" s="1">
        <v>9</v>
      </c>
      <c r="S7" s="1">
        <v>200010015482</v>
      </c>
      <c r="T7" s="1">
        <v>29</v>
      </c>
      <c r="U7" s="1">
        <v>1</v>
      </c>
      <c r="V7" s="1">
        <v>1</v>
      </c>
    </row>
    <row r="8" spans="1:24" x14ac:dyDescent="0.25">
      <c r="A8" s="3">
        <v>44777</v>
      </c>
      <c r="B8" s="4">
        <v>0.72906249999999995</v>
      </c>
      <c r="C8" s="1">
        <v>1757</v>
      </c>
      <c r="D8" s="1">
        <v>13002606</v>
      </c>
      <c r="E8" s="1">
        <v>13</v>
      </c>
      <c r="F8" s="1">
        <v>22589</v>
      </c>
      <c r="G8" s="1" t="s">
        <v>21</v>
      </c>
      <c r="H8" s="1">
        <v>15</v>
      </c>
      <c r="I8" s="1">
        <v>2039</v>
      </c>
      <c r="J8" s="14" t="s">
        <v>213</v>
      </c>
      <c r="K8" s="1" t="s">
        <v>23</v>
      </c>
      <c r="L8" s="1" t="s">
        <v>214</v>
      </c>
      <c r="M8" s="14">
        <v>1</v>
      </c>
      <c r="N8" s="2">
        <v>81.540000000000006</v>
      </c>
      <c r="O8" s="16">
        <v>100</v>
      </c>
      <c r="P8" s="14">
        <v>5</v>
      </c>
      <c r="Q8" s="14">
        <f t="shared" si="0"/>
        <v>95</v>
      </c>
      <c r="R8" s="1">
        <v>9</v>
      </c>
      <c r="S8" s="1">
        <v>200010015162</v>
      </c>
      <c r="T8" s="1">
        <v>50</v>
      </c>
      <c r="U8" s="1">
        <v>1</v>
      </c>
      <c r="V8" s="1">
        <v>1</v>
      </c>
    </row>
    <row r="9" spans="1:24" x14ac:dyDescent="0.25">
      <c r="A9" s="3">
        <v>44774</v>
      </c>
      <c r="B9" s="4">
        <v>0.48202546296296295</v>
      </c>
      <c r="C9" s="1">
        <v>1309</v>
      </c>
      <c r="D9" s="1">
        <v>13002561</v>
      </c>
      <c r="E9" s="1">
        <v>13</v>
      </c>
      <c r="F9" s="1">
        <v>22589</v>
      </c>
      <c r="G9" s="1" t="s">
        <v>21</v>
      </c>
      <c r="H9" s="1">
        <v>18</v>
      </c>
      <c r="I9" s="1">
        <v>75429</v>
      </c>
      <c r="J9" s="14" t="s">
        <v>180</v>
      </c>
      <c r="K9" s="1" t="s">
        <v>29</v>
      </c>
      <c r="L9" s="1" t="s">
        <v>69</v>
      </c>
      <c r="M9" s="14">
        <v>1</v>
      </c>
      <c r="N9" s="2">
        <v>122.18</v>
      </c>
      <c r="O9" s="16">
        <v>144</v>
      </c>
      <c r="P9" s="14">
        <v>7</v>
      </c>
      <c r="Q9" s="14">
        <f t="shared" si="0"/>
        <v>137</v>
      </c>
      <c r="R9" s="1">
        <v>9</v>
      </c>
      <c r="S9" s="1">
        <v>200010002868</v>
      </c>
      <c r="T9" s="1">
        <v>29</v>
      </c>
      <c r="U9" s="1">
        <v>1</v>
      </c>
      <c r="V9" s="1">
        <v>1</v>
      </c>
    </row>
    <row r="10" spans="1:24" x14ac:dyDescent="0.25">
      <c r="A10" s="3">
        <v>44774</v>
      </c>
      <c r="B10" s="4">
        <v>0.48202546296296295</v>
      </c>
      <c r="C10" s="1">
        <v>1309</v>
      </c>
      <c r="D10" s="1">
        <v>13002561</v>
      </c>
      <c r="E10" s="1">
        <v>13</v>
      </c>
      <c r="F10" s="1">
        <v>22589</v>
      </c>
      <c r="G10" s="1" t="s">
        <v>21</v>
      </c>
      <c r="H10" s="1">
        <v>18</v>
      </c>
      <c r="I10" s="1">
        <v>75429</v>
      </c>
      <c r="J10" s="14" t="s">
        <v>180</v>
      </c>
      <c r="K10" s="1" t="s">
        <v>29</v>
      </c>
      <c r="L10" s="1" t="s">
        <v>69</v>
      </c>
      <c r="M10" s="14">
        <v>1</v>
      </c>
      <c r="N10" s="2">
        <v>122.18</v>
      </c>
      <c r="O10" s="16">
        <v>144</v>
      </c>
      <c r="P10" s="14">
        <v>7</v>
      </c>
      <c r="Q10" s="14">
        <f t="shared" si="0"/>
        <v>137</v>
      </c>
      <c r="R10" s="1">
        <v>9</v>
      </c>
      <c r="S10" s="1">
        <v>200010002868</v>
      </c>
      <c r="T10" s="1">
        <v>29</v>
      </c>
      <c r="U10" s="1">
        <v>1</v>
      </c>
      <c r="V10" s="1">
        <v>2</v>
      </c>
    </row>
    <row r="11" spans="1:24" x14ac:dyDescent="0.25">
      <c r="A11" s="3">
        <v>44777</v>
      </c>
      <c r="B11" s="4">
        <v>0.72906249999999995</v>
      </c>
      <c r="C11" s="1">
        <v>1757</v>
      </c>
      <c r="D11" s="1">
        <v>13002606</v>
      </c>
      <c r="E11" s="1">
        <v>13</v>
      </c>
      <c r="F11" s="1">
        <v>22589</v>
      </c>
      <c r="G11" s="1" t="s">
        <v>21</v>
      </c>
      <c r="H11" s="1">
        <v>15</v>
      </c>
      <c r="I11" s="1">
        <v>75429</v>
      </c>
      <c r="J11" s="14" t="s">
        <v>180</v>
      </c>
      <c r="K11" s="1" t="s">
        <v>29</v>
      </c>
      <c r="L11" s="1" t="s">
        <v>69</v>
      </c>
      <c r="M11" s="14">
        <v>1</v>
      </c>
      <c r="N11" s="2">
        <v>122.18</v>
      </c>
      <c r="O11" s="16">
        <v>144</v>
      </c>
      <c r="P11" s="14">
        <v>7</v>
      </c>
      <c r="Q11" s="14">
        <f t="shared" si="0"/>
        <v>137</v>
      </c>
      <c r="R11" s="1">
        <v>9</v>
      </c>
      <c r="S11" s="1">
        <v>200010015162</v>
      </c>
      <c r="T11" s="1">
        <v>50</v>
      </c>
      <c r="U11" s="1">
        <v>1</v>
      </c>
      <c r="V11" s="1">
        <v>2</v>
      </c>
    </row>
    <row r="12" spans="1:24" x14ac:dyDescent="0.25">
      <c r="A12" s="3">
        <v>44774</v>
      </c>
      <c r="B12" s="4">
        <v>0.38320601851851854</v>
      </c>
      <c r="C12" s="1">
        <v>1278</v>
      </c>
      <c r="D12" s="1">
        <v>13002561</v>
      </c>
      <c r="E12" s="1">
        <v>13</v>
      </c>
      <c r="F12" s="1">
        <v>22589</v>
      </c>
      <c r="G12" s="1" t="s">
        <v>21</v>
      </c>
      <c r="H12" s="1">
        <v>15</v>
      </c>
      <c r="I12" s="1">
        <v>608487</v>
      </c>
      <c r="J12" s="14" t="s">
        <v>44</v>
      </c>
      <c r="K12" s="1" t="s">
        <v>45</v>
      </c>
      <c r="L12" s="1" t="s">
        <v>46</v>
      </c>
      <c r="M12" s="14">
        <v>1</v>
      </c>
      <c r="N12" s="2">
        <v>43.29</v>
      </c>
      <c r="O12" s="16">
        <v>71</v>
      </c>
      <c r="P12" s="14">
        <v>7</v>
      </c>
      <c r="Q12" s="14">
        <f t="shared" si="0"/>
        <v>64</v>
      </c>
      <c r="R12" s="1">
        <v>9</v>
      </c>
      <c r="S12" s="1">
        <v>200010001758</v>
      </c>
      <c r="T12" s="1">
        <v>29</v>
      </c>
      <c r="U12" s="1">
        <v>1</v>
      </c>
      <c r="V12" s="1">
        <v>1</v>
      </c>
    </row>
    <row r="13" spans="1:24" x14ac:dyDescent="0.25">
      <c r="A13" s="3">
        <v>44776</v>
      </c>
      <c r="B13" s="4">
        <v>0.47851851851851851</v>
      </c>
      <c r="C13" s="1">
        <v>1567</v>
      </c>
      <c r="D13" s="1">
        <v>13002595</v>
      </c>
      <c r="E13" s="1">
        <v>13</v>
      </c>
      <c r="F13" s="1">
        <v>22589</v>
      </c>
      <c r="G13" s="1" t="s">
        <v>21</v>
      </c>
      <c r="H13" s="1">
        <v>18</v>
      </c>
      <c r="I13" s="1">
        <v>11487</v>
      </c>
      <c r="J13" s="14" t="s">
        <v>766</v>
      </c>
      <c r="K13" s="1" t="s">
        <v>117</v>
      </c>
      <c r="L13" s="1" t="s">
        <v>506</v>
      </c>
      <c r="M13" s="14">
        <v>1</v>
      </c>
      <c r="N13" s="2">
        <v>155.28</v>
      </c>
      <c r="O13" s="16">
        <v>213</v>
      </c>
      <c r="P13" s="14">
        <v>0</v>
      </c>
      <c r="Q13" s="14">
        <f t="shared" si="0"/>
        <v>213</v>
      </c>
      <c r="R13" s="1" t="s">
        <v>25</v>
      </c>
      <c r="S13" s="1" t="s">
        <v>25</v>
      </c>
      <c r="T13" s="1">
        <v>29</v>
      </c>
      <c r="U13" s="1">
        <v>1</v>
      </c>
      <c r="V13" s="1">
        <v>1</v>
      </c>
    </row>
    <row r="14" spans="1:24" x14ac:dyDescent="0.25">
      <c r="A14" s="3">
        <v>44775</v>
      </c>
      <c r="B14" s="4">
        <v>0.41244212962962962</v>
      </c>
      <c r="C14" s="1">
        <v>1429</v>
      </c>
      <c r="D14" s="1">
        <v>13002581</v>
      </c>
      <c r="E14" s="1">
        <v>13</v>
      </c>
      <c r="F14" s="1">
        <v>22589</v>
      </c>
      <c r="G14" s="1" t="s">
        <v>21</v>
      </c>
      <c r="H14" s="1">
        <v>15</v>
      </c>
      <c r="I14" s="1">
        <v>11488</v>
      </c>
      <c r="J14" s="14" t="s">
        <v>505</v>
      </c>
      <c r="K14" s="1" t="s">
        <v>117</v>
      </c>
      <c r="L14" s="1" t="s">
        <v>506</v>
      </c>
      <c r="M14" s="14">
        <v>1</v>
      </c>
      <c r="N14" s="2">
        <v>157.47999999999999</v>
      </c>
      <c r="O14" s="16">
        <v>216</v>
      </c>
      <c r="P14" s="14">
        <v>15</v>
      </c>
      <c r="Q14" s="14">
        <f t="shared" si="0"/>
        <v>201</v>
      </c>
      <c r="R14" s="1">
        <v>9</v>
      </c>
      <c r="S14" s="1">
        <v>200010001074</v>
      </c>
      <c r="T14" s="1">
        <v>29</v>
      </c>
      <c r="U14" s="1">
        <v>1</v>
      </c>
      <c r="V14" s="1">
        <v>1</v>
      </c>
    </row>
    <row r="15" spans="1:24" x14ac:dyDescent="0.25">
      <c r="A15" s="3">
        <v>44776</v>
      </c>
      <c r="B15" s="4">
        <v>0.65290509259259255</v>
      </c>
      <c r="C15" s="1">
        <v>1619</v>
      </c>
      <c r="D15" s="1">
        <v>13002595</v>
      </c>
      <c r="E15" s="1">
        <v>13</v>
      </c>
      <c r="F15" s="1">
        <v>22589</v>
      </c>
      <c r="G15" s="1" t="s">
        <v>21</v>
      </c>
      <c r="H15" s="1">
        <v>15</v>
      </c>
      <c r="I15" s="1">
        <v>338371</v>
      </c>
      <c r="J15" s="14" t="s">
        <v>871</v>
      </c>
      <c r="K15" s="1" t="s">
        <v>23</v>
      </c>
      <c r="L15" s="1" t="s">
        <v>591</v>
      </c>
      <c r="M15" s="14">
        <v>1</v>
      </c>
      <c r="N15" s="2">
        <v>29.75</v>
      </c>
      <c r="O15" s="16">
        <v>49</v>
      </c>
      <c r="P15" s="14">
        <v>4</v>
      </c>
      <c r="Q15" s="14">
        <f t="shared" si="0"/>
        <v>45</v>
      </c>
      <c r="R15" s="1">
        <v>9</v>
      </c>
      <c r="S15" s="1">
        <v>200010001007</v>
      </c>
      <c r="T15" s="1">
        <v>29</v>
      </c>
      <c r="U15" s="1">
        <v>1</v>
      </c>
      <c r="V15" s="1">
        <v>2</v>
      </c>
    </row>
    <row r="16" spans="1:24" x14ac:dyDescent="0.25">
      <c r="A16" s="3">
        <v>44774</v>
      </c>
      <c r="B16" s="4">
        <v>0.43633101851851852</v>
      </c>
      <c r="C16" s="1">
        <v>1289</v>
      </c>
      <c r="D16" s="1">
        <v>13002561</v>
      </c>
      <c r="E16" s="1">
        <v>13</v>
      </c>
      <c r="F16" s="1">
        <v>22589</v>
      </c>
      <c r="G16" s="1" t="s">
        <v>21</v>
      </c>
      <c r="H16" s="1">
        <v>15</v>
      </c>
      <c r="I16" s="1">
        <v>143150</v>
      </c>
      <c r="J16" s="14" t="s">
        <v>86</v>
      </c>
      <c r="K16" s="1" t="s">
        <v>61</v>
      </c>
      <c r="L16" s="1" t="s">
        <v>87</v>
      </c>
      <c r="M16" s="14">
        <v>1</v>
      </c>
      <c r="N16" s="2">
        <v>1042.25</v>
      </c>
      <c r="O16" s="16">
        <v>1314</v>
      </c>
      <c r="P16" s="14">
        <v>91</v>
      </c>
      <c r="Q16" s="14">
        <f t="shared" si="0"/>
        <v>1223</v>
      </c>
      <c r="R16" s="1">
        <v>9</v>
      </c>
      <c r="S16" s="1">
        <v>200010000065</v>
      </c>
      <c r="T16" s="1">
        <v>29</v>
      </c>
      <c r="U16" s="1">
        <v>1</v>
      </c>
      <c r="V16" s="1">
        <v>1</v>
      </c>
    </row>
    <row r="17" spans="1:22" x14ac:dyDescent="0.25">
      <c r="A17" s="3">
        <v>44775</v>
      </c>
      <c r="B17" s="4">
        <v>0.62216435185185182</v>
      </c>
      <c r="C17" s="1">
        <v>1484</v>
      </c>
      <c r="D17" s="1">
        <v>13002581</v>
      </c>
      <c r="E17" s="1">
        <v>13</v>
      </c>
      <c r="F17" s="1">
        <v>22589</v>
      </c>
      <c r="G17" s="1" t="s">
        <v>21</v>
      </c>
      <c r="H17" s="1">
        <v>15</v>
      </c>
      <c r="I17" s="1">
        <v>143150</v>
      </c>
      <c r="J17" s="14" t="s">
        <v>86</v>
      </c>
      <c r="K17" s="1" t="s">
        <v>61</v>
      </c>
      <c r="L17" s="1" t="s">
        <v>87</v>
      </c>
      <c r="M17" s="14">
        <v>1</v>
      </c>
      <c r="N17" s="2">
        <v>1042.25</v>
      </c>
      <c r="O17" s="16">
        <v>1314</v>
      </c>
      <c r="P17" s="14">
        <v>91</v>
      </c>
      <c r="Q17" s="14">
        <f t="shared" si="0"/>
        <v>1223</v>
      </c>
      <c r="R17" s="1">
        <v>9</v>
      </c>
      <c r="S17" s="1">
        <v>200010026887</v>
      </c>
      <c r="T17" s="1">
        <v>29</v>
      </c>
      <c r="U17" s="1">
        <v>1</v>
      </c>
      <c r="V17" s="1">
        <v>1</v>
      </c>
    </row>
    <row r="18" spans="1:22" x14ac:dyDescent="0.25">
      <c r="A18" s="3">
        <v>44776</v>
      </c>
      <c r="B18" s="4">
        <v>0.58226851851851846</v>
      </c>
      <c r="C18" s="1">
        <v>1606</v>
      </c>
      <c r="D18" s="1">
        <v>13002595</v>
      </c>
      <c r="E18" s="1">
        <v>13</v>
      </c>
      <c r="F18" s="1">
        <v>22589</v>
      </c>
      <c r="G18" s="1" t="s">
        <v>21</v>
      </c>
      <c r="H18" s="1">
        <v>18</v>
      </c>
      <c r="I18" s="1">
        <v>343815</v>
      </c>
      <c r="J18" s="14" t="s">
        <v>847</v>
      </c>
      <c r="K18" s="1" t="s">
        <v>58</v>
      </c>
      <c r="L18" s="1" t="s">
        <v>93</v>
      </c>
      <c r="M18" s="14">
        <v>1</v>
      </c>
      <c r="N18" s="2">
        <v>65.2</v>
      </c>
      <c r="O18" s="16">
        <v>84</v>
      </c>
      <c r="P18" s="14">
        <v>4</v>
      </c>
      <c r="Q18" s="14">
        <f t="shared" si="0"/>
        <v>80</v>
      </c>
      <c r="R18" s="1">
        <v>9</v>
      </c>
      <c r="S18" s="1">
        <v>200010020729</v>
      </c>
      <c r="T18" s="1">
        <v>29</v>
      </c>
      <c r="U18" s="1">
        <v>1</v>
      </c>
      <c r="V18" s="1">
        <v>1</v>
      </c>
    </row>
    <row r="19" spans="1:22" x14ac:dyDescent="0.25">
      <c r="A19" s="3">
        <v>44776</v>
      </c>
      <c r="B19" s="4">
        <v>0.58226851851851846</v>
      </c>
      <c r="C19" s="1">
        <v>1606</v>
      </c>
      <c r="D19" s="1">
        <v>13002595</v>
      </c>
      <c r="E19" s="1">
        <v>13</v>
      </c>
      <c r="F19" s="1">
        <v>22589</v>
      </c>
      <c r="G19" s="1" t="s">
        <v>21</v>
      </c>
      <c r="H19" s="1">
        <v>18</v>
      </c>
      <c r="I19" s="1">
        <v>343815</v>
      </c>
      <c r="J19" s="14" t="s">
        <v>847</v>
      </c>
      <c r="K19" s="1" t="s">
        <v>58</v>
      </c>
      <c r="L19" s="1" t="s">
        <v>93</v>
      </c>
      <c r="M19" s="14">
        <v>1</v>
      </c>
      <c r="N19" s="2">
        <v>65.2</v>
      </c>
      <c r="O19" s="16">
        <v>84</v>
      </c>
      <c r="P19" s="14">
        <v>4</v>
      </c>
      <c r="Q19" s="14">
        <f t="shared" si="0"/>
        <v>80</v>
      </c>
      <c r="R19" s="1">
        <v>9</v>
      </c>
      <c r="S19" s="1">
        <v>200010020729</v>
      </c>
      <c r="T19" s="1">
        <v>29</v>
      </c>
      <c r="U19" s="1">
        <v>1</v>
      </c>
      <c r="V19" s="1">
        <v>2</v>
      </c>
    </row>
    <row r="20" spans="1:22" x14ac:dyDescent="0.25">
      <c r="A20" s="3">
        <v>44776</v>
      </c>
      <c r="B20" s="4">
        <v>0.76508101851851851</v>
      </c>
      <c r="C20" s="1">
        <v>1644</v>
      </c>
      <c r="D20" s="1">
        <v>13002595</v>
      </c>
      <c r="E20" s="1">
        <v>13</v>
      </c>
      <c r="F20" s="1">
        <v>22589</v>
      </c>
      <c r="G20" s="1" t="s">
        <v>21</v>
      </c>
      <c r="H20" s="1">
        <v>18</v>
      </c>
      <c r="I20" s="1">
        <v>342176</v>
      </c>
      <c r="J20" s="14" t="s">
        <v>904</v>
      </c>
      <c r="K20" s="1" t="s">
        <v>51</v>
      </c>
      <c r="L20" s="1" t="s">
        <v>204</v>
      </c>
      <c r="M20" s="14">
        <v>1</v>
      </c>
      <c r="N20" s="2">
        <v>228.16</v>
      </c>
      <c r="O20" s="16">
        <v>347</v>
      </c>
      <c r="P20" s="14">
        <v>0</v>
      </c>
      <c r="Q20" s="14">
        <f t="shared" si="0"/>
        <v>347</v>
      </c>
      <c r="R20" s="1" t="s">
        <v>25</v>
      </c>
      <c r="S20" s="1" t="s">
        <v>25</v>
      </c>
      <c r="T20" s="1">
        <v>29</v>
      </c>
      <c r="U20" s="1">
        <v>1</v>
      </c>
      <c r="V20" s="1">
        <v>1</v>
      </c>
    </row>
    <row r="21" spans="1:22" x14ac:dyDescent="0.25">
      <c r="A21" s="3">
        <v>44777</v>
      </c>
      <c r="B21" s="4">
        <v>0.54795138888888884</v>
      </c>
      <c r="C21" s="1">
        <v>1714</v>
      </c>
      <c r="D21" s="1">
        <v>13002606</v>
      </c>
      <c r="E21" s="1">
        <v>13</v>
      </c>
      <c r="F21" s="1">
        <v>22589</v>
      </c>
      <c r="G21" s="1" t="s">
        <v>21</v>
      </c>
      <c r="H21" s="1">
        <v>18</v>
      </c>
      <c r="I21" s="1">
        <v>266253</v>
      </c>
      <c r="J21" s="14" t="s">
        <v>1002</v>
      </c>
      <c r="K21" s="1" t="s">
        <v>64</v>
      </c>
      <c r="L21" s="1" t="s">
        <v>1003</v>
      </c>
      <c r="M21" s="14">
        <v>1</v>
      </c>
      <c r="N21" s="2">
        <v>398.77</v>
      </c>
      <c r="O21" s="16">
        <v>587</v>
      </c>
      <c r="P21" s="14">
        <v>58</v>
      </c>
      <c r="Q21" s="14">
        <f t="shared" si="0"/>
        <v>529</v>
      </c>
      <c r="R21" s="1">
        <v>9</v>
      </c>
      <c r="S21" s="1">
        <v>200010018671</v>
      </c>
      <c r="T21" s="1">
        <v>50</v>
      </c>
      <c r="U21" s="1">
        <v>1</v>
      </c>
      <c r="V21" s="1">
        <v>1</v>
      </c>
    </row>
    <row r="22" spans="1:22" x14ac:dyDescent="0.25">
      <c r="A22" s="3">
        <v>44778</v>
      </c>
      <c r="B22" s="4">
        <v>0.50699074074074069</v>
      </c>
      <c r="C22" s="1">
        <v>1831</v>
      </c>
      <c r="D22" s="1">
        <v>13002616</v>
      </c>
      <c r="E22" s="1">
        <v>13</v>
      </c>
      <c r="F22" s="1">
        <v>22589</v>
      </c>
      <c r="G22" s="1" t="s">
        <v>21</v>
      </c>
      <c r="H22" s="1">
        <v>18</v>
      </c>
      <c r="I22" s="1">
        <v>298348</v>
      </c>
      <c r="J22" s="14" t="s">
        <v>1127</v>
      </c>
      <c r="K22" s="1" t="s">
        <v>45</v>
      </c>
      <c r="L22" s="1" t="s">
        <v>97</v>
      </c>
      <c r="M22" s="14">
        <v>1</v>
      </c>
      <c r="N22" s="2">
        <v>56.25</v>
      </c>
      <c r="O22" s="16">
        <v>89</v>
      </c>
      <c r="P22" s="14">
        <v>8</v>
      </c>
      <c r="Q22" s="14">
        <f t="shared" si="0"/>
        <v>81</v>
      </c>
      <c r="R22" s="1">
        <v>941</v>
      </c>
      <c r="S22" s="1">
        <v>200000000044</v>
      </c>
      <c r="T22" s="1">
        <v>50</v>
      </c>
      <c r="U22" s="1">
        <v>1</v>
      </c>
      <c r="V22" s="1">
        <v>1</v>
      </c>
    </row>
    <row r="23" spans="1:22" x14ac:dyDescent="0.25">
      <c r="A23" s="3">
        <v>44778</v>
      </c>
      <c r="B23" s="4">
        <v>0.72987268518518522</v>
      </c>
      <c r="C23" s="1">
        <v>1882</v>
      </c>
      <c r="D23" s="1">
        <v>13002616</v>
      </c>
      <c r="E23" s="1">
        <v>13</v>
      </c>
      <c r="F23" s="1">
        <v>22589</v>
      </c>
      <c r="G23" s="1" t="s">
        <v>21</v>
      </c>
      <c r="H23" s="1">
        <v>15</v>
      </c>
      <c r="I23" s="1">
        <v>16009</v>
      </c>
      <c r="J23" s="14" t="s">
        <v>1199</v>
      </c>
      <c r="K23" s="1" t="s">
        <v>34</v>
      </c>
      <c r="L23" s="1" t="s">
        <v>1200</v>
      </c>
      <c r="M23" s="14">
        <v>1</v>
      </c>
      <c r="N23" s="2">
        <v>162.15</v>
      </c>
      <c r="O23" s="16">
        <v>195</v>
      </c>
      <c r="P23" s="14">
        <v>0</v>
      </c>
      <c r="Q23" s="14">
        <f t="shared" si="0"/>
        <v>195</v>
      </c>
      <c r="R23" s="1" t="s">
        <v>25</v>
      </c>
      <c r="S23" s="1" t="s">
        <v>25</v>
      </c>
      <c r="T23" s="1">
        <v>50</v>
      </c>
      <c r="U23" s="1">
        <v>1</v>
      </c>
      <c r="V23" s="1">
        <v>1</v>
      </c>
    </row>
    <row r="24" spans="1:22" x14ac:dyDescent="0.25">
      <c r="A24" s="3">
        <v>44775</v>
      </c>
      <c r="B24" s="4">
        <v>0.49800925925925926</v>
      </c>
      <c r="C24" s="1">
        <v>1454</v>
      </c>
      <c r="D24" s="1">
        <v>13002581</v>
      </c>
      <c r="E24" s="1">
        <v>13</v>
      </c>
      <c r="F24" s="1">
        <v>22589</v>
      </c>
      <c r="G24" s="1" t="s">
        <v>21</v>
      </c>
      <c r="H24" s="1">
        <v>15</v>
      </c>
      <c r="I24" s="1">
        <v>498715</v>
      </c>
      <c r="J24" s="14" t="s">
        <v>556</v>
      </c>
      <c r="K24" s="1" t="s">
        <v>23</v>
      </c>
      <c r="L24" s="1" t="s">
        <v>175</v>
      </c>
      <c r="M24" s="14">
        <v>1</v>
      </c>
      <c r="N24" s="2">
        <v>454.23</v>
      </c>
      <c r="O24" s="16">
        <v>668</v>
      </c>
      <c r="P24" s="14">
        <v>66</v>
      </c>
      <c r="Q24" s="14">
        <f t="shared" si="0"/>
        <v>602</v>
      </c>
      <c r="R24" s="1">
        <v>9</v>
      </c>
      <c r="S24" s="1">
        <v>200010000733</v>
      </c>
      <c r="T24" s="1">
        <v>29</v>
      </c>
      <c r="U24" s="1">
        <v>1</v>
      </c>
      <c r="V24" s="1">
        <v>1</v>
      </c>
    </row>
    <row r="25" spans="1:22" x14ac:dyDescent="0.25">
      <c r="A25" s="3">
        <v>44776</v>
      </c>
      <c r="B25" s="4">
        <v>0.6519328703703704</v>
      </c>
      <c r="C25" s="1">
        <v>1618</v>
      </c>
      <c r="D25" s="1">
        <v>13002595</v>
      </c>
      <c r="E25" s="1">
        <v>13</v>
      </c>
      <c r="F25" s="1">
        <v>22589</v>
      </c>
      <c r="G25" s="1" t="s">
        <v>21</v>
      </c>
      <c r="H25" s="1">
        <v>18</v>
      </c>
      <c r="I25" s="1">
        <v>297896</v>
      </c>
      <c r="J25" s="14" t="s">
        <v>868</v>
      </c>
      <c r="K25" s="1" t="s">
        <v>29</v>
      </c>
      <c r="L25" s="1" t="s">
        <v>869</v>
      </c>
      <c r="M25" s="14">
        <v>0.5</v>
      </c>
      <c r="N25" s="2">
        <v>2550.1</v>
      </c>
      <c r="O25" s="16">
        <v>3061</v>
      </c>
      <c r="P25" s="14">
        <v>152.5</v>
      </c>
      <c r="Q25" s="14">
        <f t="shared" si="0"/>
        <v>1378</v>
      </c>
      <c r="R25" s="1">
        <v>9</v>
      </c>
      <c r="S25" s="1">
        <v>200010004049</v>
      </c>
      <c r="T25" s="1">
        <v>29</v>
      </c>
      <c r="U25" s="1">
        <v>1</v>
      </c>
      <c r="V25" s="1">
        <v>1</v>
      </c>
    </row>
    <row r="26" spans="1:22" x14ac:dyDescent="0.25">
      <c r="A26" s="3">
        <v>44775</v>
      </c>
      <c r="B26" s="4">
        <v>0.38952546296296298</v>
      </c>
      <c r="C26" s="1">
        <v>1427</v>
      </c>
      <c r="D26" s="1">
        <v>13002581</v>
      </c>
      <c r="E26" s="1">
        <v>13</v>
      </c>
      <c r="F26" s="1">
        <v>22589</v>
      </c>
      <c r="G26" s="1" t="s">
        <v>21</v>
      </c>
      <c r="H26" s="1">
        <v>15</v>
      </c>
      <c r="I26" s="1">
        <v>176133</v>
      </c>
      <c r="J26" s="14" t="s">
        <v>498</v>
      </c>
      <c r="K26" s="1" t="s">
        <v>23</v>
      </c>
      <c r="L26" s="1" t="s">
        <v>255</v>
      </c>
      <c r="M26" s="14">
        <v>1</v>
      </c>
      <c r="N26" s="2">
        <v>128.32</v>
      </c>
      <c r="O26" s="16">
        <v>156</v>
      </c>
      <c r="P26" s="14">
        <v>7</v>
      </c>
      <c r="Q26" s="14">
        <f t="shared" si="0"/>
        <v>149</v>
      </c>
      <c r="R26" s="1">
        <v>9</v>
      </c>
      <c r="S26" s="1">
        <v>200010021998</v>
      </c>
      <c r="T26" s="1">
        <v>29</v>
      </c>
      <c r="U26" s="1">
        <v>1</v>
      </c>
      <c r="V26" s="1">
        <v>1</v>
      </c>
    </row>
    <row r="27" spans="1:22" x14ac:dyDescent="0.25">
      <c r="A27" s="3">
        <v>44776</v>
      </c>
      <c r="B27" s="4">
        <v>0.6519328703703704</v>
      </c>
      <c r="C27" s="1">
        <v>1618</v>
      </c>
      <c r="D27" s="1">
        <v>13002595</v>
      </c>
      <c r="E27" s="1">
        <v>13</v>
      </c>
      <c r="F27" s="1">
        <v>22589</v>
      </c>
      <c r="G27" s="1" t="s">
        <v>21</v>
      </c>
      <c r="H27" s="1">
        <v>18</v>
      </c>
      <c r="I27" s="1">
        <v>176132</v>
      </c>
      <c r="J27" s="14" t="s">
        <v>867</v>
      </c>
      <c r="K27" s="1" t="s">
        <v>23</v>
      </c>
      <c r="L27" s="1" t="s">
        <v>255</v>
      </c>
      <c r="M27" s="14">
        <v>1</v>
      </c>
      <c r="N27" s="2">
        <v>105.59</v>
      </c>
      <c r="O27" s="16">
        <v>128</v>
      </c>
      <c r="P27" s="14">
        <v>6</v>
      </c>
      <c r="Q27" s="14">
        <f t="shared" si="0"/>
        <v>122</v>
      </c>
      <c r="R27" s="1">
        <v>9</v>
      </c>
      <c r="S27" s="1">
        <v>200010004049</v>
      </c>
      <c r="T27" s="1">
        <v>29</v>
      </c>
      <c r="U27" s="1">
        <v>1</v>
      </c>
      <c r="V27" s="1">
        <v>2</v>
      </c>
    </row>
    <row r="28" spans="1:22" x14ac:dyDescent="0.25">
      <c r="A28" s="3">
        <v>44778</v>
      </c>
      <c r="B28" s="4">
        <v>0.34400462962962963</v>
      </c>
      <c r="C28" s="1">
        <v>1785</v>
      </c>
      <c r="D28" s="1">
        <v>13002616</v>
      </c>
      <c r="E28" s="1">
        <v>13</v>
      </c>
      <c r="F28" s="1">
        <v>22589</v>
      </c>
      <c r="G28" s="1" t="s">
        <v>21</v>
      </c>
      <c r="H28" s="1">
        <v>15</v>
      </c>
      <c r="I28" s="1">
        <v>305271</v>
      </c>
      <c r="J28" s="14" t="s">
        <v>1079</v>
      </c>
      <c r="K28" s="1" t="s">
        <v>23</v>
      </c>
      <c r="L28" s="1" t="s">
        <v>255</v>
      </c>
      <c r="M28" s="14">
        <v>1</v>
      </c>
      <c r="N28" s="2">
        <v>893.49</v>
      </c>
      <c r="O28" s="16">
        <v>1153</v>
      </c>
      <c r="P28" s="14">
        <v>172</v>
      </c>
      <c r="Q28" s="14">
        <f t="shared" si="0"/>
        <v>981</v>
      </c>
      <c r="R28" s="1">
        <v>27</v>
      </c>
      <c r="S28" s="1">
        <v>200010000015</v>
      </c>
      <c r="T28" s="1">
        <v>50</v>
      </c>
      <c r="U28" s="1">
        <v>1</v>
      </c>
      <c r="V28" s="1">
        <v>1</v>
      </c>
    </row>
    <row r="29" spans="1:22" x14ac:dyDescent="0.25">
      <c r="A29" s="3">
        <v>44778</v>
      </c>
      <c r="B29" s="4">
        <v>0.63206018518518514</v>
      </c>
      <c r="C29" s="1">
        <v>1862</v>
      </c>
      <c r="D29" s="1">
        <v>13002616</v>
      </c>
      <c r="E29" s="1">
        <v>13</v>
      </c>
      <c r="F29" s="1">
        <v>22589</v>
      </c>
      <c r="G29" s="1" t="s">
        <v>21</v>
      </c>
      <c r="H29" s="1">
        <v>18</v>
      </c>
      <c r="I29" s="1">
        <v>84612</v>
      </c>
      <c r="J29" s="14" t="s">
        <v>1182</v>
      </c>
      <c r="K29" s="1" t="s">
        <v>45</v>
      </c>
      <c r="L29" s="1" t="s">
        <v>1183</v>
      </c>
      <c r="M29" s="14">
        <v>0.2</v>
      </c>
      <c r="N29" s="2">
        <v>1470.75</v>
      </c>
      <c r="O29" s="16">
        <v>1839</v>
      </c>
      <c r="P29" s="14">
        <v>54.8</v>
      </c>
      <c r="Q29" s="14">
        <f t="shared" si="0"/>
        <v>313</v>
      </c>
      <c r="R29" s="1">
        <v>27</v>
      </c>
      <c r="S29" s="1">
        <v>200010000015</v>
      </c>
      <c r="T29" s="1">
        <v>50</v>
      </c>
      <c r="U29" s="1">
        <v>1</v>
      </c>
      <c r="V29" s="1">
        <v>1</v>
      </c>
    </row>
    <row r="30" spans="1:22" x14ac:dyDescent="0.25">
      <c r="A30" s="3">
        <v>44777</v>
      </c>
      <c r="B30" s="4">
        <v>0.48834490740740738</v>
      </c>
      <c r="C30" s="1">
        <v>1685</v>
      </c>
      <c r="D30" s="1">
        <v>13002606</v>
      </c>
      <c r="E30" s="1">
        <v>13</v>
      </c>
      <c r="F30" s="1">
        <v>22589</v>
      </c>
      <c r="G30" s="1" t="s">
        <v>21</v>
      </c>
      <c r="H30" s="1">
        <v>18</v>
      </c>
      <c r="I30" s="1">
        <v>69536</v>
      </c>
      <c r="J30" s="14" t="s">
        <v>964</v>
      </c>
      <c r="K30" s="1" t="s">
        <v>34</v>
      </c>
      <c r="L30" s="1" t="s">
        <v>43</v>
      </c>
      <c r="M30" s="14">
        <v>1</v>
      </c>
      <c r="N30" s="2">
        <v>566.80999999999995</v>
      </c>
      <c r="O30" s="16">
        <v>652</v>
      </c>
      <c r="P30" s="14">
        <v>45</v>
      </c>
      <c r="Q30" s="14">
        <f t="shared" si="0"/>
        <v>607</v>
      </c>
      <c r="R30" s="1">
        <v>9</v>
      </c>
      <c r="S30" s="1">
        <v>200010022986</v>
      </c>
      <c r="T30" s="1">
        <v>50</v>
      </c>
      <c r="U30" s="1">
        <v>1</v>
      </c>
      <c r="V30" s="1">
        <v>1</v>
      </c>
    </row>
    <row r="31" spans="1:22" x14ac:dyDescent="0.25">
      <c r="A31" s="3">
        <v>44776</v>
      </c>
      <c r="B31" s="4">
        <v>0.6390393518518519</v>
      </c>
      <c r="C31" s="1">
        <v>1617</v>
      </c>
      <c r="D31" s="1">
        <v>13002595</v>
      </c>
      <c r="E31" s="1">
        <v>13</v>
      </c>
      <c r="F31" s="1">
        <v>22589</v>
      </c>
      <c r="G31" s="1" t="s">
        <v>21</v>
      </c>
      <c r="H31" s="1">
        <v>15</v>
      </c>
      <c r="I31" s="1">
        <v>438876</v>
      </c>
      <c r="J31" s="14" t="s">
        <v>864</v>
      </c>
      <c r="K31" s="1" t="s">
        <v>51</v>
      </c>
      <c r="L31" s="1" t="s">
        <v>865</v>
      </c>
      <c r="M31" s="14">
        <v>1</v>
      </c>
      <c r="N31" s="2">
        <v>92.3</v>
      </c>
      <c r="O31" s="16">
        <v>145</v>
      </c>
      <c r="P31" s="14">
        <v>14</v>
      </c>
      <c r="Q31" s="14">
        <f t="shared" si="0"/>
        <v>131</v>
      </c>
      <c r="R31" s="1">
        <v>9</v>
      </c>
      <c r="S31" s="1">
        <v>200010001084</v>
      </c>
      <c r="T31" s="1">
        <v>29</v>
      </c>
      <c r="U31" s="1">
        <v>1</v>
      </c>
      <c r="V31" s="1">
        <v>1</v>
      </c>
    </row>
    <row r="32" spans="1:22" x14ac:dyDescent="0.25">
      <c r="A32" s="3">
        <v>44776</v>
      </c>
      <c r="B32" s="4">
        <v>0.73439814814814819</v>
      </c>
      <c r="C32" s="1">
        <v>1636</v>
      </c>
      <c r="D32" s="1">
        <v>13002595</v>
      </c>
      <c r="E32" s="1">
        <v>13</v>
      </c>
      <c r="F32" s="1">
        <v>22589</v>
      </c>
      <c r="G32" s="1" t="s">
        <v>21</v>
      </c>
      <c r="H32" s="1">
        <v>15</v>
      </c>
      <c r="I32" s="1">
        <v>110499</v>
      </c>
      <c r="J32" s="14" t="s">
        <v>897</v>
      </c>
      <c r="K32" s="1" t="s">
        <v>23</v>
      </c>
      <c r="L32" s="1" t="s">
        <v>159</v>
      </c>
      <c r="M32" s="14">
        <v>1</v>
      </c>
      <c r="N32" s="2">
        <v>694.8</v>
      </c>
      <c r="O32" s="16">
        <v>987</v>
      </c>
      <c r="P32" s="14">
        <v>0</v>
      </c>
      <c r="Q32" s="14">
        <f t="shared" si="0"/>
        <v>987</v>
      </c>
      <c r="R32" s="1" t="s">
        <v>25</v>
      </c>
      <c r="S32" s="1" t="s">
        <v>25</v>
      </c>
      <c r="T32" s="1">
        <v>29</v>
      </c>
      <c r="U32" s="1">
        <v>1</v>
      </c>
      <c r="V32" s="1">
        <v>1</v>
      </c>
    </row>
    <row r="33" spans="1:22" x14ac:dyDescent="0.25">
      <c r="A33" s="3">
        <v>44775</v>
      </c>
      <c r="B33" s="4">
        <v>0.49315972222222221</v>
      </c>
      <c r="C33" s="1">
        <v>1450</v>
      </c>
      <c r="D33" s="1">
        <v>13002581</v>
      </c>
      <c r="E33" s="1">
        <v>13</v>
      </c>
      <c r="F33" s="1">
        <v>22589</v>
      </c>
      <c r="G33" s="1" t="s">
        <v>21</v>
      </c>
      <c r="H33" s="1">
        <v>15</v>
      </c>
      <c r="I33" s="1">
        <v>4189</v>
      </c>
      <c r="J33" s="14" t="s">
        <v>544</v>
      </c>
      <c r="K33" s="1" t="s">
        <v>117</v>
      </c>
      <c r="L33" s="1" t="s">
        <v>545</v>
      </c>
      <c r="M33" s="14">
        <v>1</v>
      </c>
      <c r="N33" s="2">
        <v>559.91</v>
      </c>
      <c r="O33" s="16">
        <v>624</v>
      </c>
      <c r="P33" s="14">
        <v>18</v>
      </c>
      <c r="Q33" s="14">
        <f t="shared" si="0"/>
        <v>606</v>
      </c>
      <c r="R33" s="1">
        <v>9</v>
      </c>
      <c r="S33" s="1">
        <v>200010019550</v>
      </c>
      <c r="T33" s="1">
        <v>29</v>
      </c>
      <c r="U33" s="1">
        <v>1</v>
      </c>
      <c r="V33" s="1">
        <v>1</v>
      </c>
    </row>
    <row r="34" spans="1:22" x14ac:dyDescent="0.25">
      <c r="A34" s="3">
        <v>44776</v>
      </c>
      <c r="B34" s="4">
        <v>0.77318287037037037</v>
      </c>
      <c r="C34" s="1">
        <v>1645</v>
      </c>
      <c r="D34" s="1">
        <v>13002595</v>
      </c>
      <c r="E34" s="1">
        <v>13</v>
      </c>
      <c r="F34" s="1">
        <v>22589</v>
      </c>
      <c r="G34" s="1" t="s">
        <v>21</v>
      </c>
      <c r="H34" s="1">
        <v>18</v>
      </c>
      <c r="I34" s="1">
        <v>348072</v>
      </c>
      <c r="J34" s="14" t="s">
        <v>905</v>
      </c>
      <c r="K34" s="1" t="s">
        <v>51</v>
      </c>
      <c r="L34" s="1" t="s">
        <v>35</v>
      </c>
      <c r="M34" s="14">
        <v>1</v>
      </c>
      <c r="N34" s="2">
        <v>227.13</v>
      </c>
      <c r="O34" s="16">
        <v>307</v>
      </c>
      <c r="P34" s="14">
        <v>0</v>
      </c>
      <c r="Q34" s="14">
        <f t="shared" si="0"/>
        <v>307</v>
      </c>
      <c r="R34" s="1" t="s">
        <v>25</v>
      </c>
      <c r="S34" s="1" t="s">
        <v>25</v>
      </c>
      <c r="T34" s="1">
        <v>29</v>
      </c>
      <c r="U34" s="1">
        <v>1</v>
      </c>
      <c r="V34" s="1">
        <v>1</v>
      </c>
    </row>
    <row r="35" spans="1:22" x14ac:dyDescent="0.25">
      <c r="A35" s="3">
        <v>44775</v>
      </c>
      <c r="B35" s="4">
        <v>0.37314814814814817</v>
      </c>
      <c r="C35" s="1">
        <v>1420</v>
      </c>
      <c r="D35" s="1">
        <v>13002581</v>
      </c>
      <c r="E35" s="1">
        <v>13</v>
      </c>
      <c r="F35" s="1">
        <v>22589</v>
      </c>
      <c r="G35" s="1" t="s">
        <v>21</v>
      </c>
      <c r="H35" s="1">
        <v>15</v>
      </c>
      <c r="I35" s="1">
        <v>342266</v>
      </c>
      <c r="J35" s="14" t="s">
        <v>481</v>
      </c>
      <c r="K35" s="1" t="s">
        <v>51</v>
      </c>
      <c r="L35" s="1" t="s">
        <v>335</v>
      </c>
      <c r="M35" s="14">
        <v>1</v>
      </c>
      <c r="N35" s="2">
        <v>52.91</v>
      </c>
      <c r="O35" s="16">
        <v>76</v>
      </c>
      <c r="P35" s="14">
        <v>5</v>
      </c>
      <c r="Q35" s="14">
        <f t="shared" si="0"/>
        <v>71</v>
      </c>
      <c r="R35" s="1">
        <v>9</v>
      </c>
      <c r="S35" s="1">
        <v>200010011822</v>
      </c>
      <c r="T35" s="1">
        <v>29</v>
      </c>
      <c r="U35" s="1">
        <v>1</v>
      </c>
      <c r="V35" s="1">
        <v>1</v>
      </c>
    </row>
    <row r="36" spans="1:22" x14ac:dyDescent="0.25">
      <c r="A36" s="3">
        <v>44775</v>
      </c>
      <c r="B36" s="4">
        <v>0.46716435185185184</v>
      </c>
      <c r="C36" s="1">
        <v>1441</v>
      </c>
      <c r="D36" s="1">
        <v>13002581</v>
      </c>
      <c r="E36" s="1">
        <v>13</v>
      </c>
      <c r="F36" s="1">
        <v>22589</v>
      </c>
      <c r="G36" s="1" t="s">
        <v>21</v>
      </c>
      <c r="H36" s="1">
        <v>18</v>
      </c>
      <c r="I36" s="1">
        <v>83</v>
      </c>
      <c r="J36" s="14" t="s">
        <v>532</v>
      </c>
      <c r="K36" s="1" t="s">
        <v>51</v>
      </c>
      <c r="L36" s="1" t="s">
        <v>533</v>
      </c>
      <c r="M36" s="14">
        <v>1</v>
      </c>
      <c r="N36" s="2">
        <v>308.89999999999998</v>
      </c>
      <c r="O36" s="16">
        <v>371</v>
      </c>
      <c r="P36" s="14">
        <v>25</v>
      </c>
      <c r="Q36" s="14">
        <f t="shared" si="0"/>
        <v>346</v>
      </c>
      <c r="R36" s="1">
        <v>9</v>
      </c>
      <c r="S36" s="1">
        <v>200010022273</v>
      </c>
      <c r="T36" s="1">
        <v>29</v>
      </c>
      <c r="U36" s="1">
        <v>1</v>
      </c>
      <c r="V36" s="1">
        <v>1</v>
      </c>
    </row>
    <row r="37" spans="1:22" x14ac:dyDescent="0.25">
      <c r="A37" s="3">
        <v>44778</v>
      </c>
      <c r="B37" s="4">
        <v>0.76708333333333334</v>
      </c>
      <c r="C37" s="1">
        <v>1888</v>
      </c>
      <c r="D37" s="1">
        <v>13002616</v>
      </c>
      <c r="E37" s="1">
        <v>13</v>
      </c>
      <c r="F37" s="1">
        <v>22589</v>
      </c>
      <c r="G37" s="1" t="s">
        <v>21</v>
      </c>
      <c r="H37" s="1">
        <v>18</v>
      </c>
      <c r="I37" s="1">
        <v>60823</v>
      </c>
      <c r="J37" s="14" t="s">
        <v>1206</v>
      </c>
      <c r="K37" s="1" t="s">
        <v>51</v>
      </c>
      <c r="L37" s="1" t="s">
        <v>1207</v>
      </c>
      <c r="M37" s="14">
        <v>1</v>
      </c>
      <c r="N37" s="2">
        <v>864.03</v>
      </c>
      <c r="O37" s="16">
        <v>1115</v>
      </c>
      <c r="P37" s="14">
        <v>78</v>
      </c>
      <c r="Q37" s="14">
        <f t="shared" si="0"/>
        <v>1037</v>
      </c>
      <c r="R37" s="1">
        <v>9</v>
      </c>
      <c r="S37" s="1">
        <v>200010004411</v>
      </c>
      <c r="T37" s="1">
        <v>50</v>
      </c>
      <c r="U37" s="1">
        <v>1</v>
      </c>
      <c r="V37" s="1">
        <v>1</v>
      </c>
    </row>
    <row r="38" spans="1:22" x14ac:dyDescent="0.25">
      <c r="A38" s="3">
        <v>44775</v>
      </c>
      <c r="B38" s="4">
        <v>0.75609953703703703</v>
      </c>
      <c r="C38" s="1">
        <v>1522</v>
      </c>
      <c r="D38" s="1">
        <v>13002581</v>
      </c>
      <c r="E38" s="1">
        <v>13</v>
      </c>
      <c r="F38" s="1">
        <v>22589</v>
      </c>
      <c r="G38" s="1" t="s">
        <v>21</v>
      </c>
      <c r="H38" s="1">
        <v>18</v>
      </c>
      <c r="I38" s="1">
        <v>321882</v>
      </c>
      <c r="J38" s="14" t="s">
        <v>678</v>
      </c>
      <c r="K38" s="1" t="s">
        <v>466</v>
      </c>
      <c r="L38" s="1" t="s">
        <v>679</v>
      </c>
      <c r="M38" s="14">
        <v>1</v>
      </c>
      <c r="N38" s="2">
        <v>1629.21</v>
      </c>
      <c r="O38" s="16">
        <v>1706</v>
      </c>
      <c r="P38" s="14">
        <v>0</v>
      </c>
      <c r="Q38" s="14">
        <f t="shared" si="0"/>
        <v>1706</v>
      </c>
      <c r="R38" s="1" t="s">
        <v>25</v>
      </c>
      <c r="S38" s="1" t="s">
        <v>25</v>
      </c>
      <c r="T38" s="1">
        <v>29</v>
      </c>
      <c r="U38" s="1">
        <v>2</v>
      </c>
      <c r="V38" s="1">
        <v>1</v>
      </c>
    </row>
    <row r="39" spans="1:22" x14ac:dyDescent="0.25">
      <c r="A39" s="3">
        <v>44777</v>
      </c>
      <c r="B39" s="4">
        <v>0.5276967592592593</v>
      </c>
      <c r="C39" s="1">
        <v>1704</v>
      </c>
      <c r="D39" s="1">
        <v>13002606</v>
      </c>
      <c r="E39" s="1">
        <v>13</v>
      </c>
      <c r="F39" s="1">
        <v>22589</v>
      </c>
      <c r="G39" s="1" t="s">
        <v>21</v>
      </c>
      <c r="H39" s="1">
        <v>15</v>
      </c>
      <c r="I39" s="1">
        <v>466557</v>
      </c>
      <c r="J39" s="14" t="s">
        <v>987</v>
      </c>
      <c r="K39" s="1" t="s">
        <v>34</v>
      </c>
      <c r="L39" s="1" t="s">
        <v>988</v>
      </c>
      <c r="M39" s="14">
        <v>1</v>
      </c>
      <c r="N39" s="2">
        <v>100.58</v>
      </c>
      <c r="O39" s="16">
        <v>146</v>
      </c>
      <c r="P39" s="14">
        <v>36</v>
      </c>
      <c r="Q39" s="14">
        <f t="shared" si="0"/>
        <v>110</v>
      </c>
      <c r="R39" s="1">
        <v>939</v>
      </c>
      <c r="S39" s="1">
        <v>200000000042</v>
      </c>
      <c r="T39" s="1">
        <v>50</v>
      </c>
      <c r="U39" s="1">
        <v>1</v>
      </c>
      <c r="V39" s="1">
        <v>1</v>
      </c>
    </row>
    <row r="40" spans="1:22" x14ac:dyDescent="0.25">
      <c r="A40" s="3">
        <v>44775</v>
      </c>
      <c r="B40" s="4">
        <v>0.62216435185185182</v>
      </c>
      <c r="C40" s="1">
        <v>1484</v>
      </c>
      <c r="D40" s="1">
        <v>13002581</v>
      </c>
      <c r="E40" s="1">
        <v>13</v>
      </c>
      <c r="F40" s="1">
        <v>22589</v>
      </c>
      <c r="G40" s="1" t="s">
        <v>21</v>
      </c>
      <c r="H40" s="1">
        <v>15</v>
      </c>
      <c r="I40" s="1">
        <v>152071</v>
      </c>
      <c r="J40" s="14" t="s">
        <v>621</v>
      </c>
      <c r="K40" s="1" t="s">
        <v>51</v>
      </c>
      <c r="L40" s="1" t="s">
        <v>622</v>
      </c>
      <c r="M40" s="14">
        <v>1</v>
      </c>
      <c r="N40" s="2">
        <v>724.22</v>
      </c>
      <c r="O40" s="16">
        <v>935</v>
      </c>
      <c r="P40" s="14">
        <v>65</v>
      </c>
      <c r="Q40" s="14">
        <f t="shared" si="0"/>
        <v>870</v>
      </c>
      <c r="R40" s="1">
        <v>9</v>
      </c>
      <c r="S40" s="1">
        <v>200010026887</v>
      </c>
      <c r="T40" s="1">
        <v>29</v>
      </c>
      <c r="U40" s="1">
        <v>1</v>
      </c>
      <c r="V40" s="1">
        <v>2</v>
      </c>
    </row>
    <row r="41" spans="1:22" x14ac:dyDescent="0.25">
      <c r="A41" s="3">
        <v>44776</v>
      </c>
      <c r="B41" s="4">
        <v>0.78861111111111115</v>
      </c>
      <c r="C41" s="1">
        <v>1650</v>
      </c>
      <c r="D41" s="1">
        <v>13002595</v>
      </c>
      <c r="E41" s="1">
        <v>13</v>
      </c>
      <c r="F41" s="1">
        <v>22589</v>
      </c>
      <c r="G41" s="1" t="s">
        <v>21</v>
      </c>
      <c r="H41" s="1">
        <v>18</v>
      </c>
      <c r="I41" s="1">
        <v>55064</v>
      </c>
      <c r="J41" s="14" t="s">
        <v>913</v>
      </c>
      <c r="K41" s="1" t="s">
        <v>117</v>
      </c>
      <c r="L41" s="1" t="s">
        <v>914</v>
      </c>
      <c r="M41" s="14">
        <v>1</v>
      </c>
      <c r="N41" s="2">
        <v>60.12</v>
      </c>
      <c r="O41" s="16">
        <v>98</v>
      </c>
      <c r="P41" s="14">
        <v>0</v>
      </c>
      <c r="Q41" s="14">
        <f t="shared" si="0"/>
        <v>98</v>
      </c>
      <c r="R41" s="1" t="s">
        <v>25</v>
      </c>
      <c r="S41" s="1" t="s">
        <v>25</v>
      </c>
      <c r="T41" s="1">
        <v>29</v>
      </c>
      <c r="U41" s="1">
        <v>1</v>
      </c>
      <c r="V41" s="1">
        <v>1</v>
      </c>
    </row>
    <row r="42" spans="1:22" x14ac:dyDescent="0.25">
      <c r="A42" s="3">
        <v>44777</v>
      </c>
      <c r="B42" s="4">
        <v>0.47372685185185187</v>
      </c>
      <c r="C42" s="1">
        <v>1681</v>
      </c>
      <c r="D42" s="1">
        <v>13002606</v>
      </c>
      <c r="E42" s="1">
        <v>13</v>
      </c>
      <c r="F42" s="1">
        <v>22589</v>
      </c>
      <c r="G42" s="1" t="s">
        <v>21</v>
      </c>
      <c r="H42" s="1">
        <v>18</v>
      </c>
      <c r="I42" s="1">
        <v>339150</v>
      </c>
      <c r="J42" s="14" t="s">
        <v>958</v>
      </c>
      <c r="K42" s="1" t="s">
        <v>23</v>
      </c>
      <c r="L42" s="1" t="s">
        <v>202</v>
      </c>
      <c r="M42" s="14">
        <v>1</v>
      </c>
      <c r="N42" s="2">
        <v>31.38</v>
      </c>
      <c r="O42" s="16">
        <v>40</v>
      </c>
      <c r="P42" s="14">
        <v>4</v>
      </c>
      <c r="Q42" s="14">
        <f t="shared" si="0"/>
        <v>36</v>
      </c>
      <c r="R42" s="1">
        <v>27</v>
      </c>
      <c r="S42" s="1">
        <v>200010000015</v>
      </c>
      <c r="T42" s="1">
        <v>50</v>
      </c>
      <c r="U42" s="1">
        <v>1</v>
      </c>
      <c r="V42" s="1">
        <v>1</v>
      </c>
    </row>
    <row r="43" spans="1:22" x14ac:dyDescent="0.25">
      <c r="A43" s="3">
        <v>44776</v>
      </c>
      <c r="B43" s="4">
        <v>0.71657407407407403</v>
      </c>
      <c r="C43" s="1">
        <v>1631</v>
      </c>
      <c r="D43" s="1">
        <v>13002595</v>
      </c>
      <c r="E43" s="1">
        <v>13</v>
      </c>
      <c r="F43" s="1">
        <v>22589</v>
      </c>
      <c r="G43" s="1" t="s">
        <v>21</v>
      </c>
      <c r="H43" s="1">
        <v>15</v>
      </c>
      <c r="I43" s="1">
        <v>15423</v>
      </c>
      <c r="J43" s="14" t="s">
        <v>887</v>
      </c>
      <c r="K43" s="1" t="s">
        <v>141</v>
      </c>
      <c r="L43" s="1" t="s">
        <v>888</v>
      </c>
      <c r="M43" s="14">
        <v>1</v>
      </c>
      <c r="N43" s="2">
        <v>23.87</v>
      </c>
      <c r="O43" s="16">
        <v>39</v>
      </c>
      <c r="P43" s="14">
        <v>0</v>
      </c>
      <c r="Q43" s="14">
        <f t="shared" si="0"/>
        <v>39</v>
      </c>
      <c r="R43" s="1" t="s">
        <v>25</v>
      </c>
      <c r="S43" s="1" t="s">
        <v>25</v>
      </c>
      <c r="T43" s="1">
        <v>29</v>
      </c>
      <c r="U43" s="1">
        <v>1</v>
      </c>
      <c r="V43" s="1">
        <v>1</v>
      </c>
    </row>
    <row r="44" spans="1:22" x14ac:dyDescent="0.25">
      <c r="A44" s="3">
        <v>44775</v>
      </c>
      <c r="B44" s="4">
        <v>0.37064814814814817</v>
      </c>
      <c r="C44" s="1">
        <v>1418</v>
      </c>
      <c r="D44" s="1">
        <v>13002581</v>
      </c>
      <c r="E44" s="1">
        <v>13</v>
      </c>
      <c r="F44" s="1">
        <v>22589</v>
      </c>
      <c r="G44" s="1" t="s">
        <v>21</v>
      </c>
      <c r="H44" s="1">
        <v>18</v>
      </c>
      <c r="I44" s="1">
        <v>271689</v>
      </c>
      <c r="J44" s="14" t="s">
        <v>478</v>
      </c>
      <c r="K44" s="1" t="s">
        <v>34</v>
      </c>
      <c r="L44" s="1" t="s">
        <v>248</v>
      </c>
      <c r="M44" s="14">
        <v>1</v>
      </c>
      <c r="N44" s="2">
        <v>307.19</v>
      </c>
      <c r="O44" s="16">
        <v>406</v>
      </c>
      <c r="P44" s="14">
        <v>28</v>
      </c>
      <c r="Q44" s="14">
        <f t="shared" si="0"/>
        <v>378</v>
      </c>
      <c r="R44" s="1">
        <v>9</v>
      </c>
      <c r="S44" s="1">
        <v>200010020497</v>
      </c>
      <c r="T44" s="1">
        <v>29</v>
      </c>
      <c r="U44" s="1">
        <v>1</v>
      </c>
      <c r="V44" s="1">
        <v>1</v>
      </c>
    </row>
    <row r="45" spans="1:22" x14ac:dyDescent="0.25">
      <c r="A45" s="3">
        <v>44775</v>
      </c>
      <c r="B45" s="4">
        <v>0.58020833333333333</v>
      </c>
      <c r="C45" s="1">
        <v>1478</v>
      </c>
      <c r="D45" s="1">
        <v>13002581</v>
      </c>
      <c r="E45" s="1">
        <v>13</v>
      </c>
      <c r="F45" s="1">
        <v>22589</v>
      </c>
      <c r="G45" s="1" t="s">
        <v>21</v>
      </c>
      <c r="H45" s="1">
        <v>15</v>
      </c>
      <c r="I45" s="1">
        <v>7308</v>
      </c>
      <c r="J45" s="14" t="s">
        <v>607</v>
      </c>
      <c r="K45" s="1" t="s">
        <v>48</v>
      </c>
      <c r="L45" s="1" t="s">
        <v>32</v>
      </c>
      <c r="M45" s="14">
        <v>1</v>
      </c>
      <c r="N45" s="2">
        <v>546.04</v>
      </c>
      <c r="O45" s="16">
        <v>611</v>
      </c>
      <c r="P45" s="14">
        <v>18</v>
      </c>
      <c r="Q45" s="14">
        <f t="shared" si="0"/>
        <v>593</v>
      </c>
      <c r="R45" s="1">
        <v>9</v>
      </c>
      <c r="S45" s="1">
        <v>200010017757</v>
      </c>
      <c r="T45" s="1">
        <v>29</v>
      </c>
      <c r="U45" s="1">
        <v>1</v>
      </c>
      <c r="V45" s="1">
        <v>1</v>
      </c>
    </row>
    <row r="46" spans="1:22" x14ac:dyDescent="0.25">
      <c r="A46" s="3">
        <v>44774</v>
      </c>
      <c r="B46" s="4">
        <v>0.82774305555555561</v>
      </c>
      <c r="C46" s="1">
        <v>1413</v>
      </c>
      <c r="D46" s="1">
        <v>13002561</v>
      </c>
      <c r="E46" s="1">
        <v>13</v>
      </c>
      <c r="F46" s="1">
        <v>22589</v>
      </c>
      <c r="G46" s="1" t="s">
        <v>21</v>
      </c>
      <c r="H46" s="1">
        <v>15</v>
      </c>
      <c r="I46" s="1">
        <v>384302</v>
      </c>
      <c r="J46" s="14" t="s">
        <v>473</v>
      </c>
      <c r="K46" s="1" t="s">
        <v>51</v>
      </c>
      <c r="L46" s="1" t="s">
        <v>474</v>
      </c>
      <c r="M46" s="14">
        <v>1</v>
      </c>
      <c r="N46" s="2">
        <v>305</v>
      </c>
      <c r="O46" s="16">
        <v>403</v>
      </c>
      <c r="P46" s="14">
        <v>0</v>
      </c>
      <c r="Q46" s="14">
        <f t="shared" si="0"/>
        <v>403</v>
      </c>
      <c r="R46" s="1" t="s">
        <v>25</v>
      </c>
      <c r="S46" s="1" t="s">
        <v>25</v>
      </c>
      <c r="T46" s="1">
        <v>29</v>
      </c>
      <c r="U46" s="1">
        <v>1</v>
      </c>
      <c r="V46" s="1">
        <v>1</v>
      </c>
    </row>
    <row r="47" spans="1:22" x14ac:dyDescent="0.25">
      <c r="A47" s="3">
        <v>44776</v>
      </c>
      <c r="B47" s="4">
        <v>0.43943287037037038</v>
      </c>
      <c r="C47" s="1">
        <v>1555</v>
      </c>
      <c r="D47" s="1">
        <v>13002595</v>
      </c>
      <c r="E47" s="1">
        <v>13</v>
      </c>
      <c r="F47" s="1">
        <v>22589</v>
      </c>
      <c r="G47" s="1" t="s">
        <v>21</v>
      </c>
      <c r="H47" s="1">
        <v>15</v>
      </c>
      <c r="I47" s="1">
        <v>76203</v>
      </c>
      <c r="J47" s="14" t="s">
        <v>740</v>
      </c>
      <c r="K47" s="1" t="s">
        <v>23</v>
      </c>
      <c r="L47" s="1" t="s">
        <v>248</v>
      </c>
      <c r="M47" s="14">
        <v>1</v>
      </c>
      <c r="N47" s="2">
        <v>52.01</v>
      </c>
      <c r="O47" s="16">
        <v>64</v>
      </c>
      <c r="P47" s="14">
        <v>3</v>
      </c>
      <c r="Q47" s="14">
        <f t="shared" si="0"/>
        <v>61</v>
      </c>
      <c r="R47" s="1">
        <v>9</v>
      </c>
      <c r="S47" s="1">
        <v>200010013453</v>
      </c>
      <c r="T47" s="1">
        <v>29</v>
      </c>
      <c r="U47" s="1">
        <v>1</v>
      </c>
      <c r="V47" s="1">
        <v>1</v>
      </c>
    </row>
    <row r="48" spans="1:22" x14ac:dyDescent="0.25">
      <c r="A48" s="3">
        <v>44774</v>
      </c>
      <c r="B48" s="4">
        <v>0.78233796296296299</v>
      </c>
      <c r="C48" s="1">
        <v>1402</v>
      </c>
      <c r="D48" s="1">
        <v>13002561</v>
      </c>
      <c r="E48" s="1">
        <v>13</v>
      </c>
      <c r="F48" s="1">
        <v>22589</v>
      </c>
      <c r="G48" s="1" t="s">
        <v>21</v>
      </c>
      <c r="H48" s="1">
        <v>18</v>
      </c>
      <c r="I48" s="1">
        <v>148734</v>
      </c>
      <c r="J48" s="14" t="s">
        <v>444</v>
      </c>
      <c r="K48" s="1" t="s">
        <v>23</v>
      </c>
      <c r="L48" s="1" t="s">
        <v>159</v>
      </c>
      <c r="M48" s="14">
        <v>1</v>
      </c>
      <c r="N48" s="2">
        <v>141.9</v>
      </c>
      <c r="O48" s="16">
        <v>169</v>
      </c>
      <c r="P48" s="14">
        <v>8</v>
      </c>
      <c r="Q48" s="14">
        <f t="shared" si="0"/>
        <v>161</v>
      </c>
      <c r="R48" s="1">
        <v>9</v>
      </c>
      <c r="S48" s="1">
        <v>200010012073</v>
      </c>
      <c r="T48" s="1">
        <v>29</v>
      </c>
      <c r="U48" s="1">
        <v>1</v>
      </c>
      <c r="V48" s="1">
        <v>1</v>
      </c>
    </row>
    <row r="49" spans="1:22" x14ac:dyDescent="0.25">
      <c r="A49" s="3">
        <v>44778</v>
      </c>
      <c r="B49" s="4">
        <v>0.59013888888888888</v>
      </c>
      <c r="C49" s="1">
        <v>1852</v>
      </c>
      <c r="D49" s="1">
        <v>13002616</v>
      </c>
      <c r="E49" s="1">
        <v>13</v>
      </c>
      <c r="F49" s="1">
        <v>22589</v>
      </c>
      <c r="G49" s="1" t="s">
        <v>21</v>
      </c>
      <c r="H49" s="1">
        <v>18</v>
      </c>
      <c r="I49" s="1">
        <v>149587</v>
      </c>
      <c r="J49" s="14" t="s">
        <v>1170</v>
      </c>
      <c r="K49" s="1" t="s">
        <v>23</v>
      </c>
      <c r="L49" s="1" t="s">
        <v>159</v>
      </c>
      <c r="M49" s="14">
        <v>1</v>
      </c>
      <c r="N49" s="2">
        <v>96.8</v>
      </c>
      <c r="O49" s="16">
        <v>119</v>
      </c>
      <c r="P49" s="14">
        <v>0</v>
      </c>
      <c r="Q49" s="14">
        <f t="shared" si="0"/>
        <v>119</v>
      </c>
      <c r="R49" s="1" t="s">
        <v>25</v>
      </c>
      <c r="S49" s="1" t="s">
        <v>25</v>
      </c>
      <c r="T49" s="1">
        <v>50</v>
      </c>
      <c r="U49" s="1">
        <v>1</v>
      </c>
      <c r="V49" s="1">
        <v>1</v>
      </c>
    </row>
    <row r="50" spans="1:22" x14ac:dyDescent="0.25">
      <c r="A50" s="3">
        <v>44776</v>
      </c>
      <c r="B50" s="4">
        <v>0.42203703703703704</v>
      </c>
      <c r="C50" s="1">
        <v>1549</v>
      </c>
      <c r="D50" s="1">
        <v>13002595</v>
      </c>
      <c r="E50" s="1">
        <v>13</v>
      </c>
      <c r="F50" s="1">
        <v>22589</v>
      </c>
      <c r="G50" s="1" t="s">
        <v>21</v>
      </c>
      <c r="H50" s="1">
        <v>15</v>
      </c>
      <c r="I50" s="1">
        <v>141304</v>
      </c>
      <c r="J50" s="14" t="s">
        <v>730</v>
      </c>
      <c r="K50" s="1" t="s">
        <v>141</v>
      </c>
      <c r="L50" s="1" t="s">
        <v>731</v>
      </c>
      <c r="M50" s="14">
        <v>1</v>
      </c>
      <c r="N50" s="2">
        <v>126.06</v>
      </c>
      <c r="O50" s="16">
        <v>148</v>
      </c>
      <c r="P50" s="14">
        <v>7</v>
      </c>
      <c r="Q50" s="14">
        <f t="shared" si="0"/>
        <v>141</v>
      </c>
      <c r="R50" s="1">
        <v>9</v>
      </c>
      <c r="S50" s="1">
        <v>200010023966</v>
      </c>
      <c r="T50" s="1">
        <v>29</v>
      </c>
      <c r="U50" s="1">
        <v>1</v>
      </c>
      <c r="V50" s="1">
        <v>1</v>
      </c>
    </row>
    <row r="51" spans="1:22" x14ac:dyDescent="0.25">
      <c r="A51" s="3">
        <v>44775</v>
      </c>
      <c r="B51" s="4">
        <v>0.41244212962962962</v>
      </c>
      <c r="C51" s="1">
        <v>1429</v>
      </c>
      <c r="D51" s="1">
        <v>13002581</v>
      </c>
      <c r="E51" s="1">
        <v>13</v>
      </c>
      <c r="F51" s="1">
        <v>22589</v>
      </c>
      <c r="G51" s="1" t="s">
        <v>21</v>
      </c>
      <c r="H51" s="1">
        <v>15</v>
      </c>
      <c r="I51" s="1">
        <v>485587</v>
      </c>
      <c r="J51" s="14" t="s">
        <v>507</v>
      </c>
      <c r="K51" s="1" t="s">
        <v>29</v>
      </c>
      <c r="L51" s="1" t="s">
        <v>97</v>
      </c>
      <c r="M51" s="14">
        <v>1</v>
      </c>
      <c r="N51" s="2">
        <v>15.2</v>
      </c>
      <c r="O51" s="16">
        <v>24</v>
      </c>
      <c r="P51" s="14">
        <v>1</v>
      </c>
      <c r="Q51" s="14">
        <f t="shared" si="0"/>
        <v>23</v>
      </c>
      <c r="R51" s="1">
        <v>9</v>
      </c>
      <c r="S51" s="1">
        <v>200010001074</v>
      </c>
      <c r="T51" s="1">
        <v>29</v>
      </c>
      <c r="U51" s="1">
        <v>1</v>
      </c>
      <c r="V51" s="1">
        <v>2</v>
      </c>
    </row>
    <row r="52" spans="1:22" x14ac:dyDescent="0.25">
      <c r="A52" s="3">
        <v>44775</v>
      </c>
      <c r="B52" s="4">
        <v>0.57376157407407402</v>
      </c>
      <c r="C52" s="1">
        <v>1477</v>
      </c>
      <c r="D52" s="1">
        <v>13002581</v>
      </c>
      <c r="E52" s="1">
        <v>13</v>
      </c>
      <c r="F52" s="1">
        <v>22589</v>
      </c>
      <c r="G52" s="1" t="s">
        <v>21</v>
      </c>
      <c r="H52" s="1">
        <v>18</v>
      </c>
      <c r="I52" s="1">
        <v>53825</v>
      </c>
      <c r="J52" s="14" t="s">
        <v>599</v>
      </c>
      <c r="K52" s="1" t="s">
        <v>141</v>
      </c>
      <c r="L52" s="1" t="s">
        <v>600</v>
      </c>
      <c r="M52" s="14">
        <v>1</v>
      </c>
      <c r="N52" s="2">
        <v>230.23</v>
      </c>
      <c r="O52" s="16">
        <v>273</v>
      </c>
      <c r="P52" s="14">
        <v>0</v>
      </c>
      <c r="Q52" s="14">
        <f t="shared" si="0"/>
        <v>273</v>
      </c>
      <c r="R52" s="1" t="s">
        <v>25</v>
      </c>
      <c r="S52" s="1" t="s">
        <v>25</v>
      </c>
      <c r="T52" s="1">
        <v>29</v>
      </c>
      <c r="U52" s="1">
        <v>1</v>
      </c>
      <c r="V52" s="1">
        <v>1</v>
      </c>
    </row>
    <row r="53" spans="1:22" x14ac:dyDescent="0.25">
      <c r="A53" s="3">
        <v>44775</v>
      </c>
      <c r="B53" s="4">
        <v>0.7515856481481481</v>
      </c>
      <c r="C53" s="1">
        <v>1521</v>
      </c>
      <c r="D53" s="1">
        <v>13002581</v>
      </c>
      <c r="E53" s="1">
        <v>13</v>
      </c>
      <c r="F53" s="1">
        <v>22589</v>
      </c>
      <c r="G53" s="1" t="s">
        <v>21</v>
      </c>
      <c r="H53" s="1">
        <v>18</v>
      </c>
      <c r="I53" s="1">
        <v>79980</v>
      </c>
      <c r="J53" s="14" t="s">
        <v>677</v>
      </c>
      <c r="K53" s="1" t="s">
        <v>51</v>
      </c>
      <c r="L53" s="1" t="s">
        <v>216</v>
      </c>
      <c r="M53" s="14">
        <v>1</v>
      </c>
      <c r="N53" s="2">
        <v>82.51</v>
      </c>
      <c r="O53" s="16">
        <v>102</v>
      </c>
      <c r="P53" s="14">
        <v>0</v>
      </c>
      <c r="Q53" s="14">
        <f t="shared" si="0"/>
        <v>102</v>
      </c>
      <c r="R53" s="1" t="s">
        <v>25</v>
      </c>
      <c r="S53" s="1" t="s">
        <v>25</v>
      </c>
      <c r="T53" s="1">
        <v>29</v>
      </c>
      <c r="U53" s="1">
        <v>1</v>
      </c>
      <c r="V53" s="1">
        <v>1</v>
      </c>
    </row>
    <row r="54" spans="1:22" x14ac:dyDescent="0.25">
      <c r="A54" s="3">
        <v>44775</v>
      </c>
      <c r="B54" s="4">
        <v>0.58020833333333333</v>
      </c>
      <c r="C54" s="1">
        <v>1478</v>
      </c>
      <c r="D54" s="1">
        <v>13002581</v>
      </c>
      <c r="E54" s="1">
        <v>13</v>
      </c>
      <c r="F54" s="1">
        <v>22589</v>
      </c>
      <c r="G54" s="1" t="s">
        <v>21</v>
      </c>
      <c r="H54" s="1">
        <v>15</v>
      </c>
      <c r="I54" s="1">
        <v>82396</v>
      </c>
      <c r="J54" s="14" t="s">
        <v>610</v>
      </c>
      <c r="K54" s="1" t="s">
        <v>51</v>
      </c>
      <c r="L54" s="1" t="s">
        <v>216</v>
      </c>
      <c r="M54" s="14">
        <v>1</v>
      </c>
      <c r="N54" s="2">
        <v>80.650000000000006</v>
      </c>
      <c r="O54" s="16">
        <v>101</v>
      </c>
      <c r="P54" s="14">
        <v>5</v>
      </c>
      <c r="Q54" s="14">
        <f t="shared" si="0"/>
        <v>96</v>
      </c>
      <c r="R54" s="1">
        <v>9</v>
      </c>
      <c r="S54" s="1">
        <v>200010017757</v>
      </c>
      <c r="T54" s="1">
        <v>29</v>
      </c>
      <c r="U54" s="1">
        <v>1</v>
      </c>
      <c r="V54" s="1">
        <v>2</v>
      </c>
    </row>
    <row r="55" spans="1:22" x14ac:dyDescent="0.25">
      <c r="A55" s="3">
        <v>44777</v>
      </c>
      <c r="B55" s="4">
        <v>0.45601851851851855</v>
      </c>
      <c r="C55" s="1">
        <v>1675</v>
      </c>
      <c r="D55" s="1">
        <v>13002606</v>
      </c>
      <c r="E55" s="1">
        <v>13</v>
      </c>
      <c r="F55" s="1">
        <v>22589</v>
      </c>
      <c r="G55" s="1" t="s">
        <v>21</v>
      </c>
      <c r="H55" s="1">
        <v>18</v>
      </c>
      <c r="I55" s="1">
        <v>82396</v>
      </c>
      <c r="J55" s="14" t="s">
        <v>610</v>
      </c>
      <c r="K55" s="1" t="s">
        <v>51</v>
      </c>
      <c r="L55" s="1" t="s">
        <v>216</v>
      </c>
      <c r="M55" s="14">
        <v>1</v>
      </c>
      <c r="N55" s="2">
        <v>80.650000000000006</v>
      </c>
      <c r="O55" s="16">
        <v>101</v>
      </c>
      <c r="P55" s="14">
        <v>0</v>
      </c>
      <c r="Q55" s="14">
        <f t="shared" si="0"/>
        <v>101</v>
      </c>
      <c r="R55" s="1" t="s">
        <v>25</v>
      </c>
      <c r="S55" s="1" t="s">
        <v>25</v>
      </c>
      <c r="T55" s="1">
        <v>50</v>
      </c>
      <c r="U55" s="1">
        <v>1</v>
      </c>
      <c r="V55" s="1">
        <v>1</v>
      </c>
    </row>
    <row r="56" spans="1:22" x14ac:dyDescent="0.25">
      <c r="A56" s="3">
        <v>44777</v>
      </c>
      <c r="B56" s="4">
        <v>0.4934722222222222</v>
      </c>
      <c r="C56" s="1">
        <v>1688</v>
      </c>
      <c r="D56" s="1">
        <v>13002606</v>
      </c>
      <c r="E56" s="1">
        <v>13</v>
      </c>
      <c r="F56" s="1">
        <v>22589</v>
      </c>
      <c r="G56" s="1" t="s">
        <v>21</v>
      </c>
      <c r="H56" s="1">
        <v>15</v>
      </c>
      <c r="I56" s="1">
        <v>82396</v>
      </c>
      <c r="J56" s="14" t="s">
        <v>610</v>
      </c>
      <c r="K56" s="1" t="s">
        <v>51</v>
      </c>
      <c r="L56" s="1" t="s">
        <v>216</v>
      </c>
      <c r="M56" s="14">
        <v>1</v>
      </c>
      <c r="N56" s="2">
        <v>80.650000000000006</v>
      </c>
      <c r="O56" s="16">
        <v>101</v>
      </c>
      <c r="P56" s="14">
        <v>5</v>
      </c>
      <c r="Q56" s="14">
        <f t="shared" si="0"/>
        <v>96</v>
      </c>
      <c r="R56" s="1">
        <v>9</v>
      </c>
      <c r="S56" s="1">
        <v>200010006867</v>
      </c>
      <c r="T56" s="1">
        <v>50</v>
      </c>
      <c r="U56" s="1">
        <v>1</v>
      </c>
      <c r="V56" s="1">
        <v>1</v>
      </c>
    </row>
    <row r="57" spans="1:22" x14ac:dyDescent="0.25">
      <c r="A57" s="3">
        <v>44775</v>
      </c>
      <c r="B57" s="4">
        <v>0.78771990740740738</v>
      </c>
      <c r="C57" s="1">
        <v>1527</v>
      </c>
      <c r="D57" s="1">
        <v>13002581</v>
      </c>
      <c r="E57" s="1">
        <v>13</v>
      </c>
      <c r="F57" s="1">
        <v>22589</v>
      </c>
      <c r="G57" s="1" t="s">
        <v>21</v>
      </c>
      <c r="H57" s="1">
        <v>18</v>
      </c>
      <c r="I57" s="1">
        <v>117670</v>
      </c>
      <c r="J57" s="14" t="s">
        <v>689</v>
      </c>
      <c r="K57" s="1" t="s">
        <v>51</v>
      </c>
      <c r="L57" s="1" t="s">
        <v>690</v>
      </c>
      <c r="M57" s="14">
        <v>1</v>
      </c>
      <c r="N57" s="2">
        <v>142.12</v>
      </c>
      <c r="O57" s="16">
        <v>172.5</v>
      </c>
      <c r="P57" s="14">
        <v>8.5</v>
      </c>
      <c r="Q57" s="14">
        <f t="shared" si="0"/>
        <v>164</v>
      </c>
      <c r="R57" s="1">
        <v>9</v>
      </c>
      <c r="S57" s="1">
        <v>200010020455</v>
      </c>
      <c r="T57" s="1">
        <v>29</v>
      </c>
      <c r="U57" s="1">
        <v>1</v>
      </c>
      <c r="V57" s="1">
        <v>1</v>
      </c>
    </row>
    <row r="58" spans="1:22" x14ac:dyDescent="0.25">
      <c r="A58" s="3">
        <v>44775</v>
      </c>
      <c r="B58" s="4">
        <v>0.78771990740740738</v>
      </c>
      <c r="C58" s="1">
        <v>1527</v>
      </c>
      <c r="D58" s="1">
        <v>13002581</v>
      </c>
      <c r="E58" s="1">
        <v>13</v>
      </c>
      <c r="F58" s="1">
        <v>22589</v>
      </c>
      <c r="G58" s="1" t="s">
        <v>21</v>
      </c>
      <c r="H58" s="1">
        <v>18</v>
      </c>
      <c r="I58" s="1">
        <v>117670</v>
      </c>
      <c r="J58" s="14" t="s">
        <v>689</v>
      </c>
      <c r="K58" s="1" t="s">
        <v>23</v>
      </c>
      <c r="L58" s="1" t="s">
        <v>691</v>
      </c>
      <c r="M58" s="14">
        <v>1</v>
      </c>
      <c r="N58" s="2">
        <v>136.27000000000001</v>
      </c>
      <c r="O58" s="16">
        <v>167.08</v>
      </c>
      <c r="P58" s="14">
        <v>8.08</v>
      </c>
      <c r="Q58" s="14">
        <f t="shared" si="0"/>
        <v>159</v>
      </c>
      <c r="R58" s="1">
        <v>9</v>
      </c>
      <c r="S58" s="1">
        <v>200010020455</v>
      </c>
      <c r="T58" s="1">
        <v>29</v>
      </c>
      <c r="U58" s="1">
        <v>1</v>
      </c>
      <c r="V58" s="1">
        <v>2</v>
      </c>
    </row>
    <row r="59" spans="1:22" x14ac:dyDescent="0.25">
      <c r="A59" s="3">
        <v>44777</v>
      </c>
      <c r="B59" s="4">
        <v>0.45601851851851855</v>
      </c>
      <c r="C59" s="1">
        <v>1675</v>
      </c>
      <c r="D59" s="1">
        <v>13002606</v>
      </c>
      <c r="E59" s="1">
        <v>13</v>
      </c>
      <c r="F59" s="1">
        <v>22589</v>
      </c>
      <c r="G59" s="1" t="s">
        <v>21</v>
      </c>
      <c r="H59" s="1">
        <v>18</v>
      </c>
      <c r="I59" s="1">
        <v>18722</v>
      </c>
      <c r="J59" s="14" t="s">
        <v>941</v>
      </c>
      <c r="K59" s="1" t="s">
        <v>34</v>
      </c>
      <c r="L59" s="1" t="s">
        <v>942</v>
      </c>
      <c r="M59" s="14">
        <v>1</v>
      </c>
      <c r="N59" s="2">
        <v>57.7</v>
      </c>
      <c r="O59" s="16">
        <v>72.5</v>
      </c>
      <c r="P59" s="14">
        <v>0</v>
      </c>
      <c r="Q59" s="14">
        <f t="shared" si="0"/>
        <v>72.5</v>
      </c>
      <c r="R59" s="1" t="s">
        <v>25</v>
      </c>
      <c r="S59" s="1" t="s">
        <v>25</v>
      </c>
      <c r="T59" s="1">
        <v>50</v>
      </c>
      <c r="U59" s="1">
        <v>1</v>
      </c>
      <c r="V59" s="1">
        <v>2</v>
      </c>
    </row>
    <row r="60" spans="1:22" x14ac:dyDescent="0.25">
      <c r="A60" s="3">
        <v>44774</v>
      </c>
      <c r="B60" s="4">
        <v>0.52601851851851855</v>
      </c>
      <c r="C60" s="1">
        <v>1328</v>
      </c>
      <c r="D60" s="1">
        <v>13002561</v>
      </c>
      <c r="E60" s="1">
        <v>13</v>
      </c>
      <c r="F60" s="1">
        <v>22589</v>
      </c>
      <c r="G60" s="1" t="s">
        <v>21</v>
      </c>
      <c r="H60" s="1">
        <v>15</v>
      </c>
      <c r="I60" s="1">
        <v>400035</v>
      </c>
      <c r="J60" s="14" t="s">
        <v>257</v>
      </c>
      <c r="K60" s="1" t="s">
        <v>51</v>
      </c>
      <c r="L60" s="1" t="s">
        <v>76</v>
      </c>
      <c r="M60" s="14">
        <v>1</v>
      </c>
      <c r="N60" s="2">
        <v>37.450000000000003</v>
      </c>
      <c r="O60" s="16">
        <v>57</v>
      </c>
      <c r="P60" s="14">
        <v>0</v>
      </c>
      <c r="Q60" s="14">
        <f t="shared" si="0"/>
        <v>57</v>
      </c>
      <c r="R60" s="1" t="s">
        <v>25</v>
      </c>
      <c r="S60" s="1" t="s">
        <v>25</v>
      </c>
      <c r="T60" s="1">
        <v>29</v>
      </c>
      <c r="U60" s="1">
        <v>1</v>
      </c>
      <c r="V60" s="1">
        <v>1</v>
      </c>
    </row>
    <row r="61" spans="1:22" x14ac:dyDescent="0.25">
      <c r="A61" s="3">
        <v>44774</v>
      </c>
      <c r="B61" s="4">
        <v>0.69748842592592597</v>
      </c>
      <c r="C61" s="1">
        <v>1379</v>
      </c>
      <c r="D61" s="1">
        <v>13002561</v>
      </c>
      <c r="E61" s="1">
        <v>13</v>
      </c>
      <c r="F61" s="1">
        <v>22589</v>
      </c>
      <c r="G61" s="1" t="s">
        <v>21</v>
      </c>
      <c r="H61" s="1">
        <v>18</v>
      </c>
      <c r="I61" s="1">
        <v>400035</v>
      </c>
      <c r="J61" s="14" t="s">
        <v>257</v>
      </c>
      <c r="K61" s="1" t="s">
        <v>117</v>
      </c>
      <c r="L61" s="1" t="s">
        <v>76</v>
      </c>
      <c r="M61" s="14">
        <v>1</v>
      </c>
      <c r="N61" s="2">
        <v>37.729999999999997</v>
      </c>
      <c r="O61" s="16">
        <v>58</v>
      </c>
      <c r="P61" s="14">
        <v>4</v>
      </c>
      <c r="Q61" s="14">
        <f t="shared" si="0"/>
        <v>54</v>
      </c>
      <c r="R61" s="1">
        <v>9</v>
      </c>
      <c r="S61" s="1">
        <v>200010026815</v>
      </c>
      <c r="T61" s="1">
        <v>29</v>
      </c>
      <c r="U61" s="1">
        <v>1</v>
      </c>
      <c r="V61" s="1">
        <v>1</v>
      </c>
    </row>
    <row r="62" spans="1:22" x14ac:dyDescent="0.25">
      <c r="A62" s="3">
        <v>44774</v>
      </c>
      <c r="B62" s="4">
        <v>0.69748842592592597</v>
      </c>
      <c r="C62" s="1">
        <v>1379</v>
      </c>
      <c r="D62" s="1">
        <v>13002561</v>
      </c>
      <c r="E62" s="1">
        <v>13</v>
      </c>
      <c r="F62" s="1">
        <v>22589</v>
      </c>
      <c r="G62" s="1" t="s">
        <v>21</v>
      </c>
      <c r="H62" s="1">
        <v>18</v>
      </c>
      <c r="I62" s="1">
        <v>400035</v>
      </c>
      <c r="J62" s="14" t="s">
        <v>257</v>
      </c>
      <c r="K62" s="1" t="s">
        <v>117</v>
      </c>
      <c r="L62" s="1" t="s">
        <v>76</v>
      </c>
      <c r="M62" s="14">
        <v>1</v>
      </c>
      <c r="N62" s="2">
        <v>37.729999999999997</v>
      </c>
      <c r="O62" s="16">
        <v>58</v>
      </c>
      <c r="P62" s="14">
        <v>4</v>
      </c>
      <c r="Q62" s="14">
        <f t="shared" si="0"/>
        <v>54</v>
      </c>
      <c r="R62" s="1">
        <v>9</v>
      </c>
      <c r="S62" s="1">
        <v>200010026815</v>
      </c>
      <c r="T62" s="1">
        <v>29</v>
      </c>
      <c r="U62" s="1">
        <v>1</v>
      </c>
      <c r="V62" s="1">
        <v>2</v>
      </c>
    </row>
    <row r="63" spans="1:22" x14ac:dyDescent="0.25">
      <c r="A63" s="3">
        <v>44774</v>
      </c>
      <c r="B63" s="4">
        <v>0.74442129629629628</v>
      </c>
      <c r="C63" s="1">
        <v>1393</v>
      </c>
      <c r="D63" s="1">
        <v>13002561</v>
      </c>
      <c r="E63" s="1">
        <v>13</v>
      </c>
      <c r="F63" s="1">
        <v>22589</v>
      </c>
      <c r="G63" s="1" t="s">
        <v>21</v>
      </c>
      <c r="H63" s="1">
        <v>18</v>
      </c>
      <c r="I63" s="1">
        <v>509419</v>
      </c>
      <c r="J63" s="14" t="s">
        <v>422</v>
      </c>
      <c r="K63" s="1" t="s">
        <v>29</v>
      </c>
      <c r="L63" s="1" t="s">
        <v>423</v>
      </c>
      <c r="M63" s="14">
        <v>1</v>
      </c>
      <c r="N63" s="2">
        <v>76.180000000000007</v>
      </c>
      <c r="O63" s="16">
        <v>109</v>
      </c>
      <c r="P63" s="14">
        <v>7</v>
      </c>
      <c r="Q63" s="14">
        <f t="shared" si="0"/>
        <v>102</v>
      </c>
      <c r="R63" s="1">
        <v>9</v>
      </c>
      <c r="S63" s="1">
        <v>200010021967</v>
      </c>
      <c r="T63" s="1">
        <v>29</v>
      </c>
      <c r="U63" s="1">
        <v>1</v>
      </c>
      <c r="V63" s="1">
        <v>1</v>
      </c>
    </row>
    <row r="64" spans="1:22" x14ac:dyDescent="0.25">
      <c r="A64" s="3">
        <v>44774</v>
      </c>
      <c r="B64" s="4">
        <v>0.69028935185185181</v>
      </c>
      <c r="C64" s="1">
        <v>1374</v>
      </c>
      <c r="D64" s="1">
        <v>13002561</v>
      </c>
      <c r="E64" s="1">
        <v>13</v>
      </c>
      <c r="F64" s="1">
        <v>22589</v>
      </c>
      <c r="G64" s="1" t="s">
        <v>21</v>
      </c>
      <c r="H64" s="1">
        <v>18</v>
      </c>
      <c r="I64" s="1">
        <v>251785</v>
      </c>
      <c r="J64" s="14" t="s">
        <v>372</v>
      </c>
      <c r="K64" s="1" t="s">
        <v>23</v>
      </c>
      <c r="L64" s="1" t="s">
        <v>373</v>
      </c>
      <c r="M64" s="14">
        <v>1</v>
      </c>
      <c r="N64" s="2">
        <v>352.39</v>
      </c>
      <c r="O64" s="16">
        <v>519</v>
      </c>
      <c r="P64" s="14">
        <v>51</v>
      </c>
      <c r="Q64" s="14">
        <f t="shared" si="0"/>
        <v>468</v>
      </c>
      <c r="R64" s="1">
        <v>9</v>
      </c>
      <c r="S64" s="1">
        <v>200010015179</v>
      </c>
      <c r="T64" s="1">
        <v>29</v>
      </c>
      <c r="U64" s="1">
        <v>1</v>
      </c>
      <c r="V64" s="1">
        <v>1</v>
      </c>
    </row>
    <row r="65" spans="1:22" x14ac:dyDescent="0.25">
      <c r="A65" s="3">
        <v>44775</v>
      </c>
      <c r="B65" s="4">
        <v>0.42370370370370369</v>
      </c>
      <c r="C65" s="1">
        <v>1432</v>
      </c>
      <c r="D65" s="1">
        <v>13002581</v>
      </c>
      <c r="E65" s="1">
        <v>13</v>
      </c>
      <c r="F65" s="1">
        <v>22589</v>
      </c>
      <c r="G65" s="1" t="s">
        <v>21</v>
      </c>
      <c r="H65" s="1">
        <v>15</v>
      </c>
      <c r="I65" s="1">
        <v>393311</v>
      </c>
      <c r="J65" s="14" t="s">
        <v>516</v>
      </c>
      <c r="K65" s="1" t="s">
        <v>48</v>
      </c>
      <c r="L65" s="1" t="s">
        <v>99</v>
      </c>
      <c r="M65" s="14">
        <v>1</v>
      </c>
      <c r="N65" s="2">
        <v>97.46</v>
      </c>
      <c r="O65" s="16">
        <v>154</v>
      </c>
      <c r="P65" s="14">
        <v>15</v>
      </c>
      <c r="Q65" s="14">
        <f t="shared" si="0"/>
        <v>139</v>
      </c>
      <c r="R65" s="1">
        <v>9</v>
      </c>
      <c r="S65" s="1">
        <v>200010001077</v>
      </c>
      <c r="T65" s="1">
        <v>29</v>
      </c>
      <c r="U65" s="1">
        <v>1</v>
      </c>
      <c r="V65" s="1">
        <v>1</v>
      </c>
    </row>
    <row r="66" spans="1:22" x14ac:dyDescent="0.25">
      <c r="A66" s="3">
        <v>44774</v>
      </c>
      <c r="B66" s="4">
        <v>0.79335648148148152</v>
      </c>
      <c r="C66" s="1">
        <v>1406</v>
      </c>
      <c r="D66" s="1">
        <v>13002561</v>
      </c>
      <c r="E66" s="1">
        <v>13</v>
      </c>
      <c r="F66" s="1">
        <v>22589</v>
      </c>
      <c r="G66" s="1" t="s">
        <v>21</v>
      </c>
      <c r="H66" s="1">
        <v>15</v>
      </c>
      <c r="I66" s="1">
        <v>418109</v>
      </c>
      <c r="J66" s="14" t="s">
        <v>459</v>
      </c>
      <c r="K66" s="1" t="s">
        <v>51</v>
      </c>
      <c r="L66" s="1" t="s">
        <v>76</v>
      </c>
      <c r="M66" s="14">
        <v>1</v>
      </c>
      <c r="N66" s="2">
        <v>39.26</v>
      </c>
      <c r="O66" s="16">
        <v>46</v>
      </c>
      <c r="P66" s="14">
        <v>3</v>
      </c>
      <c r="Q66" s="14">
        <f t="shared" ref="Q66:Q129" si="1">M66*O66-P66</f>
        <v>43</v>
      </c>
      <c r="R66" s="1">
        <v>9</v>
      </c>
      <c r="S66" s="1">
        <v>200010022528</v>
      </c>
      <c r="T66" s="1">
        <v>29</v>
      </c>
      <c r="U66" s="1">
        <v>1</v>
      </c>
      <c r="V66" s="1">
        <v>1</v>
      </c>
    </row>
    <row r="67" spans="1:22" x14ac:dyDescent="0.25">
      <c r="A67" s="3">
        <v>44776</v>
      </c>
      <c r="B67" s="4">
        <v>0.56918981481481479</v>
      </c>
      <c r="C67" s="1">
        <v>1600</v>
      </c>
      <c r="D67" s="1">
        <v>13002595</v>
      </c>
      <c r="E67" s="1">
        <v>13</v>
      </c>
      <c r="F67" s="1">
        <v>22589</v>
      </c>
      <c r="G67" s="1" t="s">
        <v>21</v>
      </c>
      <c r="H67" s="1">
        <v>15</v>
      </c>
      <c r="I67" s="1">
        <v>83202</v>
      </c>
      <c r="J67" s="14" t="s">
        <v>835</v>
      </c>
      <c r="K67" s="1" t="s">
        <v>51</v>
      </c>
      <c r="L67" s="1" t="s">
        <v>836</v>
      </c>
      <c r="M67" s="14">
        <v>1</v>
      </c>
      <c r="N67" s="2">
        <v>74.8</v>
      </c>
      <c r="O67" s="16">
        <v>118</v>
      </c>
      <c r="P67" s="14">
        <v>0</v>
      </c>
      <c r="Q67" s="14">
        <f t="shared" si="1"/>
        <v>118</v>
      </c>
      <c r="R67" s="1" t="s">
        <v>25</v>
      </c>
      <c r="S67" s="1" t="s">
        <v>25</v>
      </c>
      <c r="T67" s="1">
        <v>29</v>
      </c>
      <c r="U67" s="1">
        <v>1</v>
      </c>
      <c r="V67" s="1">
        <v>1</v>
      </c>
    </row>
    <row r="68" spans="1:22" x14ac:dyDescent="0.25">
      <c r="A68" s="3">
        <v>44775</v>
      </c>
      <c r="B68" s="4">
        <v>0.49481481481481482</v>
      </c>
      <c r="C68" s="1">
        <v>1451</v>
      </c>
      <c r="D68" s="1">
        <v>13002581</v>
      </c>
      <c r="E68" s="1">
        <v>13</v>
      </c>
      <c r="F68" s="1">
        <v>22589</v>
      </c>
      <c r="G68" s="1" t="s">
        <v>21</v>
      </c>
      <c r="H68" s="1">
        <v>18</v>
      </c>
      <c r="I68" s="1">
        <v>499560</v>
      </c>
      <c r="J68" s="14" t="s">
        <v>548</v>
      </c>
      <c r="K68" s="1" t="s">
        <v>48</v>
      </c>
      <c r="L68" s="1" t="s">
        <v>547</v>
      </c>
      <c r="M68" s="14">
        <v>1</v>
      </c>
      <c r="N68" s="2">
        <v>107.38</v>
      </c>
      <c r="O68" s="16">
        <v>167</v>
      </c>
      <c r="P68" s="14">
        <v>0</v>
      </c>
      <c r="Q68" s="14">
        <f t="shared" si="1"/>
        <v>167</v>
      </c>
      <c r="R68" s="1" t="s">
        <v>25</v>
      </c>
      <c r="S68" s="1" t="s">
        <v>25</v>
      </c>
      <c r="T68" s="1">
        <v>29</v>
      </c>
      <c r="U68" s="1">
        <v>1</v>
      </c>
      <c r="V68" s="1">
        <v>1</v>
      </c>
    </row>
    <row r="69" spans="1:22" x14ac:dyDescent="0.25">
      <c r="A69" s="3">
        <v>44775</v>
      </c>
      <c r="B69" s="4">
        <v>0.45052083333333331</v>
      </c>
      <c r="C69" s="1">
        <v>1437</v>
      </c>
      <c r="D69" s="1">
        <v>13002581</v>
      </c>
      <c r="E69" s="1">
        <v>13</v>
      </c>
      <c r="F69" s="1">
        <v>22589</v>
      </c>
      <c r="G69" s="1" t="s">
        <v>21</v>
      </c>
      <c r="H69" s="1">
        <v>18</v>
      </c>
      <c r="I69" s="1">
        <v>114</v>
      </c>
      <c r="J69" s="14" t="s">
        <v>527</v>
      </c>
      <c r="K69" s="1" t="s">
        <v>117</v>
      </c>
      <c r="L69" s="1" t="s">
        <v>528</v>
      </c>
      <c r="M69" s="14">
        <v>1</v>
      </c>
      <c r="N69" s="2">
        <v>338.92</v>
      </c>
      <c r="O69" s="16">
        <v>448</v>
      </c>
      <c r="P69" s="14">
        <v>0</v>
      </c>
      <c r="Q69" s="14">
        <f t="shared" si="1"/>
        <v>448</v>
      </c>
      <c r="R69" s="1" t="s">
        <v>25</v>
      </c>
      <c r="S69" s="1" t="s">
        <v>25</v>
      </c>
      <c r="T69" s="1">
        <v>29</v>
      </c>
      <c r="U69" s="1">
        <v>1</v>
      </c>
      <c r="V69" s="1">
        <v>1</v>
      </c>
    </row>
    <row r="70" spans="1:22" x14ac:dyDescent="0.25">
      <c r="A70" s="3">
        <v>44774</v>
      </c>
      <c r="B70" s="4">
        <v>0.37546296296296294</v>
      </c>
      <c r="C70" s="1">
        <v>1275</v>
      </c>
      <c r="D70" s="1">
        <v>13002561</v>
      </c>
      <c r="E70" s="1">
        <v>13</v>
      </c>
      <c r="F70" s="1">
        <v>22589</v>
      </c>
      <c r="G70" s="1" t="s">
        <v>21</v>
      </c>
      <c r="H70" s="1">
        <v>18</v>
      </c>
      <c r="I70" s="1">
        <v>276370</v>
      </c>
      <c r="J70" s="14" t="s">
        <v>31</v>
      </c>
      <c r="K70" s="1" t="s">
        <v>23</v>
      </c>
      <c r="L70" s="1" t="s">
        <v>32</v>
      </c>
      <c r="M70" s="14">
        <v>1</v>
      </c>
      <c r="N70" s="2">
        <v>445.39</v>
      </c>
      <c r="O70" s="16">
        <v>541</v>
      </c>
      <c r="P70" s="14">
        <v>0</v>
      </c>
      <c r="Q70" s="14">
        <f t="shared" si="1"/>
        <v>541</v>
      </c>
      <c r="R70" s="1" t="s">
        <v>25</v>
      </c>
      <c r="S70" s="1" t="s">
        <v>25</v>
      </c>
      <c r="T70" s="1">
        <v>29</v>
      </c>
      <c r="U70" s="1">
        <v>1</v>
      </c>
      <c r="V70" s="1">
        <v>1</v>
      </c>
    </row>
    <row r="71" spans="1:22" x14ac:dyDescent="0.25">
      <c r="A71" s="3">
        <v>44775</v>
      </c>
      <c r="B71" s="4">
        <v>0.50753472222222218</v>
      </c>
      <c r="C71" s="1">
        <v>1457</v>
      </c>
      <c r="D71" s="1">
        <v>13002581</v>
      </c>
      <c r="E71" s="1">
        <v>13</v>
      </c>
      <c r="F71" s="1">
        <v>22589</v>
      </c>
      <c r="G71" s="1" t="s">
        <v>21</v>
      </c>
      <c r="H71" s="1">
        <v>15</v>
      </c>
      <c r="I71" s="1">
        <v>276370</v>
      </c>
      <c r="J71" s="14" t="s">
        <v>31</v>
      </c>
      <c r="K71" s="1" t="s">
        <v>23</v>
      </c>
      <c r="L71" s="1" t="s">
        <v>32</v>
      </c>
      <c r="M71" s="14">
        <v>1</v>
      </c>
      <c r="N71" s="2">
        <v>443.5</v>
      </c>
      <c r="O71" s="16">
        <v>539</v>
      </c>
      <c r="P71" s="14">
        <v>53</v>
      </c>
      <c r="Q71" s="14">
        <f t="shared" si="1"/>
        <v>486</v>
      </c>
      <c r="R71" s="1">
        <v>30</v>
      </c>
      <c r="S71" s="1">
        <v>200000000024</v>
      </c>
      <c r="T71" s="1">
        <v>29</v>
      </c>
      <c r="U71" s="1">
        <v>1</v>
      </c>
      <c r="V71" s="1">
        <v>1</v>
      </c>
    </row>
    <row r="72" spans="1:22" x14ac:dyDescent="0.25">
      <c r="A72" s="3">
        <v>44775</v>
      </c>
      <c r="B72" s="4">
        <v>0.50753472222222218</v>
      </c>
      <c r="C72" s="1">
        <v>1457</v>
      </c>
      <c r="D72" s="1">
        <v>13002581</v>
      </c>
      <c r="E72" s="1">
        <v>13</v>
      </c>
      <c r="F72" s="1">
        <v>22589</v>
      </c>
      <c r="G72" s="1" t="s">
        <v>21</v>
      </c>
      <c r="H72" s="1">
        <v>15</v>
      </c>
      <c r="I72" s="1">
        <v>276370</v>
      </c>
      <c r="J72" s="14" t="s">
        <v>31</v>
      </c>
      <c r="K72" s="1" t="s">
        <v>23</v>
      </c>
      <c r="L72" s="1" t="s">
        <v>32</v>
      </c>
      <c r="M72" s="14">
        <v>1</v>
      </c>
      <c r="N72" s="2">
        <v>443.5</v>
      </c>
      <c r="O72" s="16">
        <v>539</v>
      </c>
      <c r="P72" s="14">
        <v>53</v>
      </c>
      <c r="Q72" s="14">
        <f t="shared" si="1"/>
        <v>486</v>
      </c>
      <c r="R72" s="1">
        <v>30</v>
      </c>
      <c r="S72" s="1">
        <v>200000000024</v>
      </c>
      <c r="T72" s="1">
        <v>29</v>
      </c>
      <c r="U72" s="1">
        <v>1</v>
      </c>
      <c r="V72" s="1">
        <v>2</v>
      </c>
    </row>
    <row r="73" spans="1:22" x14ac:dyDescent="0.25">
      <c r="A73" s="3">
        <v>44778</v>
      </c>
      <c r="B73" s="4">
        <v>0.74384259259259256</v>
      </c>
      <c r="C73" s="1">
        <v>1886</v>
      </c>
      <c r="D73" s="1">
        <v>13002616</v>
      </c>
      <c r="E73" s="1">
        <v>13</v>
      </c>
      <c r="F73" s="1">
        <v>22589</v>
      </c>
      <c r="G73" s="1" t="s">
        <v>21</v>
      </c>
      <c r="H73" s="1">
        <v>15</v>
      </c>
      <c r="I73" s="1">
        <v>276370</v>
      </c>
      <c r="J73" s="14" t="s">
        <v>31</v>
      </c>
      <c r="K73" s="1" t="s">
        <v>23</v>
      </c>
      <c r="L73" s="1" t="s">
        <v>32</v>
      </c>
      <c r="M73" s="14">
        <v>1</v>
      </c>
      <c r="N73" s="2">
        <v>443.5</v>
      </c>
      <c r="O73" s="16">
        <v>539</v>
      </c>
      <c r="P73" s="14">
        <v>53</v>
      </c>
      <c r="Q73" s="14">
        <f t="shared" si="1"/>
        <v>486</v>
      </c>
      <c r="R73" s="1">
        <v>30</v>
      </c>
      <c r="S73" s="1">
        <v>200000000024</v>
      </c>
      <c r="T73" s="1">
        <v>50</v>
      </c>
      <c r="U73" s="1">
        <v>1</v>
      </c>
      <c r="V73" s="1">
        <v>1</v>
      </c>
    </row>
    <row r="74" spans="1:22" x14ac:dyDescent="0.25">
      <c r="A74" s="3">
        <v>44774</v>
      </c>
      <c r="B74" s="4">
        <v>0.46856481481481482</v>
      </c>
      <c r="C74" s="1">
        <v>1304</v>
      </c>
      <c r="D74" s="1">
        <v>13002561</v>
      </c>
      <c r="E74" s="1">
        <v>13</v>
      </c>
      <c r="F74" s="1">
        <v>22589</v>
      </c>
      <c r="G74" s="1" t="s">
        <v>21</v>
      </c>
      <c r="H74" s="1">
        <v>15</v>
      </c>
      <c r="I74" s="1">
        <v>79666</v>
      </c>
      <c r="J74" s="14" t="s">
        <v>170</v>
      </c>
      <c r="K74" s="1" t="s">
        <v>51</v>
      </c>
      <c r="L74" s="1" t="s">
        <v>171</v>
      </c>
      <c r="M74" s="14">
        <v>1</v>
      </c>
      <c r="N74" s="2">
        <v>1380.93</v>
      </c>
      <c r="O74" s="16">
        <v>1727</v>
      </c>
      <c r="P74" s="14">
        <v>120</v>
      </c>
      <c r="Q74" s="14">
        <f t="shared" si="1"/>
        <v>1607</v>
      </c>
      <c r="R74" s="1">
        <v>9</v>
      </c>
      <c r="S74" s="1">
        <v>200010026858</v>
      </c>
      <c r="T74" s="1">
        <v>29</v>
      </c>
      <c r="U74" s="1">
        <v>1</v>
      </c>
      <c r="V74" s="1">
        <v>1</v>
      </c>
    </row>
    <row r="75" spans="1:22" x14ac:dyDescent="0.25">
      <c r="A75" s="3">
        <v>44776</v>
      </c>
      <c r="B75" s="4">
        <v>0.48781249999999998</v>
      </c>
      <c r="C75" s="1">
        <v>1570</v>
      </c>
      <c r="D75" s="1">
        <v>13002595</v>
      </c>
      <c r="E75" s="1">
        <v>13</v>
      </c>
      <c r="F75" s="1">
        <v>22589</v>
      </c>
      <c r="G75" s="1" t="s">
        <v>21</v>
      </c>
      <c r="H75" s="1">
        <v>18</v>
      </c>
      <c r="I75" s="1">
        <v>423346</v>
      </c>
      <c r="J75" s="14" t="s">
        <v>770</v>
      </c>
      <c r="K75" s="1" t="s">
        <v>23</v>
      </c>
      <c r="L75" s="1" t="s">
        <v>771</v>
      </c>
      <c r="M75" s="14">
        <v>1</v>
      </c>
      <c r="N75" s="2">
        <v>1399.32</v>
      </c>
      <c r="O75" s="16">
        <v>1750</v>
      </c>
      <c r="P75" s="14">
        <v>122</v>
      </c>
      <c r="Q75" s="14">
        <f t="shared" si="1"/>
        <v>1628</v>
      </c>
      <c r="R75" s="1">
        <v>9</v>
      </c>
      <c r="S75" s="1">
        <v>200010026823</v>
      </c>
      <c r="T75" s="1">
        <v>29</v>
      </c>
      <c r="U75" s="1">
        <v>1</v>
      </c>
      <c r="V75" s="1">
        <v>1</v>
      </c>
    </row>
    <row r="76" spans="1:22" x14ac:dyDescent="0.25">
      <c r="A76" s="3">
        <v>44774</v>
      </c>
      <c r="B76" s="4">
        <v>0.55760416666666668</v>
      </c>
      <c r="C76" s="1">
        <v>1340</v>
      </c>
      <c r="D76" s="1">
        <v>13002561</v>
      </c>
      <c r="E76" s="1">
        <v>13</v>
      </c>
      <c r="F76" s="1">
        <v>22589</v>
      </c>
      <c r="G76" s="1" t="s">
        <v>21</v>
      </c>
      <c r="H76" s="1">
        <v>18</v>
      </c>
      <c r="I76" s="1">
        <v>53737</v>
      </c>
      <c r="J76" s="14" t="s">
        <v>287</v>
      </c>
      <c r="K76" s="1" t="s">
        <v>34</v>
      </c>
      <c r="L76" s="1" t="s">
        <v>159</v>
      </c>
      <c r="M76" s="14">
        <v>1</v>
      </c>
      <c r="N76" s="2">
        <v>196.8</v>
      </c>
      <c r="O76" s="16">
        <v>306</v>
      </c>
      <c r="P76" s="14">
        <v>30</v>
      </c>
      <c r="Q76" s="14">
        <f t="shared" si="1"/>
        <v>276</v>
      </c>
      <c r="R76" s="1">
        <v>9</v>
      </c>
      <c r="S76" s="1">
        <v>200010000752</v>
      </c>
      <c r="T76" s="1">
        <v>29</v>
      </c>
      <c r="U76" s="1">
        <v>1</v>
      </c>
      <c r="V76" s="1">
        <v>1</v>
      </c>
    </row>
    <row r="77" spans="1:22" x14ac:dyDescent="0.25">
      <c r="A77" s="3">
        <v>44774</v>
      </c>
      <c r="B77" s="4">
        <v>0.4432638888888889</v>
      </c>
      <c r="C77" s="1">
        <v>1294</v>
      </c>
      <c r="D77" s="1">
        <v>13002561</v>
      </c>
      <c r="E77" s="1">
        <v>13</v>
      </c>
      <c r="F77" s="1">
        <v>22589</v>
      </c>
      <c r="G77" s="1" t="s">
        <v>21</v>
      </c>
      <c r="H77" s="1">
        <v>18</v>
      </c>
      <c r="I77" s="1">
        <v>105888</v>
      </c>
      <c r="J77" s="14" t="s">
        <v>119</v>
      </c>
      <c r="K77" s="1" t="s">
        <v>117</v>
      </c>
      <c r="L77" s="1" t="s">
        <v>120</v>
      </c>
      <c r="M77" s="14">
        <v>1</v>
      </c>
      <c r="N77" s="2">
        <v>35.770000000000003</v>
      </c>
      <c r="O77" s="16">
        <v>58</v>
      </c>
      <c r="P77" s="14">
        <v>0</v>
      </c>
      <c r="Q77" s="14">
        <f t="shared" si="1"/>
        <v>58</v>
      </c>
      <c r="R77" s="1" t="s">
        <v>25</v>
      </c>
      <c r="S77" s="1" t="s">
        <v>25</v>
      </c>
      <c r="T77" s="1">
        <v>29</v>
      </c>
      <c r="U77" s="1">
        <v>1</v>
      </c>
      <c r="V77" s="1">
        <v>1</v>
      </c>
    </row>
    <row r="78" spans="1:22" x14ac:dyDescent="0.25">
      <c r="A78" s="3">
        <v>44774</v>
      </c>
      <c r="B78" s="4">
        <v>0.57680555555555557</v>
      </c>
      <c r="C78" s="1">
        <v>1348</v>
      </c>
      <c r="D78" s="1">
        <v>13002561</v>
      </c>
      <c r="E78" s="1">
        <v>13</v>
      </c>
      <c r="F78" s="1">
        <v>22589</v>
      </c>
      <c r="G78" s="1" t="s">
        <v>21</v>
      </c>
      <c r="H78" s="1">
        <v>15</v>
      </c>
      <c r="I78" s="1">
        <v>105888</v>
      </c>
      <c r="J78" s="14" t="s">
        <v>119</v>
      </c>
      <c r="K78" s="1" t="s">
        <v>117</v>
      </c>
      <c r="L78" s="1" t="s">
        <v>120</v>
      </c>
      <c r="M78" s="14">
        <v>1</v>
      </c>
      <c r="N78" s="2">
        <v>35.770000000000003</v>
      </c>
      <c r="O78" s="16">
        <v>58</v>
      </c>
      <c r="P78" s="14">
        <v>5</v>
      </c>
      <c r="Q78" s="14">
        <f t="shared" si="1"/>
        <v>53</v>
      </c>
      <c r="R78" s="1">
        <v>9</v>
      </c>
      <c r="S78" s="1">
        <v>200010021953</v>
      </c>
      <c r="T78" s="1">
        <v>29</v>
      </c>
      <c r="U78" s="1">
        <v>1</v>
      </c>
      <c r="V78" s="1">
        <v>1</v>
      </c>
    </row>
    <row r="79" spans="1:22" x14ac:dyDescent="0.25">
      <c r="A79" s="3">
        <v>44776</v>
      </c>
      <c r="B79" s="4">
        <v>0.36964120370370368</v>
      </c>
      <c r="C79" s="1">
        <v>1543</v>
      </c>
      <c r="D79" s="1">
        <v>13002595</v>
      </c>
      <c r="E79" s="1">
        <v>13</v>
      </c>
      <c r="F79" s="1">
        <v>22589</v>
      </c>
      <c r="G79" s="1" t="s">
        <v>21</v>
      </c>
      <c r="H79" s="1">
        <v>18</v>
      </c>
      <c r="I79" s="1">
        <v>105888</v>
      </c>
      <c r="J79" s="14" t="s">
        <v>119</v>
      </c>
      <c r="K79" s="1" t="s">
        <v>117</v>
      </c>
      <c r="L79" s="1" t="s">
        <v>120</v>
      </c>
      <c r="M79" s="14">
        <v>1</v>
      </c>
      <c r="N79" s="2">
        <v>35.770000000000003</v>
      </c>
      <c r="O79" s="16">
        <v>58</v>
      </c>
      <c r="P79" s="14">
        <v>0</v>
      </c>
      <c r="Q79" s="14">
        <f t="shared" si="1"/>
        <v>58</v>
      </c>
      <c r="R79" s="1" t="s">
        <v>25</v>
      </c>
      <c r="S79" s="1" t="s">
        <v>25</v>
      </c>
      <c r="T79" s="1">
        <v>29</v>
      </c>
      <c r="U79" s="1">
        <v>1</v>
      </c>
      <c r="V79" s="1">
        <v>1</v>
      </c>
    </row>
    <row r="80" spans="1:22" x14ac:dyDescent="0.25">
      <c r="A80" s="3">
        <v>44776</v>
      </c>
      <c r="B80" s="4">
        <v>0.60665509259259254</v>
      </c>
      <c r="C80" s="1">
        <v>1609</v>
      </c>
      <c r="D80" s="1">
        <v>13002595</v>
      </c>
      <c r="E80" s="1">
        <v>13</v>
      </c>
      <c r="F80" s="1">
        <v>22589</v>
      </c>
      <c r="G80" s="1" t="s">
        <v>21</v>
      </c>
      <c r="H80" s="1">
        <v>18</v>
      </c>
      <c r="I80" s="1">
        <v>105888</v>
      </c>
      <c r="J80" s="14" t="s">
        <v>119</v>
      </c>
      <c r="K80" s="1" t="s">
        <v>117</v>
      </c>
      <c r="L80" s="1" t="s">
        <v>120</v>
      </c>
      <c r="M80" s="14">
        <v>1</v>
      </c>
      <c r="N80" s="2">
        <v>35.770000000000003</v>
      </c>
      <c r="O80" s="16">
        <v>58</v>
      </c>
      <c r="P80" s="14">
        <v>0</v>
      </c>
      <c r="Q80" s="14">
        <f t="shared" si="1"/>
        <v>58</v>
      </c>
      <c r="R80" s="1" t="s">
        <v>25</v>
      </c>
      <c r="S80" s="1" t="s">
        <v>25</v>
      </c>
      <c r="T80" s="1">
        <v>29</v>
      </c>
      <c r="U80" s="1">
        <v>1</v>
      </c>
      <c r="V80" s="1">
        <v>1</v>
      </c>
    </row>
    <row r="81" spans="1:22" x14ac:dyDescent="0.25">
      <c r="A81" s="3">
        <v>44776</v>
      </c>
      <c r="B81" s="4">
        <v>0.65983796296296293</v>
      </c>
      <c r="C81" s="1">
        <v>1621</v>
      </c>
      <c r="D81" s="1">
        <v>13002595</v>
      </c>
      <c r="E81" s="1">
        <v>13</v>
      </c>
      <c r="F81" s="1">
        <v>22589</v>
      </c>
      <c r="G81" s="1" t="s">
        <v>21</v>
      </c>
      <c r="H81" s="1">
        <v>18</v>
      </c>
      <c r="I81" s="1">
        <v>105888</v>
      </c>
      <c r="J81" s="14" t="s">
        <v>119</v>
      </c>
      <c r="K81" s="1" t="s">
        <v>117</v>
      </c>
      <c r="L81" s="1" t="s">
        <v>120</v>
      </c>
      <c r="M81" s="14">
        <v>1</v>
      </c>
      <c r="N81" s="2">
        <v>35.770000000000003</v>
      </c>
      <c r="O81" s="16">
        <v>58</v>
      </c>
      <c r="P81" s="14">
        <v>0</v>
      </c>
      <c r="Q81" s="14">
        <f t="shared" si="1"/>
        <v>58</v>
      </c>
      <c r="R81" s="1" t="s">
        <v>25</v>
      </c>
      <c r="S81" s="1" t="s">
        <v>25</v>
      </c>
      <c r="T81" s="1">
        <v>29</v>
      </c>
      <c r="U81" s="1">
        <v>1</v>
      </c>
      <c r="V81" s="1">
        <v>1</v>
      </c>
    </row>
    <row r="82" spans="1:22" x14ac:dyDescent="0.25">
      <c r="A82" s="3">
        <v>44776</v>
      </c>
      <c r="B82" s="4">
        <v>0.69087962962962968</v>
      </c>
      <c r="C82" s="1">
        <v>1627</v>
      </c>
      <c r="D82" s="1">
        <v>13002595</v>
      </c>
      <c r="E82" s="1">
        <v>13</v>
      </c>
      <c r="F82" s="1">
        <v>22589</v>
      </c>
      <c r="G82" s="1" t="s">
        <v>21</v>
      </c>
      <c r="H82" s="1">
        <v>18</v>
      </c>
      <c r="I82" s="1">
        <v>105888</v>
      </c>
      <c r="J82" s="14" t="s">
        <v>119</v>
      </c>
      <c r="K82" s="1" t="s">
        <v>117</v>
      </c>
      <c r="L82" s="1" t="s">
        <v>120</v>
      </c>
      <c r="M82" s="14">
        <v>1</v>
      </c>
      <c r="N82" s="2">
        <v>35.770000000000003</v>
      </c>
      <c r="O82" s="16">
        <v>58</v>
      </c>
      <c r="P82" s="14">
        <v>5</v>
      </c>
      <c r="Q82" s="14">
        <f t="shared" si="1"/>
        <v>53</v>
      </c>
      <c r="R82" s="1">
        <v>9</v>
      </c>
      <c r="S82" s="1">
        <v>200010006183</v>
      </c>
      <c r="T82" s="1">
        <v>29</v>
      </c>
      <c r="U82" s="1">
        <v>1</v>
      </c>
      <c r="V82" s="1">
        <v>1</v>
      </c>
    </row>
    <row r="83" spans="1:22" x14ac:dyDescent="0.25">
      <c r="A83" s="3">
        <v>44776</v>
      </c>
      <c r="B83" s="4">
        <v>0.79831018518518515</v>
      </c>
      <c r="C83" s="1">
        <v>1652</v>
      </c>
      <c r="D83" s="1">
        <v>13002595</v>
      </c>
      <c r="E83" s="1">
        <v>13</v>
      </c>
      <c r="F83" s="1">
        <v>22589</v>
      </c>
      <c r="G83" s="1" t="s">
        <v>21</v>
      </c>
      <c r="H83" s="1">
        <v>15</v>
      </c>
      <c r="I83" s="1">
        <v>105888</v>
      </c>
      <c r="J83" s="14" t="s">
        <v>119</v>
      </c>
      <c r="K83" s="1" t="s">
        <v>117</v>
      </c>
      <c r="L83" s="1" t="s">
        <v>120</v>
      </c>
      <c r="M83" s="14">
        <v>1</v>
      </c>
      <c r="N83" s="2">
        <v>35.770000000000003</v>
      </c>
      <c r="O83" s="16">
        <v>58</v>
      </c>
      <c r="P83" s="14">
        <v>0</v>
      </c>
      <c r="Q83" s="14">
        <f t="shared" si="1"/>
        <v>58</v>
      </c>
      <c r="R83" s="1" t="s">
        <v>25</v>
      </c>
      <c r="S83" s="1" t="s">
        <v>25</v>
      </c>
      <c r="T83" s="1">
        <v>29</v>
      </c>
      <c r="U83" s="1">
        <v>1</v>
      </c>
      <c r="V83" s="1">
        <v>1</v>
      </c>
    </row>
    <row r="84" spans="1:22" x14ac:dyDescent="0.25">
      <c r="A84" s="3">
        <v>44777</v>
      </c>
      <c r="B84" s="4">
        <v>0.48834490740740738</v>
      </c>
      <c r="C84" s="1">
        <v>1685</v>
      </c>
      <c r="D84" s="1">
        <v>13002606</v>
      </c>
      <c r="E84" s="1">
        <v>13</v>
      </c>
      <c r="F84" s="1">
        <v>22589</v>
      </c>
      <c r="G84" s="1" t="s">
        <v>21</v>
      </c>
      <c r="H84" s="1">
        <v>18</v>
      </c>
      <c r="I84" s="1">
        <v>105888</v>
      </c>
      <c r="J84" s="14" t="s">
        <v>119</v>
      </c>
      <c r="K84" s="1" t="s">
        <v>117</v>
      </c>
      <c r="L84" s="1" t="s">
        <v>120</v>
      </c>
      <c r="M84" s="14">
        <v>1</v>
      </c>
      <c r="N84" s="2">
        <v>35.770000000000003</v>
      </c>
      <c r="O84" s="16">
        <v>58</v>
      </c>
      <c r="P84" s="14">
        <v>5</v>
      </c>
      <c r="Q84" s="14">
        <f t="shared" si="1"/>
        <v>53</v>
      </c>
      <c r="R84" s="1">
        <v>9</v>
      </c>
      <c r="S84" s="1">
        <v>200010022986</v>
      </c>
      <c r="T84" s="1">
        <v>50</v>
      </c>
      <c r="U84" s="1">
        <v>1</v>
      </c>
      <c r="V84" s="1">
        <v>2</v>
      </c>
    </row>
    <row r="85" spans="1:22" x14ac:dyDescent="0.25">
      <c r="A85" s="3">
        <v>44774</v>
      </c>
      <c r="B85" s="4">
        <v>0.64307870370370368</v>
      </c>
      <c r="C85" s="1">
        <v>1367</v>
      </c>
      <c r="D85" s="1">
        <v>13002561</v>
      </c>
      <c r="E85" s="1">
        <v>13</v>
      </c>
      <c r="F85" s="1">
        <v>22589</v>
      </c>
      <c r="G85" s="1" t="s">
        <v>21</v>
      </c>
      <c r="H85" s="1">
        <v>18</v>
      </c>
      <c r="I85" s="1">
        <v>260840</v>
      </c>
      <c r="J85" s="14" t="s">
        <v>358</v>
      </c>
      <c r="K85" s="1" t="s">
        <v>51</v>
      </c>
      <c r="L85" s="1" t="s">
        <v>167</v>
      </c>
      <c r="M85" s="14">
        <v>1</v>
      </c>
      <c r="N85" s="2">
        <v>9.66</v>
      </c>
      <c r="O85" s="16">
        <v>16</v>
      </c>
      <c r="P85" s="14">
        <v>0</v>
      </c>
      <c r="Q85" s="14">
        <f t="shared" si="1"/>
        <v>16</v>
      </c>
      <c r="R85" s="1" t="s">
        <v>25</v>
      </c>
      <c r="S85" s="1" t="s">
        <v>25</v>
      </c>
      <c r="T85" s="1">
        <v>29</v>
      </c>
      <c r="U85" s="1">
        <v>1</v>
      </c>
      <c r="V85" s="1">
        <v>1</v>
      </c>
    </row>
    <row r="86" spans="1:22" x14ac:dyDescent="0.25">
      <c r="A86" s="3">
        <v>44775</v>
      </c>
      <c r="B86" s="4">
        <v>0.72061342592592592</v>
      </c>
      <c r="C86" s="1">
        <v>1506</v>
      </c>
      <c r="D86" s="1">
        <v>13002581</v>
      </c>
      <c r="E86" s="1">
        <v>13</v>
      </c>
      <c r="F86" s="1">
        <v>22589</v>
      </c>
      <c r="G86" s="1" t="s">
        <v>21</v>
      </c>
      <c r="H86" s="1">
        <v>18</v>
      </c>
      <c r="I86" s="1">
        <v>260840</v>
      </c>
      <c r="J86" s="14" t="s">
        <v>358</v>
      </c>
      <c r="K86" s="1" t="s">
        <v>51</v>
      </c>
      <c r="L86" s="1" t="s">
        <v>167</v>
      </c>
      <c r="M86" s="14">
        <v>1</v>
      </c>
      <c r="N86" s="2">
        <v>9.66</v>
      </c>
      <c r="O86" s="16">
        <v>16</v>
      </c>
      <c r="P86" s="14">
        <v>0</v>
      </c>
      <c r="Q86" s="14">
        <f t="shared" si="1"/>
        <v>16</v>
      </c>
      <c r="R86" s="1" t="s">
        <v>25</v>
      </c>
      <c r="S86" s="1" t="s">
        <v>25</v>
      </c>
      <c r="T86" s="1">
        <v>29</v>
      </c>
      <c r="U86" s="1">
        <v>1</v>
      </c>
      <c r="V86" s="1">
        <v>1</v>
      </c>
    </row>
    <row r="87" spans="1:22" x14ac:dyDescent="0.25">
      <c r="A87" s="3">
        <v>44776</v>
      </c>
      <c r="B87" s="4">
        <v>0.56918981481481479</v>
      </c>
      <c r="C87" s="1">
        <v>1600</v>
      </c>
      <c r="D87" s="1">
        <v>13002595</v>
      </c>
      <c r="E87" s="1">
        <v>13</v>
      </c>
      <c r="F87" s="1">
        <v>22589</v>
      </c>
      <c r="G87" s="1" t="s">
        <v>21</v>
      </c>
      <c r="H87" s="1">
        <v>15</v>
      </c>
      <c r="I87" s="1">
        <v>260840</v>
      </c>
      <c r="J87" s="14" t="s">
        <v>358</v>
      </c>
      <c r="K87" s="1" t="s">
        <v>51</v>
      </c>
      <c r="L87" s="1" t="s">
        <v>167</v>
      </c>
      <c r="M87" s="14">
        <v>1</v>
      </c>
      <c r="N87" s="2">
        <v>9.66</v>
      </c>
      <c r="O87" s="16">
        <v>16</v>
      </c>
      <c r="P87" s="14">
        <v>0</v>
      </c>
      <c r="Q87" s="14">
        <f t="shared" si="1"/>
        <v>16</v>
      </c>
      <c r="R87" s="1" t="s">
        <v>25</v>
      </c>
      <c r="S87" s="1" t="s">
        <v>25</v>
      </c>
      <c r="T87" s="1">
        <v>29</v>
      </c>
      <c r="U87" s="1">
        <v>1</v>
      </c>
      <c r="V87" s="1">
        <v>2</v>
      </c>
    </row>
    <row r="88" spans="1:22" x14ac:dyDescent="0.25">
      <c r="A88" s="3">
        <v>44777</v>
      </c>
      <c r="B88" s="4">
        <v>0.52650462962962963</v>
      </c>
      <c r="C88" s="1">
        <v>1703</v>
      </c>
      <c r="D88" s="1">
        <v>13002606</v>
      </c>
      <c r="E88" s="1">
        <v>13</v>
      </c>
      <c r="F88" s="1">
        <v>22589</v>
      </c>
      <c r="G88" s="1" t="s">
        <v>21</v>
      </c>
      <c r="H88" s="1">
        <v>18</v>
      </c>
      <c r="I88" s="1">
        <v>260840</v>
      </c>
      <c r="J88" s="14" t="s">
        <v>358</v>
      </c>
      <c r="K88" s="1" t="s">
        <v>51</v>
      </c>
      <c r="L88" s="1" t="s">
        <v>167</v>
      </c>
      <c r="M88" s="14">
        <v>1</v>
      </c>
      <c r="N88" s="2">
        <v>9.66</v>
      </c>
      <c r="O88" s="16">
        <v>16</v>
      </c>
      <c r="P88" s="14">
        <v>0</v>
      </c>
      <c r="Q88" s="14">
        <f t="shared" si="1"/>
        <v>16</v>
      </c>
      <c r="R88" s="1" t="s">
        <v>25</v>
      </c>
      <c r="S88" s="1" t="s">
        <v>25</v>
      </c>
      <c r="T88" s="1">
        <v>50</v>
      </c>
      <c r="U88" s="1">
        <v>1</v>
      </c>
      <c r="V88" s="1">
        <v>2</v>
      </c>
    </row>
    <row r="89" spans="1:22" x14ac:dyDescent="0.25">
      <c r="A89" s="3">
        <v>44777</v>
      </c>
      <c r="B89" s="4">
        <v>0.5397453703703704</v>
      </c>
      <c r="C89" s="1">
        <v>1709</v>
      </c>
      <c r="D89" s="1">
        <v>13002606</v>
      </c>
      <c r="E89" s="1">
        <v>13</v>
      </c>
      <c r="F89" s="1">
        <v>22589</v>
      </c>
      <c r="G89" s="1" t="s">
        <v>21</v>
      </c>
      <c r="H89" s="1">
        <v>18</v>
      </c>
      <c r="I89" s="1">
        <v>260840</v>
      </c>
      <c r="J89" s="14" t="s">
        <v>358</v>
      </c>
      <c r="K89" s="1" t="s">
        <v>51</v>
      </c>
      <c r="L89" s="1" t="s">
        <v>167</v>
      </c>
      <c r="M89" s="14">
        <v>1</v>
      </c>
      <c r="N89" s="2">
        <v>9.66</v>
      </c>
      <c r="O89" s="16">
        <v>16</v>
      </c>
      <c r="P89" s="14">
        <v>0</v>
      </c>
      <c r="Q89" s="14">
        <f t="shared" si="1"/>
        <v>16</v>
      </c>
      <c r="R89" s="1" t="s">
        <v>25</v>
      </c>
      <c r="S89" s="1" t="s">
        <v>25</v>
      </c>
      <c r="T89" s="1">
        <v>50</v>
      </c>
      <c r="U89" s="1">
        <v>1</v>
      </c>
      <c r="V89" s="1">
        <v>1</v>
      </c>
    </row>
    <row r="90" spans="1:22" x14ac:dyDescent="0.25">
      <c r="A90" s="3">
        <v>44778</v>
      </c>
      <c r="B90" s="4">
        <v>0.80744212962962958</v>
      </c>
      <c r="C90" s="1">
        <v>1898</v>
      </c>
      <c r="D90" s="1">
        <v>13002616</v>
      </c>
      <c r="E90" s="1">
        <v>13</v>
      </c>
      <c r="F90" s="1">
        <v>22589</v>
      </c>
      <c r="G90" s="1" t="s">
        <v>21</v>
      </c>
      <c r="H90" s="1">
        <v>18</v>
      </c>
      <c r="I90" s="1">
        <v>260840</v>
      </c>
      <c r="J90" s="14" t="s">
        <v>358</v>
      </c>
      <c r="K90" s="1" t="s">
        <v>51</v>
      </c>
      <c r="L90" s="1" t="s">
        <v>167</v>
      </c>
      <c r="M90" s="14">
        <v>1</v>
      </c>
      <c r="N90" s="2">
        <v>9.66</v>
      </c>
      <c r="O90" s="16">
        <v>16</v>
      </c>
      <c r="P90" s="14">
        <v>0</v>
      </c>
      <c r="Q90" s="14">
        <f t="shared" si="1"/>
        <v>16</v>
      </c>
      <c r="R90" s="1" t="s">
        <v>25</v>
      </c>
      <c r="S90" s="1" t="s">
        <v>25</v>
      </c>
      <c r="T90" s="1">
        <v>50</v>
      </c>
      <c r="U90" s="1">
        <v>1</v>
      </c>
      <c r="V90" s="1">
        <v>1</v>
      </c>
    </row>
    <row r="91" spans="1:22" x14ac:dyDescent="0.25">
      <c r="A91" s="3">
        <v>44777</v>
      </c>
      <c r="B91" s="4">
        <v>0.52650462962962963</v>
      </c>
      <c r="C91" s="1">
        <v>1703</v>
      </c>
      <c r="D91" s="1">
        <v>13002606</v>
      </c>
      <c r="E91" s="1">
        <v>13</v>
      </c>
      <c r="F91" s="1">
        <v>22589</v>
      </c>
      <c r="G91" s="1" t="s">
        <v>21</v>
      </c>
      <c r="H91" s="1">
        <v>18</v>
      </c>
      <c r="I91" s="1">
        <v>260841</v>
      </c>
      <c r="J91" s="14" t="s">
        <v>986</v>
      </c>
      <c r="K91" s="1" t="s">
        <v>51</v>
      </c>
      <c r="L91" s="1" t="s">
        <v>167</v>
      </c>
      <c r="M91" s="14">
        <v>1</v>
      </c>
      <c r="N91" s="2">
        <v>9.67</v>
      </c>
      <c r="O91" s="16">
        <v>16</v>
      </c>
      <c r="P91" s="14">
        <v>0</v>
      </c>
      <c r="Q91" s="14">
        <f t="shared" si="1"/>
        <v>16</v>
      </c>
      <c r="R91" s="1" t="s">
        <v>25</v>
      </c>
      <c r="S91" s="1" t="s">
        <v>25</v>
      </c>
      <c r="T91" s="1">
        <v>50</v>
      </c>
      <c r="U91" s="1">
        <v>1</v>
      </c>
      <c r="V91" s="1">
        <v>1</v>
      </c>
    </row>
    <row r="92" spans="1:22" x14ac:dyDescent="0.25">
      <c r="A92" s="3">
        <v>44777</v>
      </c>
      <c r="B92" s="4">
        <v>0.54795138888888884</v>
      </c>
      <c r="C92" s="1">
        <v>1714</v>
      </c>
      <c r="D92" s="1">
        <v>13002606</v>
      </c>
      <c r="E92" s="1">
        <v>13</v>
      </c>
      <c r="F92" s="1">
        <v>22589</v>
      </c>
      <c r="G92" s="1" t="s">
        <v>21</v>
      </c>
      <c r="H92" s="1">
        <v>18</v>
      </c>
      <c r="I92" s="1">
        <v>260841</v>
      </c>
      <c r="J92" s="14" t="s">
        <v>986</v>
      </c>
      <c r="K92" s="1" t="s">
        <v>51</v>
      </c>
      <c r="L92" s="1" t="s">
        <v>167</v>
      </c>
      <c r="M92" s="14">
        <v>1</v>
      </c>
      <c r="N92" s="2">
        <v>9.67</v>
      </c>
      <c r="O92" s="16">
        <v>16</v>
      </c>
      <c r="P92" s="14">
        <v>1</v>
      </c>
      <c r="Q92" s="14">
        <f t="shared" si="1"/>
        <v>15</v>
      </c>
      <c r="R92" s="1">
        <v>9</v>
      </c>
      <c r="S92" s="1">
        <v>200010018671</v>
      </c>
      <c r="T92" s="1">
        <v>50</v>
      </c>
      <c r="U92" s="1">
        <v>1</v>
      </c>
      <c r="V92" s="1">
        <v>2</v>
      </c>
    </row>
    <row r="93" spans="1:22" x14ac:dyDescent="0.25">
      <c r="A93" s="3">
        <v>44777</v>
      </c>
      <c r="B93" s="4">
        <v>0.58459490740740738</v>
      </c>
      <c r="C93" s="1">
        <v>1725</v>
      </c>
      <c r="D93" s="1">
        <v>13002606</v>
      </c>
      <c r="E93" s="1">
        <v>13</v>
      </c>
      <c r="F93" s="1">
        <v>22589</v>
      </c>
      <c r="G93" s="1" t="s">
        <v>21</v>
      </c>
      <c r="H93" s="1">
        <v>15</v>
      </c>
      <c r="I93" s="1">
        <v>260841</v>
      </c>
      <c r="J93" s="14" t="s">
        <v>986</v>
      </c>
      <c r="K93" s="1" t="s">
        <v>51</v>
      </c>
      <c r="L93" s="1" t="s">
        <v>167</v>
      </c>
      <c r="M93" s="14">
        <v>1</v>
      </c>
      <c r="N93" s="2">
        <v>9.67</v>
      </c>
      <c r="O93" s="16">
        <v>16</v>
      </c>
      <c r="P93" s="14">
        <v>0</v>
      </c>
      <c r="Q93" s="14">
        <f t="shared" si="1"/>
        <v>16</v>
      </c>
      <c r="R93" s="1" t="s">
        <v>25</v>
      </c>
      <c r="S93" s="1" t="s">
        <v>25</v>
      </c>
      <c r="T93" s="1">
        <v>50</v>
      </c>
      <c r="U93" s="1">
        <v>1</v>
      </c>
      <c r="V93" s="1">
        <v>1</v>
      </c>
    </row>
    <row r="94" spans="1:22" x14ac:dyDescent="0.25">
      <c r="A94" s="3">
        <v>44778</v>
      </c>
      <c r="B94" s="4">
        <v>0.34179398148148149</v>
      </c>
      <c r="C94" s="1">
        <v>1783</v>
      </c>
      <c r="D94" s="1">
        <v>13002616</v>
      </c>
      <c r="E94" s="1">
        <v>13</v>
      </c>
      <c r="F94" s="1">
        <v>22589</v>
      </c>
      <c r="G94" s="1" t="s">
        <v>21</v>
      </c>
      <c r="H94" s="1">
        <v>18</v>
      </c>
      <c r="I94" s="1">
        <v>260841</v>
      </c>
      <c r="J94" s="14" t="s">
        <v>986</v>
      </c>
      <c r="K94" s="1" t="s">
        <v>51</v>
      </c>
      <c r="L94" s="1" t="s">
        <v>167</v>
      </c>
      <c r="M94" s="14">
        <v>1</v>
      </c>
      <c r="N94" s="2">
        <v>9.67</v>
      </c>
      <c r="O94" s="16">
        <v>16</v>
      </c>
      <c r="P94" s="14">
        <v>0.99</v>
      </c>
      <c r="Q94" s="14">
        <f t="shared" si="1"/>
        <v>15.01</v>
      </c>
      <c r="R94" s="1">
        <v>925</v>
      </c>
      <c r="S94" s="1">
        <v>200000000492</v>
      </c>
      <c r="T94" s="1">
        <v>50</v>
      </c>
      <c r="U94" s="1">
        <v>1</v>
      </c>
      <c r="V94" s="1">
        <v>1</v>
      </c>
    </row>
    <row r="95" spans="1:22" x14ac:dyDescent="0.25">
      <c r="A95" s="3">
        <v>44774</v>
      </c>
      <c r="B95" s="4">
        <v>0.57680555555555557</v>
      </c>
      <c r="C95" s="1">
        <v>1348</v>
      </c>
      <c r="D95" s="1">
        <v>13002561</v>
      </c>
      <c r="E95" s="1">
        <v>13</v>
      </c>
      <c r="F95" s="1">
        <v>22589</v>
      </c>
      <c r="G95" s="1" t="s">
        <v>21</v>
      </c>
      <c r="H95" s="1">
        <v>15</v>
      </c>
      <c r="I95" s="1">
        <v>38815</v>
      </c>
      <c r="J95" s="14" t="s">
        <v>310</v>
      </c>
      <c r="K95" s="1" t="s">
        <v>51</v>
      </c>
      <c r="L95" s="1" t="s">
        <v>197</v>
      </c>
      <c r="M95" s="14">
        <v>1</v>
      </c>
      <c r="N95" s="2">
        <v>33.21</v>
      </c>
      <c r="O95" s="16">
        <v>51</v>
      </c>
      <c r="P95" s="14">
        <v>3</v>
      </c>
      <c r="Q95" s="14">
        <f t="shared" si="1"/>
        <v>48</v>
      </c>
      <c r="R95" s="1">
        <v>9</v>
      </c>
      <c r="S95" s="1">
        <v>200010021953</v>
      </c>
      <c r="T95" s="1">
        <v>29</v>
      </c>
      <c r="U95" s="1">
        <v>1</v>
      </c>
      <c r="V95" s="1">
        <v>2</v>
      </c>
    </row>
    <row r="96" spans="1:22" x14ac:dyDescent="0.25">
      <c r="A96" s="3">
        <v>44774</v>
      </c>
      <c r="B96" s="4">
        <v>0.57680555555555557</v>
      </c>
      <c r="C96" s="1">
        <v>1348</v>
      </c>
      <c r="D96" s="1">
        <v>13002561</v>
      </c>
      <c r="E96" s="1">
        <v>13</v>
      </c>
      <c r="F96" s="1">
        <v>22589</v>
      </c>
      <c r="G96" s="1" t="s">
        <v>21</v>
      </c>
      <c r="H96" s="1">
        <v>15</v>
      </c>
      <c r="I96" s="1">
        <v>38815</v>
      </c>
      <c r="J96" s="14" t="s">
        <v>310</v>
      </c>
      <c r="K96" s="1" t="s">
        <v>51</v>
      </c>
      <c r="L96" s="1" t="s">
        <v>197</v>
      </c>
      <c r="M96" s="14">
        <v>1</v>
      </c>
      <c r="N96" s="2">
        <v>33.21</v>
      </c>
      <c r="O96" s="16">
        <v>51</v>
      </c>
      <c r="P96" s="14">
        <v>3</v>
      </c>
      <c r="Q96" s="14">
        <f t="shared" si="1"/>
        <v>48</v>
      </c>
      <c r="R96" s="1">
        <v>9</v>
      </c>
      <c r="S96" s="1">
        <v>200010021953</v>
      </c>
      <c r="T96" s="1">
        <v>29</v>
      </c>
      <c r="U96" s="1">
        <v>1</v>
      </c>
      <c r="V96" s="1">
        <v>3</v>
      </c>
    </row>
    <row r="97" spans="1:22" x14ac:dyDescent="0.25">
      <c r="A97" s="3">
        <v>44778</v>
      </c>
      <c r="B97" s="4">
        <v>0.5577199074074074</v>
      </c>
      <c r="C97" s="1">
        <v>1844</v>
      </c>
      <c r="D97" s="1">
        <v>13002616</v>
      </c>
      <c r="E97" s="1">
        <v>13</v>
      </c>
      <c r="F97" s="1">
        <v>22589</v>
      </c>
      <c r="G97" s="1" t="s">
        <v>21</v>
      </c>
      <c r="H97" s="1">
        <v>18</v>
      </c>
      <c r="I97" s="1">
        <v>349657</v>
      </c>
      <c r="J97" s="14" t="s">
        <v>1150</v>
      </c>
      <c r="K97" s="1" t="s">
        <v>34</v>
      </c>
      <c r="L97" s="1" t="s">
        <v>591</v>
      </c>
      <c r="M97" s="14">
        <v>1</v>
      </c>
      <c r="N97" s="2">
        <v>58.37</v>
      </c>
      <c r="O97" s="16">
        <v>101</v>
      </c>
      <c r="P97" s="14">
        <v>0</v>
      </c>
      <c r="Q97" s="14">
        <f t="shared" si="1"/>
        <v>101</v>
      </c>
      <c r="R97" s="1" t="s">
        <v>25</v>
      </c>
      <c r="S97" s="1" t="s">
        <v>25</v>
      </c>
      <c r="T97" s="1">
        <v>50</v>
      </c>
      <c r="U97" s="1">
        <v>1</v>
      </c>
      <c r="V97" s="1">
        <v>1</v>
      </c>
    </row>
    <row r="98" spans="1:22" x14ac:dyDescent="0.25">
      <c r="A98" s="3">
        <v>44776</v>
      </c>
      <c r="B98" s="4">
        <v>0.56918981481481479</v>
      </c>
      <c r="C98" s="1">
        <v>1600</v>
      </c>
      <c r="D98" s="1">
        <v>13002595</v>
      </c>
      <c r="E98" s="1">
        <v>13</v>
      </c>
      <c r="F98" s="1">
        <v>22589</v>
      </c>
      <c r="G98" s="1" t="s">
        <v>21</v>
      </c>
      <c r="H98" s="1">
        <v>15</v>
      </c>
      <c r="I98" s="1">
        <v>564766</v>
      </c>
      <c r="J98" s="14" t="s">
        <v>834</v>
      </c>
      <c r="K98" s="1" t="s">
        <v>64</v>
      </c>
      <c r="L98" s="1" t="s">
        <v>509</v>
      </c>
      <c r="M98" s="14">
        <v>1</v>
      </c>
      <c r="N98" s="2">
        <v>6.44</v>
      </c>
      <c r="O98" s="16">
        <v>11</v>
      </c>
      <c r="P98" s="14">
        <v>0</v>
      </c>
      <c r="Q98" s="14">
        <f t="shared" si="1"/>
        <v>11</v>
      </c>
      <c r="R98" s="1" t="s">
        <v>25</v>
      </c>
      <c r="S98" s="1" t="s">
        <v>25</v>
      </c>
      <c r="T98" s="1">
        <v>29</v>
      </c>
      <c r="U98" s="1">
        <v>1</v>
      </c>
      <c r="V98" s="1">
        <v>3</v>
      </c>
    </row>
    <row r="99" spans="1:22" x14ac:dyDescent="0.25">
      <c r="A99" s="3">
        <v>44777</v>
      </c>
      <c r="B99" s="4">
        <v>0.54795138888888884</v>
      </c>
      <c r="C99" s="1">
        <v>1714</v>
      </c>
      <c r="D99" s="1">
        <v>13002606</v>
      </c>
      <c r="E99" s="1">
        <v>13</v>
      </c>
      <c r="F99" s="1">
        <v>22589</v>
      </c>
      <c r="G99" s="1" t="s">
        <v>21</v>
      </c>
      <c r="H99" s="1">
        <v>18</v>
      </c>
      <c r="I99" s="1">
        <v>564766</v>
      </c>
      <c r="J99" s="14" t="s">
        <v>834</v>
      </c>
      <c r="K99" s="1" t="s">
        <v>64</v>
      </c>
      <c r="L99" s="1" t="s">
        <v>509</v>
      </c>
      <c r="M99" s="14">
        <v>1</v>
      </c>
      <c r="N99" s="2">
        <v>6.44</v>
      </c>
      <c r="O99" s="16">
        <v>11</v>
      </c>
      <c r="P99" s="14">
        <v>1</v>
      </c>
      <c r="Q99" s="14">
        <f t="shared" si="1"/>
        <v>10</v>
      </c>
      <c r="R99" s="1">
        <v>9</v>
      </c>
      <c r="S99" s="1">
        <v>200010018671</v>
      </c>
      <c r="T99" s="1">
        <v>50</v>
      </c>
      <c r="U99" s="1">
        <v>1</v>
      </c>
      <c r="V99" s="1">
        <v>3</v>
      </c>
    </row>
    <row r="100" spans="1:22" x14ac:dyDescent="0.25">
      <c r="A100" s="3">
        <v>44777</v>
      </c>
      <c r="B100" s="4">
        <v>0.77209490740740738</v>
      </c>
      <c r="C100" s="1">
        <v>1768</v>
      </c>
      <c r="D100" s="1">
        <v>13002606</v>
      </c>
      <c r="E100" s="1">
        <v>13</v>
      </c>
      <c r="F100" s="1">
        <v>22589</v>
      </c>
      <c r="G100" s="1" t="s">
        <v>21</v>
      </c>
      <c r="H100" s="1">
        <v>15</v>
      </c>
      <c r="I100" s="1">
        <v>564766</v>
      </c>
      <c r="J100" s="14" t="s">
        <v>834</v>
      </c>
      <c r="K100" s="1" t="s">
        <v>64</v>
      </c>
      <c r="L100" s="1" t="s">
        <v>509</v>
      </c>
      <c r="M100" s="14">
        <v>1</v>
      </c>
      <c r="N100" s="2">
        <v>6.44</v>
      </c>
      <c r="O100" s="16">
        <v>11</v>
      </c>
      <c r="P100" s="14">
        <v>1</v>
      </c>
      <c r="Q100" s="14">
        <f t="shared" si="1"/>
        <v>10</v>
      </c>
      <c r="R100" s="1">
        <v>9</v>
      </c>
      <c r="S100" s="1">
        <v>200010001749</v>
      </c>
      <c r="T100" s="1">
        <v>50</v>
      </c>
      <c r="U100" s="1">
        <v>1</v>
      </c>
      <c r="V100" s="1">
        <v>1</v>
      </c>
    </row>
    <row r="101" spans="1:22" x14ac:dyDescent="0.25">
      <c r="A101" s="3">
        <v>44778</v>
      </c>
      <c r="B101" s="4">
        <v>0.43986111111111109</v>
      </c>
      <c r="C101" s="1">
        <v>1815</v>
      </c>
      <c r="D101" s="1">
        <v>13002616</v>
      </c>
      <c r="E101" s="1">
        <v>13</v>
      </c>
      <c r="F101" s="1">
        <v>22589</v>
      </c>
      <c r="G101" s="1" t="s">
        <v>21</v>
      </c>
      <c r="H101" s="1">
        <v>18</v>
      </c>
      <c r="I101" s="1">
        <v>564766</v>
      </c>
      <c r="J101" s="14" t="s">
        <v>834</v>
      </c>
      <c r="K101" s="1" t="s">
        <v>64</v>
      </c>
      <c r="L101" s="1" t="s">
        <v>509</v>
      </c>
      <c r="M101" s="14">
        <v>1</v>
      </c>
      <c r="N101" s="2">
        <v>6.44</v>
      </c>
      <c r="O101" s="16">
        <v>11</v>
      </c>
      <c r="P101" s="14">
        <v>1</v>
      </c>
      <c r="Q101" s="14">
        <f t="shared" si="1"/>
        <v>10</v>
      </c>
      <c r="R101" s="1">
        <v>9</v>
      </c>
      <c r="S101" s="1">
        <v>200010023919</v>
      </c>
      <c r="T101" s="1">
        <v>50</v>
      </c>
      <c r="U101" s="1">
        <v>1</v>
      </c>
      <c r="V101" s="1">
        <v>1</v>
      </c>
    </row>
    <row r="102" spans="1:22" x14ac:dyDescent="0.25">
      <c r="A102" s="3">
        <v>44775</v>
      </c>
      <c r="B102" s="4">
        <v>0.41244212962962962</v>
      </c>
      <c r="C102" s="1">
        <v>1429</v>
      </c>
      <c r="D102" s="1">
        <v>13002581</v>
      </c>
      <c r="E102" s="1">
        <v>13</v>
      </c>
      <c r="F102" s="1">
        <v>22589</v>
      </c>
      <c r="G102" s="1" t="s">
        <v>21</v>
      </c>
      <c r="H102" s="1">
        <v>15</v>
      </c>
      <c r="I102" s="1">
        <v>564775</v>
      </c>
      <c r="J102" s="14" t="s">
        <v>508</v>
      </c>
      <c r="K102" s="1" t="s">
        <v>51</v>
      </c>
      <c r="L102" s="1" t="s">
        <v>509</v>
      </c>
      <c r="M102" s="14">
        <v>1</v>
      </c>
      <c r="N102" s="2">
        <v>6.87</v>
      </c>
      <c r="O102" s="16">
        <v>12</v>
      </c>
      <c r="P102" s="14">
        <v>1</v>
      </c>
      <c r="Q102" s="14">
        <f t="shared" si="1"/>
        <v>11</v>
      </c>
      <c r="R102" s="1">
        <v>9</v>
      </c>
      <c r="S102" s="1">
        <v>200010001074</v>
      </c>
      <c r="T102" s="1">
        <v>29</v>
      </c>
      <c r="U102" s="1">
        <v>1</v>
      </c>
      <c r="V102" s="1">
        <v>3</v>
      </c>
    </row>
    <row r="103" spans="1:22" x14ac:dyDescent="0.25">
      <c r="A103" s="3">
        <v>44776</v>
      </c>
      <c r="B103" s="4">
        <v>0.42203703703703704</v>
      </c>
      <c r="C103" s="1">
        <v>1549</v>
      </c>
      <c r="D103" s="1">
        <v>13002595</v>
      </c>
      <c r="E103" s="1">
        <v>13</v>
      </c>
      <c r="F103" s="1">
        <v>22589</v>
      </c>
      <c r="G103" s="1" t="s">
        <v>21</v>
      </c>
      <c r="H103" s="1">
        <v>15</v>
      </c>
      <c r="I103" s="1">
        <v>564775</v>
      </c>
      <c r="J103" s="14" t="s">
        <v>508</v>
      </c>
      <c r="K103" s="1" t="s">
        <v>51</v>
      </c>
      <c r="L103" s="1" t="s">
        <v>509</v>
      </c>
      <c r="M103" s="14">
        <v>1</v>
      </c>
      <c r="N103" s="2">
        <v>6.87</v>
      </c>
      <c r="O103" s="16">
        <v>12</v>
      </c>
      <c r="P103" s="14">
        <v>1</v>
      </c>
      <c r="Q103" s="14">
        <f t="shared" si="1"/>
        <v>11</v>
      </c>
      <c r="R103" s="1">
        <v>9</v>
      </c>
      <c r="S103" s="1">
        <v>200010023966</v>
      </c>
      <c r="T103" s="1">
        <v>29</v>
      </c>
      <c r="U103" s="1">
        <v>1</v>
      </c>
      <c r="V103" s="1">
        <v>2</v>
      </c>
    </row>
    <row r="104" spans="1:22" x14ac:dyDescent="0.25">
      <c r="A104" s="3">
        <v>44778</v>
      </c>
      <c r="B104" s="4">
        <v>0.43986111111111109</v>
      </c>
      <c r="C104" s="1">
        <v>1815</v>
      </c>
      <c r="D104" s="1">
        <v>13002616</v>
      </c>
      <c r="E104" s="1">
        <v>13</v>
      </c>
      <c r="F104" s="1">
        <v>22589</v>
      </c>
      <c r="G104" s="1" t="s">
        <v>21</v>
      </c>
      <c r="H104" s="1">
        <v>18</v>
      </c>
      <c r="I104" s="1">
        <v>564775</v>
      </c>
      <c r="J104" s="14" t="s">
        <v>508</v>
      </c>
      <c r="K104" s="1" t="s">
        <v>51</v>
      </c>
      <c r="L104" s="1" t="s">
        <v>509</v>
      </c>
      <c r="M104" s="14">
        <v>1</v>
      </c>
      <c r="N104" s="2">
        <v>6.84</v>
      </c>
      <c r="O104" s="16">
        <v>12</v>
      </c>
      <c r="P104" s="14">
        <v>1</v>
      </c>
      <c r="Q104" s="14">
        <f t="shared" si="1"/>
        <v>11</v>
      </c>
      <c r="R104" s="1">
        <v>9</v>
      </c>
      <c r="S104" s="1">
        <v>200010023919</v>
      </c>
      <c r="T104" s="1">
        <v>50</v>
      </c>
      <c r="U104" s="1">
        <v>1</v>
      </c>
      <c r="V104" s="1">
        <v>2</v>
      </c>
    </row>
    <row r="105" spans="1:22" x14ac:dyDescent="0.25">
      <c r="A105" s="3">
        <v>44776</v>
      </c>
      <c r="B105" s="4">
        <v>0.79831018518518515</v>
      </c>
      <c r="C105" s="1">
        <v>1652</v>
      </c>
      <c r="D105" s="1">
        <v>13002595</v>
      </c>
      <c r="E105" s="1">
        <v>13</v>
      </c>
      <c r="F105" s="1">
        <v>22589</v>
      </c>
      <c r="G105" s="1" t="s">
        <v>21</v>
      </c>
      <c r="H105" s="1">
        <v>15</v>
      </c>
      <c r="I105" s="1">
        <v>338779</v>
      </c>
      <c r="J105" s="14" t="s">
        <v>918</v>
      </c>
      <c r="K105" s="1" t="s">
        <v>29</v>
      </c>
      <c r="L105" s="1" t="s">
        <v>123</v>
      </c>
      <c r="M105" s="14">
        <v>1</v>
      </c>
      <c r="N105" s="2">
        <v>29.85</v>
      </c>
      <c r="O105" s="16">
        <v>36</v>
      </c>
      <c r="P105" s="14">
        <v>0</v>
      </c>
      <c r="Q105" s="14">
        <f t="shared" si="1"/>
        <v>36</v>
      </c>
      <c r="R105" s="1" t="s">
        <v>25</v>
      </c>
      <c r="S105" s="1" t="s">
        <v>25</v>
      </c>
      <c r="T105" s="1">
        <v>29</v>
      </c>
      <c r="U105" s="1">
        <v>1</v>
      </c>
      <c r="V105" s="1">
        <v>2</v>
      </c>
    </row>
    <row r="106" spans="1:22" x14ac:dyDescent="0.25">
      <c r="A106" s="3">
        <v>44774</v>
      </c>
      <c r="B106" s="4">
        <v>0.53057870370370375</v>
      </c>
      <c r="C106" s="1">
        <v>1329</v>
      </c>
      <c r="D106" s="1">
        <v>13002561</v>
      </c>
      <c r="E106" s="1">
        <v>13</v>
      </c>
      <c r="F106" s="1">
        <v>22589</v>
      </c>
      <c r="G106" s="1" t="s">
        <v>21</v>
      </c>
      <c r="H106" s="1">
        <v>18</v>
      </c>
      <c r="I106" s="1">
        <v>344242</v>
      </c>
      <c r="J106" s="14" t="s">
        <v>262</v>
      </c>
      <c r="K106" s="1" t="s">
        <v>51</v>
      </c>
      <c r="L106" s="1" t="s">
        <v>222</v>
      </c>
      <c r="M106" s="14">
        <v>1</v>
      </c>
      <c r="N106" s="2">
        <v>44.59</v>
      </c>
      <c r="O106" s="16">
        <v>55</v>
      </c>
      <c r="P106" s="14">
        <v>2</v>
      </c>
      <c r="Q106" s="14">
        <f t="shared" si="1"/>
        <v>53</v>
      </c>
      <c r="R106" s="1">
        <v>9</v>
      </c>
      <c r="S106" s="1">
        <v>200010004402</v>
      </c>
      <c r="T106" s="1">
        <v>29</v>
      </c>
      <c r="U106" s="1">
        <v>1</v>
      </c>
      <c r="V106" s="1">
        <v>1</v>
      </c>
    </row>
    <row r="107" spans="1:22" x14ac:dyDescent="0.25">
      <c r="A107" s="3">
        <v>44775</v>
      </c>
      <c r="B107" s="4">
        <v>0.45318287037037036</v>
      </c>
      <c r="C107" s="1">
        <v>1438</v>
      </c>
      <c r="D107" s="1">
        <v>13002581</v>
      </c>
      <c r="E107" s="1">
        <v>13</v>
      </c>
      <c r="F107" s="1">
        <v>22589</v>
      </c>
      <c r="G107" s="1" t="s">
        <v>21</v>
      </c>
      <c r="H107" s="1">
        <v>15</v>
      </c>
      <c r="I107" s="1">
        <v>344242</v>
      </c>
      <c r="J107" s="14" t="s">
        <v>262</v>
      </c>
      <c r="K107" s="1" t="s">
        <v>51</v>
      </c>
      <c r="L107" s="1" t="s">
        <v>222</v>
      </c>
      <c r="M107" s="14">
        <v>1</v>
      </c>
      <c r="N107" s="2">
        <v>44.59</v>
      </c>
      <c r="O107" s="16">
        <v>55</v>
      </c>
      <c r="P107" s="14">
        <v>2</v>
      </c>
      <c r="Q107" s="14">
        <f t="shared" si="1"/>
        <v>53</v>
      </c>
      <c r="R107" s="1">
        <v>9</v>
      </c>
      <c r="S107" s="1">
        <v>200010001691</v>
      </c>
      <c r="T107" s="1">
        <v>29</v>
      </c>
      <c r="U107" s="1">
        <v>1</v>
      </c>
      <c r="V107" s="1">
        <v>1</v>
      </c>
    </row>
    <row r="108" spans="1:22" x14ac:dyDescent="0.25">
      <c r="A108" s="3">
        <v>44775</v>
      </c>
      <c r="B108" s="4">
        <v>0.45318287037037036</v>
      </c>
      <c r="C108" s="1">
        <v>1438</v>
      </c>
      <c r="D108" s="1">
        <v>13002581</v>
      </c>
      <c r="E108" s="1">
        <v>13</v>
      </c>
      <c r="F108" s="1">
        <v>22589</v>
      </c>
      <c r="G108" s="1" t="s">
        <v>21</v>
      </c>
      <c r="H108" s="1">
        <v>15</v>
      </c>
      <c r="I108" s="1">
        <v>344242</v>
      </c>
      <c r="J108" s="14" t="s">
        <v>262</v>
      </c>
      <c r="K108" s="1" t="s">
        <v>51</v>
      </c>
      <c r="L108" s="1" t="s">
        <v>222</v>
      </c>
      <c r="M108" s="14">
        <v>1</v>
      </c>
      <c r="N108" s="2">
        <v>44.59</v>
      </c>
      <c r="O108" s="16">
        <v>55</v>
      </c>
      <c r="P108" s="14">
        <v>2</v>
      </c>
      <c r="Q108" s="14">
        <f t="shared" si="1"/>
        <v>53</v>
      </c>
      <c r="R108" s="1">
        <v>9</v>
      </c>
      <c r="S108" s="1">
        <v>200010001691</v>
      </c>
      <c r="T108" s="1">
        <v>29</v>
      </c>
      <c r="U108" s="1">
        <v>1</v>
      </c>
      <c r="V108" s="1">
        <v>2</v>
      </c>
    </row>
    <row r="109" spans="1:22" x14ac:dyDescent="0.25">
      <c r="A109" s="3">
        <v>44775</v>
      </c>
      <c r="B109" s="4">
        <v>0.46902777777777777</v>
      </c>
      <c r="C109" s="1">
        <v>1443</v>
      </c>
      <c r="D109" s="1">
        <v>13002581</v>
      </c>
      <c r="E109" s="1">
        <v>13</v>
      </c>
      <c r="F109" s="1">
        <v>22589</v>
      </c>
      <c r="G109" s="1" t="s">
        <v>21</v>
      </c>
      <c r="H109" s="1">
        <v>18</v>
      </c>
      <c r="I109" s="1">
        <v>344242</v>
      </c>
      <c r="J109" s="14" t="s">
        <v>262</v>
      </c>
      <c r="K109" s="1" t="s">
        <v>51</v>
      </c>
      <c r="L109" s="1" t="s">
        <v>222</v>
      </c>
      <c r="M109" s="14">
        <v>1</v>
      </c>
      <c r="N109" s="2">
        <v>44.59</v>
      </c>
      <c r="O109" s="16">
        <v>55</v>
      </c>
      <c r="P109" s="14">
        <v>2</v>
      </c>
      <c r="Q109" s="14">
        <f t="shared" si="1"/>
        <v>53</v>
      </c>
      <c r="R109" s="1">
        <v>9</v>
      </c>
      <c r="S109" s="1">
        <v>200010022530</v>
      </c>
      <c r="T109" s="1">
        <v>29</v>
      </c>
      <c r="U109" s="1">
        <v>1</v>
      </c>
      <c r="V109" s="1">
        <v>1</v>
      </c>
    </row>
    <row r="110" spans="1:22" x14ac:dyDescent="0.25">
      <c r="A110" s="3">
        <v>44777</v>
      </c>
      <c r="B110" s="4">
        <v>0.67782407407407408</v>
      </c>
      <c r="C110" s="1">
        <v>1745</v>
      </c>
      <c r="D110" s="1">
        <v>13002606</v>
      </c>
      <c r="E110" s="1">
        <v>13</v>
      </c>
      <c r="F110" s="1">
        <v>22589</v>
      </c>
      <c r="G110" s="1" t="s">
        <v>21</v>
      </c>
      <c r="H110" s="1">
        <v>18</v>
      </c>
      <c r="I110" s="1">
        <v>344242</v>
      </c>
      <c r="J110" s="14" t="s">
        <v>262</v>
      </c>
      <c r="K110" s="1" t="s">
        <v>51</v>
      </c>
      <c r="L110" s="1" t="s">
        <v>222</v>
      </c>
      <c r="M110" s="14">
        <v>1</v>
      </c>
      <c r="N110" s="2">
        <v>46.8</v>
      </c>
      <c r="O110" s="16">
        <v>58</v>
      </c>
      <c r="P110" s="14">
        <v>2</v>
      </c>
      <c r="Q110" s="14">
        <f t="shared" si="1"/>
        <v>56</v>
      </c>
      <c r="R110" s="1">
        <v>9</v>
      </c>
      <c r="S110" s="1">
        <v>200010026839</v>
      </c>
      <c r="T110" s="1">
        <v>50</v>
      </c>
      <c r="U110" s="1">
        <v>1</v>
      </c>
      <c r="V110" s="1">
        <v>1</v>
      </c>
    </row>
    <row r="111" spans="1:22" x14ac:dyDescent="0.25">
      <c r="A111" s="3">
        <v>44777</v>
      </c>
      <c r="B111" s="4">
        <v>0.67782407407407408</v>
      </c>
      <c r="C111" s="1">
        <v>1745</v>
      </c>
      <c r="D111" s="1">
        <v>13002606</v>
      </c>
      <c r="E111" s="1">
        <v>13</v>
      </c>
      <c r="F111" s="1">
        <v>22589</v>
      </c>
      <c r="G111" s="1" t="s">
        <v>21</v>
      </c>
      <c r="H111" s="1">
        <v>18</v>
      </c>
      <c r="I111" s="1">
        <v>344242</v>
      </c>
      <c r="J111" s="14" t="s">
        <v>262</v>
      </c>
      <c r="K111" s="1" t="s">
        <v>51</v>
      </c>
      <c r="L111" s="1" t="s">
        <v>222</v>
      </c>
      <c r="M111" s="14">
        <v>1</v>
      </c>
      <c r="N111" s="2">
        <v>44.59</v>
      </c>
      <c r="O111" s="16">
        <v>55</v>
      </c>
      <c r="P111" s="14">
        <v>2</v>
      </c>
      <c r="Q111" s="14">
        <f t="shared" si="1"/>
        <v>53</v>
      </c>
      <c r="R111" s="1">
        <v>9</v>
      </c>
      <c r="S111" s="1">
        <v>200010026839</v>
      </c>
      <c r="T111" s="1">
        <v>50</v>
      </c>
      <c r="U111" s="1">
        <v>1</v>
      </c>
      <c r="V111" s="1">
        <v>2</v>
      </c>
    </row>
    <row r="112" spans="1:22" x14ac:dyDescent="0.25">
      <c r="A112" s="3">
        <v>44774</v>
      </c>
      <c r="B112" s="4">
        <v>0.48499999999999999</v>
      </c>
      <c r="C112" s="1">
        <v>1311</v>
      </c>
      <c r="D112" s="1">
        <v>13002561</v>
      </c>
      <c r="E112" s="1">
        <v>13</v>
      </c>
      <c r="F112" s="1">
        <v>22589</v>
      </c>
      <c r="G112" s="1" t="s">
        <v>21</v>
      </c>
      <c r="H112" s="1">
        <v>18</v>
      </c>
      <c r="I112" s="1">
        <v>575493</v>
      </c>
      <c r="J112" s="14" t="s">
        <v>185</v>
      </c>
      <c r="K112" s="1" t="s">
        <v>34</v>
      </c>
      <c r="L112" s="1" t="s">
        <v>186</v>
      </c>
      <c r="M112" s="14">
        <v>1</v>
      </c>
      <c r="N112" s="2">
        <v>50.74</v>
      </c>
      <c r="O112" s="16">
        <v>83</v>
      </c>
      <c r="P112" s="14">
        <v>0</v>
      </c>
      <c r="Q112" s="14">
        <f t="shared" si="1"/>
        <v>83</v>
      </c>
      <c r="R112" s="1" t="s">
        <v>25</v>
      </c>
      <c r="S112" s="1" t="s">
        <v>25</v>
      </c>
      <c r="T112" s="1">
        <v>29</v>
      </c>
      <c r="U112" s="1">
        <v>1</v>
      </c>
      <c r="V112" s="1">
        <v>1</v>
      </c>
    </row>
    <row r="113" spans="1:22" x14ac:dyDescent="0.25">
      <c r="A113" s="3">
        <v>44776</v>
      </c>
      <c r="B113" s="4">
        <v>0.53063657407407405</v>
      </c>
      <c r="C113" s="1">
        <v>1586</v>
      </c>
      <c r="D113" s="1">
        <v>13002595</v>
      </c>
      <c r="E113" s="1">
        <v>13</v>
      </c>
      <c r="F113" s="1">
        <v>22589</v>
      </c>
      <c r="G113" s="1" t="s">
        <v>21</v>
      </c>
      <c r="H113" s="1">
        <v>15</v>
      </c>
      <c r="I113" s="1">
        <v>575493</v>
      </c>
      <c r="J113" s="14" t="s">
        <v>185</v>
      </c>
      <c r="K113" s="1" t="s">
        <v>34</v>
      </c>
      <c r="L113" s="1" t="s">
        <v>186</v>
      </c>
      <c r="M113" s="14">
        <v>1</v>
      </c>
      <c r="N113" s="2">
        <v>50.74</v>
      </c>
      <c r="O113" s="16">
        <v>83</v>
      </c>
      <c r="P113" s="14">
        <v>0</v>
      </c>
      <c r="Q113" s="14">
        <f t="shared" si="1"/>
        <v>83</v>
      </c>
      <c r="R113" s="1" t="s">
        <v>25</v>
      </c>
      <c r="S113" s="1" t="s">
        <v>25</v>
      </c>
      <c r="T113" s="1">
        <v>29</v>
      </c>
      <c r="U113" s="1">
        <v>1</v>
      </c>
      <c r="V113" s="1">
        <v>1</v>
      </c>
    </row>
    <row r="114" spans="1:22" x14ac:dyDescent="0.25">
      <c r="A114" s="3">
        <v>44778</v>
      </c>
      <c r="B114" s="4">
        <v>0.43861111111111112</v>
      </c>
      <c r="C114" s="1">
        <v>1814</v>
      </c>
      <c r="D114" s="1">
        <v>13002616</v>
      </c>
      <c r="E114" s="1">
        <v>13</v>
      </c>
      <c r="F114" s="1">
        <v>22589</v>
      </c>
      <c r="G114" s="1" t="s">
        <v>21</v>
      </c>
      <c r="H114" s="1">
        <v>15</v>
      </c>
      <c r="I114" s="1">
        <v>2308</v>
      </c>
      <c r="J114" s="14" t="s">
        <v>1108</v>
      </c>
      <c r="K114" s="1" t="s">
        <v>45</v>
      </c>
      <c r="L114" s="1" t="s">
        <v>1109</v>
      </c>
      <c r="M114" s="14">
        <v>1</v>
      </c>
      <c r="N114" s="2">
        <v>103.04</v>
      </c>
      <c r="O114" s="16">
        <v>122</v>
      </c>
      <c r="P114" s="14">
        <v>0</v>
      </c>
      <c r="Q114" s="14">
        <f t="shared" si="1"/>
        <v>122</v>
      </c>
      <c r="R114" s="1" t="s">
        <v>25</v>
      </c>
      <c r="S114" s="1" t="s">
        <v>25</v>
      </c>
      <c r="T114" s="1">
        <v>50</v>
      </c>
      <c r="U114" s="1">
        <v>1</v>
      </c>
      <c r="V114" s="1">
        <v>1</v>
      </c>
    </row>
    <row r="115" spans="1:22" x14ac:dyDescent="0.25">
      <c r="A115" s="3">
        <v>44775</v>
      </c>
      <c r="B115" s="4">
        <v>0.37314814814814817</v>
      </c>
      <c r="C115" s="1">
        <v>1420</v>
      </c>
      <c r="D115" s="1">
        <v>13002581</v>
      </c>
      <c r="E115" s="1">
        <v>13</v>
      </c>
      <c r="F115" s="1">
        <v>22589</v>
      </c>
      <c r="G115" s="1" t="s">
        <v>21</v>
      </c>
      <c r="H115" s="1">
        <v>15</v>
      </c>
      <c r="I115" s="1">
        <v>120093</v>
      </c>
      <c r="J115" s="14" t="s">
        <v>480</v>
      </c>
      <c r="K115" s="1" t="s">
        <v>51</v>
      </c>
      <c r="L115" s="1" t="s">
        <v>65</v>
      </c>
      <c r="M115" s="14">
        <v>1</v>
      </c>
      <c r="N115" s="2">
        <v>32.99</v>
      </c>
      <c r="O115" s="16">
        <v>41</v>
      </c>
      <c r="P115" s="14">
        <v>2</v>
      </c>
      <c r="Q115" s="14">
        <f t="shared" si="1"/>
        <v>39</v>
      </c>
      <c r="R115" s="1">
        <v>9</v>
      </c>
      <c r="S115" s="1">
        <v>200010011822</v>
      </c>
      <c r="T115" s="1">
        <v>29</v>
      </c>
      <c r="U115" s="1">
        <v>1</v>
      </c>
      <c r="V115" s="1">
        <v>2</v>
      </c>
    </row>
    <row r="116" spans="1:22" x14ac:dyDescent="0.25">
      <c r="A116" s="3">
        <v>44775</v>
      </c>
      <c r="B116" s="4">
        <v>0.46819444444444447</v>
      </c>
      <c r="C116" s="1">
        <v>1442</v>
      </c>
      <c r="D116" s="1">
        <v>13002581</v>
      </c>
      <c r="E116" s="1">
        <v>13</v>
      </c>
      <c r="F116" s="1">
        <v>22589</v>
      </c>
      <c r="G116" s="1" t="s">
        <v>21</v>
      </c>
      <c r="H116" s="1">
        <v>18</v>
      </c>
      <c r="I116" s="1">
        <v>120093</v>
      </c>
      <c r="J116" s="14" t="s">
        <v>480</v>
      </c>
      <c r="K116" s="1" t="s">
        <v>51</v>
      </c>
      <c r="L116" s="1" t="s">
        <v>65</v>
      </c>
      <c r="M116" s="14">
        <v>1</v>
      </c>
      <c r="N116" s="2">
        <v>32.99</v>
      </c>
      <c r="O116" s="16">
        <v>41</v>
      </c>
      <c r="P116" s="14">
        <v>2</v>
      </c>
      <c r="Q116" s="14">
        <f t="shared" si="1"/>
        <v>39</v>
      </c>
      <c r="R116" s="1">
        <v>9</v>
      </c>
      <c r="S116" s="1">
        <v>200010000466</v>
      </c>
      <c r="T116" s="1">
        <v>29</v>
      </c>
      <c r="U116" s="1">
        <v>1</v>
      </c>
      <c r="V116" s="1">
        <v>1</v>
      </c>
    </row>
    <row r="117" spans="1:22" x14ac:dyDescent="0.25">
      <c r="A117" s="3">
        <v>44774</v>
      </c>
      <c r="B117" s="4">
        <v>0.79335648148148152</v>
      </c>
      <c r="C117" s="1">
        <v>1406</v>
      </c>
      <c r="D117" s="1">
        <v>13002561</v>
      </c>
      <c r="E117" s="1">
        <v>13</v>
      </c>
      <c r="F117" s="1">
        <v>22589</v>
      </c>
      <c r="G117" s="1" t="s">
        <v>21</v>
      </c>
      <c r="H117" s="1">
        <v>15</v>
      </c>
      <c r="I117" s="1">
        <v>120091</v>
      </c>
      <c r="J117" s="14" t="s">
        <v>460</v>
      </c>
      <c r="K117" s="1" t="s">
        <v>51</v>
      </c>
      <c r="L117" s="1" t="s">
        <v>65</v>
      </c>
      <c r="M117" s="14">
        <v>1</v>
      </c>
      <c r="N117" s="2">
        <v>34.020000000000003</v>
      </c>
      <c r="O117" s="16">
        <v>42</v>
      </c>
      <c r="P117" s="14">
        <v>2</v>
      </c>
      <c r="Q117" s="14">
        <f t="shared" si="1"/>
        <v>40</v>
      </c>
      <c r="R117" s="1">
        <v>9</v>
      </c>
      <c r="S117" s="1">
        <v>200010022528</v>
      </c>
      <c r="T117" s="1">
        <v>29</v>
      </c>
      <c r="U117" s="1">
        <v>1</v>
      </c>
      <c r="V117" s="1">
        <v>2</v>
      </c>
    </row>
    <row r="118" spans="1:22" x14ac:dyDescent="0.25">
      <c r="A118" s="3">
        <v>44777</v>
      </c>
      <c r="B118" s="4">
        <v>0.3831134259259259</v>
      </c>
      <c r="C118" s="1">
        <v>1668</v>
      </c>
      <c r="D118" s="1">
        <v>13002606</v>
      </c>
      <c r="E118" s="1">
        <v>13</v>
      </c>
      <c r="F118" s="1">
        <v>22589</v>
      </c>
      <c r="G118" s="1" t="s">
        <v>21</v>
      </c>
      <c r="H118" s="1">
        <v>15</v>
      </c>
      <c r="I118" s="1">
        <v>120091</v>
      </c>
      <c r="J118" s="14" t="s">
        <v>460</v>
      </c>
      <c r="K118" s="1" t="s">
        <v>51</v>
      </c>
      <c r="L118" s="1" t="s">
        <v>65</v>
      </c>
      <c r="M118" s="14">
        <v>1</v>
      </c>
      <c r="N118" s="2">
        <v>32.840000000000003</v>
      </c>
      <c r="O118" s="16">
        <v>41</v>
      </c>
      <c r="P118" s="14">
        <v>2</v>
      </c>
      <c r="Q118" s="14">
        <f t="shared" si="1"/>
        <v>39</v>
      </c>
      <c r="R118" s="1">
        <v>9</v>
      </c>
      <c r="S118" s="1">
        <v>200010019013</v>
      </c>
      <c r="T118" s="1">
        <v>50</v>
      </c>
      <c r="U118" s="1">
        <v>1</v>
      </c>
      <c r="V118" s="1">
        <v>1</v>
      </c>
    </row>
    <row r="119" spans="1:22" x14ac:dyDescent="0.25">
      <c r="A119" s="3">
        <v>44776</v>
      </c>
      <c r="B119" s="4">
        <v>0.57207175925925924</v>
      </c>
      <c r="C119" s="1">
        <v>1603</v>
      </c>
      <c r="D119" s="1">
        <v>13002595</v>
      </c>
      <c r="E119" s="1">
        <v>13</v>
      </c>
      <c r="F119" s="1">
        <v>22589</v>
      </c>
      <c r="G119" s="1" t="s">
        <v>21</v>
      </c>
      <c r="H119" s="1">
        <v>18</v>
      </c>
      <c r="I119" s="1">
        <v>298572</v>
      </c>
      <c r="J119" s="14" t="s">
        <v>837</v>
      </c>
      <c r="K119" s="1" t="s">
        <v>51</v>
      </c>
      <c r="L119" s="1" t="s">
        <v>80</v>
      </c>
      <c r="M119" s="14">
        <v>1</v>
      </c>
      <c r="N119" s="2">
        <v>351.42</v>
      </c>
      <c r="O119" s="16">
        <v>517</v>
      </c>
      <c r="P119" s="14">
        <v>51</v>
      </c>
      <c r="Q119" s="14">
        <f t="shared" si="1"/>
        <v>466</v>
      </c>
      <c r="R119" s="1">
        <v>9</v>
      </c>
      <c r="S119" s="1">
        <v>200010001680</v>
      </c>
      <c r="T119" s="1">
        <v>29</v>
      </c>
      <c r="U119" s="1">
        <v>1</v>
      </c>
      <c r="V119" s="1">
        <v>1</v>
      </c>
    </row>
    <row r="120" spans="1:22" x14ac:dyDescent="0.25">
      <c r="A120" s="3">
        <v>44776</v>
      </c>
      <c r="B120" s="4">
        <v>0.57207175925925924</v>
      </c>
      <c r="C120" s="1">
        <v>1603</v>
      </c>
      <c r="D120" s="1">
        <v>13002595</v>
      </c>
      <c r="E120" s="1">
        <v>13</v>
      </c>
      <c r="F120" s="1">
        <v>22589</v>
      </c>
      <c r="G120" s="1" t="s">
        <v>21</v>
      </c>
      <c r="H120" s="1">
        <v>18</v>
      </c>
      <c r="I120" s="1">
        <v>298573</v>
      </c>
      <c r="J120" s="14" t="s">
        <v>838</v>
      </c>
      <c r="K120" s="1" t="s">
        <v>51</v>
      </c>
      <c r="L120" s="1" t="s">
        <v>80</v>
      </c>
      <c r="M120" s="14">
        <v>1</v>
      </c>
      <c r="N120" s="2">
        <v>319.07</v>
      </c>
      <c r="O120" s="16">
        <v>470</v>
      </c>
      <c r="P120" s="14">
        <v>47</v>
      </c>
      <c r="Q120" s="14">
        <f t="shared" si="1"/>
        <v>423</v>
      </c>
      <c r="R120" s="1">
        <v>9</v>
      </c>
      <c r="S120" s="1">
        <v>200010001680</v>
      </c>
      <c r="T120" s="1">
        <v>29</v>
      </c>
      <c r="U120" s="1">
        <v>1</v>
      </c>
      <c r="V120" s="1">
        <v>2</v>
      </c>
    </row>
    <row r="121" spans="1:22" x14ac:dyDescent="0.25">
      <c r="A121" s="3">
        <v>44776</v>
      </c>
      <c r="B121" s="4">
        <v>0.52214120370370365</v>
      </c>
      <c r="C121" s="1">
        <v>1583</v>
      </c>
      <c r="D121" s="1">
        <v>13002595</v>
      </c>
      <c r="E121" s="1">
        <v>13</v>
      </c>
      <c r="F121" s="1">
        <v>22589</v>
      </c>
      <c r="G121" s="1" t="s">
        <v>21</v>
      </c>
      <c r="H121" s="1">
        <v>18</v>
      </c>
      <c r="I121" s="1">
        <v>299026</v>
      </c>
      <c r="J121" s="14" t="s">
        <v>805</v>
      </c>
      <c r="K121" s="1" t="s">
        <v>51</v>
      </c>
      <c r="L121" s="1" t="s">
        <v>80</v>
      </c>
      <c r="M121" s="14">
        <v>1</v>
      </c>
      <c r="N121" s="2">
        <v>157.66</v>
      </c>
      <c r="O121" s="16">
        <v>245</v>
      </c>
      <c r="P121" s="14">
        <v>0</v>
      </c>
      <c r="Q121" s="14">
        <f t="shared" si="1"/>
        <v>245</v>
      </c>
      <c r="R121" s="1" t="s">
        <v>25</v>
      </c>
      <c r="S121" s="1" t="s">
        <v>25</v>
      </c>
      <c r="T121" s="1">
        <v>29</v>
      </c>
      <c r="U121" s="1">
        <v>1</v>
      </c>
      <c r="V121" s="1">
        <v>1</v>
      </c>
    </row>
    <row r="122" spans="1:22" x14ac:dyDescent="0.25">
      <c r="A122" s="3">
        <v>44778</v>
      </c>
      <c r="B122" s="4">
        <v>0.3997222222222222</v>
      </c>
      <c r="C122" s="1">
        <v>1801</v>
      </c>
      <c r="D122" s="1">
        <v>13002616</v>
      </c>
      <c r="E122" s="1">
        <v>13</v>
      </c>
      <c r="F122" s="1">
        <v>22589</v>
      </c>
      <c r="G122" s="1" t="s">
        <v>21</v>
      </c>
      <c r="H122" s="1">
        <v>18</v>
      </c>
      <c r="I122" s="1">
        <v>299026</v>
      </c>
      <c r="J122" s="14" t="s">
        <v>805</v>
      </c>
      <c r="K122" s="1" t="s">
        <v>34</v>
      </c>
      <c r="L122" s="1" t="s">
        <v>80</v>
      </c>
      <c r="M122" s="14">
        <v>1</v>
      </c>
      <c r="N122" s="2">
        <v>166.99</v>
      </c>
      <c r="O122" s="16">
        <v>259</v>
      </c>
      <c r="P122" s="14">
        <v>0</v>
      </c>
      <c r="Q122" s="14">
        <f t="shared" si="1"/>
        <v>259</v>
      </c>
      <c r="R122" s="1" t="s">
        <v>25</v>
      </c>
      <c r="S122" s="1" t="s">
        <v>25</v>
      </c>
      <c r="T122" s="1">
        <v>50</v>
      </c>
      <c r="U122" s="1">
        <v>1</v>
      </c>
      <c r="V122" s="1">
        <v>1</v>
      </c>
    </row>
    <row r="123" spans="1:22" x14ac:dyDescent="0.25">
      <c r="A123" s="3">
        <v>44776</v>
      </c>
      <c r="B123" s="4">
        <v>0.50604166666666661</v>
      </c>
      <c r="C123" s="1">
        <v>1575</v>
      </c>
      <c r="D123" s="1">
        <v>13002595</v>
      </c>
      <c r="E123" s="1">
        <v>13</v>
      </c>
      <c r="F123" s="1">
        <v>22589</v>
      </c>
      <c r="G123" s="1" t="s">
        <v>21</v>
      </c>
      <c r="H123" s="1">
        <v>18</v>
      </c>
      <c r="I123" s="1">
        <v>338488</v>
      </c>
      <c r="J123" s="14" t="s">
        <v>787</v>
      </c>
      <c r="K123" s="1" t="s">
        <v>466</v>
      </c>
      <c r="L123" s="1" t="s">
        <v>37</v>
      </c>
      <c r="M123" s="14">
        <v>1</v>
      </c>
      <c r="N123" s="2">
        <v>286.44</v>
      </c>
      <c r="O123" s="16">
        <v>300</v>
      </c>
      <c r="P123" s="14">
        <v>0</v>
      </c>
      <c r="Q123" s="14">
        <f t="shared" si="1"/>
        <v>300</v>
      </c>
      <c r="R123" s="1" t="s">
        <v>25</v>
      </c>
      <c r="S123" s="1" t="s">
        <v>25</v>
      </c>
      <c r="T123" s="1">
        <v>29</v>
      </c>
      <c r="U123" s="1">
        <v>2</v>
      </c>
      <c r="V123" s="1">
        <v>1</v>
      </c>
    </row>
    <row r="124" spans="1:22" x14ac:dyDescent="0.25">
      <c r="A124" s="3">
        <v>44775</v>
      </c>
      <c r="B124" s="4">
        <v>0.8175810185185185</v>
      </c>
      <c r="C124" s="1">
        <v>1533</v>
      </c>
      <c r="D124" s="1">
        <v>13002581</v>
      </c>
      <c r="E124" s="1">
        <v>13</v>
      </c>
      <c r="F124" s="1">
        <v>22589</v>
      </c>
      <c r="G124" s="1" t="s">
        <v>21</v>
      </c>
      <c r="H124" s="1">
        <v>18</v>
      </c>
      <c r="I124" s="1">
        <v>338484</v>
      </c>
      <c r="J124" s="14" t="s">
        <v>704</v>
      </c>
      <c r="K124" s="1" t="s">
        <v>23</v>
      </c>
      <c r="L124" s="1" t="s">
        <v>37</v>
      </c>
      <c r="M124" s="14">
        <v>1</v>
      </c>
      <c r="N124" s="2">
        <v>217.69</v>
      </c>
      <c r="O124" s="16">
        <v>270</v>
      </c>
      <c r="P124" s="14">
        <v>13</v>
      </c>
      <c r="Q124" s="14">
        <f t="shared" si="1"/>
        <v>257</v>
      </c>
      <c r="R124" s="1">
        <v>9</v>
      </c>
      <c r="S124" s="1">
        <v>200010009896</v>
      </c>
      <c r="T124" s="1">
        <v>29</v>
      </c>
      <c r="U124" s="1">
        <v>1</v>
      </c>
      <c r="V124" s="1">
        <v>1</v>
      </c>
    </row>
    <row r="125" spans="1:22" x14ac:dyDescent="0.25">
      <c r="A125" s="3">
        <v>44774</v>
      </c>
      <c r="B125" s="4">
        <v>0.37783564814814813</v>
      </c>
      <c r="C125" s="1">
        <v>1276</v>
      </c>
      <c r="D125" s="1">
        <v>13002561</v>
      </c>
      <c r="E125" s="1">
        <v>13</v>
      </c>
      <c r="F125" s="1">
        <v>22589</v>
      </c>
      <c r="G125" s="1" t="s">
        <v>21</v>
      </c>
      <c r="H125" s="1">
        <v>15</v>
      </c>
      <c r="I125" s="1">
        <v>338492</v>
      </c>
      <c r="J125" s="14" t="s">
        <v>40</v>
      </c>
      <c r="K125" s="1" t="s">
        <v>34</v>
      </c>
      <c r="L125" s="1" t="s">
        <v>37</v>
      </c>
      <c r="M125" s="14">
        <v>1</v>
      </c>
      <c r="N125" s="2">
        <v>334.29</v>
      </c>
      <c r="O125" s="16">
        <v>418</v>
      </c>
      <c r="P125" s="14">
        <v>20</v>
      </c>
      <c r="Q125" s="14">
        <f t="shared" si="1"/>
        <v>398</v>
      </c>
      <c r="R125" s="1">
        <v>9</v>
      </c>
      <c r="S125" s="1">
        <v>200010000734</v>
      </c>
      <c r="T125" s="1">
        <v>29</v>
      </c>
      <c r="U125" s="1">
        <v>1</v>
      </c>
      <c r="V125" s="1">
        <v>1</v>
      </c>
    </row>
    <row r="126" spans="1:22" x14ac:dyDescent="0.25">
      <c r="A126" s="3">
        <v>44775</v>
      </c>
      <c r="B126" s="4">
        <v>0.51202546296296292</v>
      </c>
      <c r="C126" s="1">
        <v>1459</v>
      </c>
      <c r="D126" s="1">
        <v>13002581</v>
      </c>
      <c r="E126" s="1">
        <v>13</v>
      </c>
      <c r="F126" s="1">
        <v>22589</v>
      </c>
      <c r="G126" s="1" t="s">
        <v>21</v>
      </c>
      <c r="H126" s="1">
        <v>15</v>
      </c>
      <c r="I126" s="1">
        <v>338492</v>
      </c>
      <c r="J126" s="14" t="s">
        <v>40</v>
      </c>
      <c r="K126" s="1" t="s">
        <v>23</v>
      </c>
      <c r="L126" s="1" t="s">
        <v>37</v>
      </c>
      <c r="M126" s="14">
        <v>1</v>
      </c>
      <c r="N126" s="2">
        <v>328.53</v>
      </c>
      <c r="O126" s="16">
        <v>413</v>
      </c>
      <c r="P126" s="14">
        <v>20</v>
      </c>
      <c r="Q126" s="14">
        <f t="shared" si="1"/>
        <v>393</v>
      </c>
      <c r="R126" s="1">
        <v>9</v>
      </c>
      <c r="S126" s="1">
        <v>200010002982</v>
      </c>
      <c r="T126" s="1">
        <v>29</v>
      </c>
      <c r="U126" s="1">
        <v>1</v>
      </c>
      <c r="V126" s="1">
        <v>1</v>
      </c>
    </row>
    <row r="127" spans="1:22" x14ac:dyDescent="0.25">
      <c r="A127" s="3">
        <v>44774</v>
      </c>
      <c r="B127" s="4">
        <v>0.37783564814814813</v>
      </c>
      <c r="C127" s="1">
        <v>1276</v>
      </c>
      <c r="D127" s="1">
        <v>13002561</v>
      </c>
      <c r="E127" s="1">
        <v>13</v>
      </c>
      <c r="F127" s="1">
        <v>22589</v>
      </c>
      <c r="G127" s="1" t="s">
        <v>21</v>
      </c>
      <c r="H127" s="1">
        <v>15</v>
      </c>
      <c r="I127" s="1">
        <v>338479</v>
      </c>
      <c r="J127" s="14" t="s">
        <v>41</v>
      </c>
      <c r="K127" s="1" t="s">
        <v>23</v>
      </c>
      <c r="L127" s="1" t="s">
        <v>37</v>
      </c>
      <c r="M127" s="14">
        <v>1</v>
      </c>
      <c r="N127" s="2">
        <v>282.52</v>
      </c>
      <c r="O127" s="16">
        <v>340</v>
      </c>
      <c r="P127" s="14">
        <v>17</v>
      </c>
      <c r="Q127" s="14">
        <f t="shared" si="1"/>
        <v>323</v>
      </c>
      <c r="R127" s="1">
        <v>9</v>
      </c>
      <c r="S127" s="1">
        <v>200010000734</v>
      </c>
      <c r="T127" s="1">
        <v>29</v>
      </c>
      <c r="U127" s="1">
        <v>1</v>
      </c>
      <c r="V127" s="1">
        <v>2</v>
      </c>
    </row>
    <row r="128" spans="1:22" x14ac:dyDescent="0.25">
      <c r="A128" s="3">
        <v>44775</v>
      </c>
      <c r="B128" s="4">
        <v>0.51302083333333337</v>
      </c>
      <c r="C128" s="1">
        <v>1460</v>
      </c>
      <c r="D128" s="1">
        <v>13002581</v>
      </c>
      <c r="E128" s="1">
        <v>13</v>
      </c>
      <c r="F128" s="1">
        <v>22589</v>
      </c>
      <c r="G128" s="1" t="s">
        <v>21</v>
      </c>
      <c r="H128" s="1">
        <v>15</v>
      </c>
      <c r="I128" s="1">
        <v>23788</v>
      </c>
      <c r="J128" s="14" t="s">
        <v>565</v>
      </c>
      <c r="K128" s="1" t="s">
        <v>34</v>
      </c>
      <c r="L128" s="1" t="s">
        <v>566</v>
      </c>
      <c r="M128" s="14">
        <v>1</v>
      </c>
      <c r="N128" s="2">
        <v>299.61</v>
      </c>
      <c r="O128" s="16">
        <v>368</v>
      </c>
      <c r="P128" s="14">
        <v>18</v>
      </c>
      <c r="Q128" s="14">
        <f t="shared" si="1"/>
        <v>350</v>
      </c>
      <c r="R128" s="1">
        <v>9</v>
      </c>
      <c r="S128" s="1">
        <v>200010020276</v>
      </c>
      <c r="T128" s="1">
        <v>29</v>
      </c>
      <c r="U128" s="1">
        <v>1</v>
      </c>
      <c r="V128" s="1">
        <v>1</v>
      </c>
    </row>
    <row r="129" spans="1:22" x14ac:dyDescent="0.25">
      <c r="A129" s="3">
        <v>44776</v>
      </c>
      <c r="B129" s="4">
        <v>0.36548611111111112</v>
      </c>
      <c r="C129" s="1">
        <v>1541</v>
      </c>
      <c r="D129" s="1">
        <v>13002595</v>
      </c>
      <c r="E129" s="1">
        <v>13</v>
      </c>
      <c r="F129" s="1">
        <v>22589</v>
      </c>
      <c r="G129" s="1" t="s">
        <v>21</v>
      </c>
      <c r="H129" s="1">
        <v>18</v>
      </c>
      <c r="I129" s="1">
        <v>137041</v>
      </c>
      <c r="J129" s="14" t="s">
        <v>711</v>
      </c>
      <c r="K129" s="1" t="s">
        <v>34</v>
      </c>
      <c r="L129" s="1" t="s">
        <v>566</v>
      </c>
      <c r="M129" s="14">
        <v>1</v>
      </c>
      <c r="N129" s="2">
        <v>929.01</v>
      </c>
      <c r="O129" s="16">
        <v>1036</v>
      </c>
      <c r="P129" s="14">
        <v>31</v>
      </c>
      <c r="Q129" s="14">
        <f t="shared" si="1"/>
        <v>1005</v>
      </c>
      <c r="R129" s="1">
        <v>9</v>
      </c>
      <c r="S129" s="1">
        <v>200010000486</v>
      </c>
      <c r="T129" s="1">
        <v>29</v>
      </c>
      <c r="U129" s="1">
        <v>1</v>
      </c>
      <c r="V129" s="1">
        <v>1</v>
      </c>
    </row>
    <row r="130" spans="1:22" x14ac:dyDescent="0.25">
      <c r="A130" s="3">
        <v>44774</v>
      </c>
      <c r="B130" s="4">
        <v>0.45111111111111113</v>
      </c>
      <c r="C130" s="1">
        <v>1298</v>
      </c>
      <c r="D130" s="1">
        <v>13002561</v>
      </c>
      <c r="E130" s="1">
        <v>13</v>
      </c>
      <c r="F130" s="1">
        <v>22589</v>
      </c>
      <c r="G130" s="1" t="s">
        <v>21</v>
      </c>
      <c r="H130" s="1">
        <v>18</v>
      </c>
      <c r="I130" s="1">
        <v>54354</v>
      </c>
      <c r="J130" s="14" t="s">
        <v>145</v>
      </c>
      <c r="K130" s="1" t="s">
        <v>34</v>
      </c>
      <c r="L130" s="1" t="s">
        <v>146</v>
      </c>
      <c r="M130" s="14">
        <v>1</v>
      </c>
      <c r="N130" s="2">
        <v>134.66</v>
      </c>
      <c r="O130" s="16">
        <v>160</v>
      </c>
      <c r="P130" s="14">
        <v>0</v>
      </c>
      <c r="Q130" s="14">
        <f t="shared" ref="Q130:Q193" si="2">M130*O130-P130</f>
        <v>160</v>
      </c>
      <c r="R130" s="1" t="s">
        <v>25</v>
      </c>
      <c r="S130" s="1" t="s">
        <v>25</v>
      </c>
      <c r="T130" s="1">
        <v>29</v>
      </c>
      <c r="U130" s="1">
        <v>1</v>
      </c>
      <c r="V130" s="1">
        <v>1</v>
      </c>
    </row>
    <row r="131" spans="1:22" x14ac:dyDescent="0.25">
      <c r="A131" s="3">
        <v>44774</v>
      </c>
      <c r="B131" s="4">
        <v>0.62842592592592594</v>
      </c>
      <c r="C131" s="1">
        <v>1364</v>
      </c>
      <c r="D131" s="1">
        <v>13002561</v>
      </c>
      <c r="E131" s="1">
        <v>13</v>
      </c>
      <c r="F131" s="1">
        <v>22589</v>
      </c>
      <c r="G131" s="1" t="s">
        <v>21</v>
      </c>
      <c r="H131" s="1">
        <v>18</v>
      </c>
      <c r="I131" s="1">
        <v>34306</v>
      </c>
      <c r="J131" s="14" t="s">
        <v>349</v>
      </c>
      <c r="K131" s="1" t="s">
        <v>51</v>
      </c>
      <c r="L131" s="1" t="s">
        <v>350</v>
      </c>
      <c r="M131" s="14">
        <v>1</v>
      </c>
      <c r="N131" s="2">
        <v>53.39</v>
      </c>
      <c r="O131" s="16">
        <v>84</v>
      </c>
      <c r="P131" s="14">
        <v>12.34</v>
      </c>
      <c r="Q131" s="14">
        <f t="shared" si="2"/>
        <v>71.66</v>
      </c>
      <c r="R131" s="1">
        <v>27</v>
      </c>
      <c r="S131" s="1">
        <v>200010000015</v>
      </c>
      <c r="T131" s="1">
        <v>29</v>
      </c>
      <c r="U131" s="1">
        <v>1</v>
      </c>
      <c r="V131" s="1">
        <v>1</v>
      </c>
    </row>
    <row r="132" spans="1:22" x14ac:dyDescent="0.25">
      <c r="A132" s="3">
        <v>44774</v>
      </c>
      <c r="B132" s="4">
        <v>0.62842592592592594</v>
      </c>
      <c r="C132" s="1">
        <v>1364</v>
      </c>
      <c r="D132" s="1">
        <v>13002561</v>
      </c>
      <c r="E132" s="1">
        <v>13</v>
      </c>
      <c r="F132" s="1">
        <v>22589</v>
      </c>
      <c r="G132" s="1" t="s">
        <v>21</v>
      </c>
      <c r="H132" s="1">
        <v>18</v>
      </c>
      <c r="I132" s="1">
        <v>34306</v>
      </c>
      <c r="J132" s="14" t="s">
        <v>349</v>
      </c>
      <c r="K132" s="1" t="s">
        <v>51</v>
      </c>
      <c r="L132" s="1" t="s">
        <v>350</v>
      </c>
      <c r="M132" s="14">
        <v>2</v>
      </c>
      <c r="N132" s="2">
        <v>53.39</v>
      </c>
      <c r="O132" s="16">
        <v>84</v>
      </c>
      <c r="P132" s="14">
        <v>24.66</v>
      </c>
      <c r="Q132" s="14">
        <f t="shared" si="2"/>
        <v>143.34</v>
      </c>
      <c r="R132" s="1">
        <v>27</v>
      </c>
      <c r="S132" s="1">
        <v>200010000015</v>
      </c>
      <c r="T132" s="1">
        <v>29</v>
      </c>
      <c r="U132" s="1">
        <v>1</v>
      </c>
      <c r="V132" s="1">
        <v>2</v>
      </c>
    </row>
    <row r="133" spans="1:22" x14ac:dyDescent="0.25">
      <c r="A133" s="3">
        <v>44774</v>
      </c>
      <c r="B133" s="4">
        <v>0.79040509259259262</v>
      </c>
      <c r="C133" s="1">
        <v>1405</v>
      </c>
      <c r="D133" s="1">
        <v>13002561</v>
      </c>
      <c r="E133" s="1">
        <v>13</v>
      </c>
      <c r="F133" s="1">
        <v>22589</v>
      </c>
      <c r="G133" s="1" t="s">
        <v>21</v>
      </c>
      <c r="H133" s="1">
        <v>18</v>
      </c>
      <c r="I133" s="1">
        <v>83110</v>
      </c>
      <c r="J133" s="14" t="s">
        <v>455</v>
      </c>
      <c r="K133" s="1" t="s">
        <v>51</v>
      </c>
      <c r="L133" s="1" t="s">
        <v>456</v>
      </c>
      <c r="M133" s="14">
        <v>2</v>
      </c>
      <c r="N133" s="2">
        <v>85.88</v>
      </c>
      <c r="O133" s="16">
        <v>135</v>
      </c>
      <c r="P133" s="14">
        <v>0</v>
      </c>
      <c r="Q133" s="14">
        <f t="shared" si="2"/>
        <v>270</v>
      </c>
      <c r="R133" s="1" t="s">
        <v>25</v>
      </c>
      <c r="S133" s="1" t="s">
        <v>25</v>
      </c>
      <c r="T133" s="1">
        <v>29</v>
      </c>
      <c r="U133" s="1">
        <v>1</v>
      </c>
      <c r="V133" s="1">
        <v>1</v>
      </c>
    </row>
    <row r="134" spans="1:22" x14ac:dyDescent="0.25">
      <c r="A134" s="3">
        <v>44776</v>
      </c>
      <c r="B134" s="4">
        <v>0.43873842592592593</v>
      </c>
      <c r="C134" s="1">
        <v>1554</v>
      </c>
      <c r="D134" s="1">
        <v>13002595</v>
      </c>
      <c r="E134" s="1">
        <v>13</v>
      </c>
      <c r="F134" s="1">
        <v>22589</v>
      </c>
      <c r="G134" s="1" t="s">
        <v>21</v>
      </c>
      <c r="H134" s="1">
        <v>15</v>
      </c>
      <c r="I134" s="1">
        <v>82027</v>
      </c>
      <c r="J134" s="14" t="s">
        <v>737</v>
      </c>
      <c r="K134" s="1" t="s">
        <v>51</v>
      </c>
      <c r="L134" s="1" t="s">
        <v>350</v>
      </c>
      <c r="M134" s="14">
        <v>1</v>
      </c>
      <c r="N134" s="2">
        <v>42.24</v>
      </c>
      <c r="O134" s="16">
        <v>69</v>
      </c>
      <c r="P134" s="14">
        <v>6</v>
      </c>
      <c r="Q134" s="14">
        <f t="shared" si="2"/>
        <v>63</v>
      </c>
      <c r="R134" s="1">
        <v>9</v>
      </c>
      <c r="S134" s="1">
        <v>200010001632</v>
      </c>
      <c r="T134" s="1">
        <v>29</v>
      </c>
      <c r="U134" s="1">
        <v>1</v>
      </c>
      <c r="V134" s="1">
        <v>1</v>
      </c>
    </row>
    <row r="135" spans="1:22" x14ac:dyDescent="0.25">
      <c r="A135" s="3">
        <v>44778</v>
      </c>
      <c r="B135" s="4">
        <v>0.52067129629629627</v>
      </c>
      <c r="C135" s="1">
        <v>1835</v>
      </c>
      <c r="D135" s="1">
        <v>13002616</v>
      </c>
      <c r="E135" s="1">
        <v>13</v>
      </c>
      <c r="F135" s="1">
        <v>22589</v>
      </c>
      <c r="G135" s="1" t="s">
        <v>21</v>
      </c>
      <c r="H135" s="1">
        <v>18</v>
      </c>
      <c r="I135" s="1">
        <v>83109</v>
      </c>
      <c r="J135" s="14" t="s">
        <v>1131</v>
      </c>
      <c r="K135" s="1" t="s">
        <v>51</v>
      </c>
      <c r="L135" s="1" t="s">
        <v>350</v>
      </c>
      <c r="M135" s="14">
        <v>1</v>
      </c>
      <c r="N135" s="2">
        <v>16.79</v>
      </c>
      <c r="O135" s="16">
        <v>28</v>
      </c>
      <c r="P135" s="14">
        <v>0</v>
      </c>
      <c r="Q135" s="14">
        <f t="shared" si="2"/>
        <v>28</v>
      </c>
      <c r="R135" s="1" t="s">
        <v>25</v>
      </c>
      <c r="S135" s="1" t="s">
        <v>25</v>
      </c>
      <c r="T135" s="1">
        <v>50</v>
      </c>
      <c r="U135" s="1">
        <v>1</v>
      </c>
      <c r="V135" s="1">
        <v>1</v>
      </c>
    </row>
    <row r="136" spans="1:22" x14ac:dyDescent="0.25">
      <c r="A136" s="3">
        <v>44774</v>
      </c>
      <c r="B136" s="4">
        <v>0.49380787037037038</v>
      </c>
      <c r="C136" s="1">
        <v>1314</v>
      </c>
      <c r="D136" s="1">
        <v>13002561</v>
      </c>
      <c r="E136" s="1">
        <v>13</v>
      </c>
      <c r="F136" s="1">
        <v>22589</v>
      </c>
      <c r="G136" s="1" t="s">
        <v>21</v>
      </c>
      <c r="H136" s="1">
        <v>15</v>
      </c>
      <c r="I136" s="1">
        <v>74656</v>
      </c>
      <c r="J136" s="14" t="s">
        <v>198</v>
      </c>
      <c r="K136" s="1" t="s">
        <v>51</v>
      </c>
      <c r="L136" s="1" t="s">
        <v>76</v>
      </c>
      <c r="M136" s="14">
        <v>1</v>
      </c>
      <c r="N136" s="2">
        <v>400.74</v>
      </c>
      <c r="O136" s="16">
        <v>481</v>
      </c>
      <c r="P136" s="14">
        <v>33</v>
      </c>
      <c r="Q136" s="14">
        <f t="shared" si="2"/>
        <v>448</v>
      </c>
      <c r="R136" s="1">
        <v>9</v>
      </c>
      <c r="S136" s="1">
        <v>200010001041</v>
      </c>
      <c r="T136" s="1">
        <v>29</v>
      </c>
      <c r="U136" s="1">
        <v>1</v>
      </c>
      <c r="V136" s="1">
        <v>1</v>
      </c>
    </row>
    <row r="137" spans="1:22" x14ac:dyDescent="0.25">
      <c r="A137" s="3">
        <v>44775</v>
      </c>
      <c r="B137" s="4">
        <v>0.74587962962962961</v>
      </c>
      <c r="C137" s="1">
        <v>1518</v>
      </c>
      <c r="D137" s="1">
        <v>13002581</v>
      </c>
      <c r="E137" s="1">
        <v>13</v>
      </c>
      <c r="F137" s="1">
        <v>22589</v>
      </c>
      <c r="G137" s="1" t="s">
        <v>21</v>
      </c>
      <c r="H137" s="1">
        <v>15</v>
      </c>
      <c r="I137" s="1">
        <v>74656</v>
      </c>
      <c r="J137" s="14" t="s">
        <v>198</v>
      </c>
      <c r="K137" s="1" t="s">
        <v>466</v>
      </c>
      <c r="L137" s="1" t="s">
        <v>76</v>
      </c>
      <c r="M137" s="14">
        <v>1</v>
      </c>
      <c r="N137" s="2">
        <v>402.27</v>
      </c>
      <c r="O137" s="16">
        <v>421.31</v>
      </c>
      <c r="P137" s="14">
        <v>0</v>
      </c>
      <c r="Q137" s="14">
        <f t="shared" si="2"/>
        <v>421.31</v>
      </c>
      <c r="R137" s="1" t="s">
        <v>25</v>
      </c>
      <c r="S137" s="1" t="s">
        <v>25</v>
      </c>
      <c r="T137" s="1">
        <v>29</v>
      </c>
      <c r="U137" s="1">
        <v>2</v>
      </c>
      <c r="V137" s="1">
        <v>1</v>
      </c>
    </row>
    <row r="138" spans="1:22" x14ac:dyDescent="0.25">
      <c r="A138" s="3">
        <v>44777</v>
      </c>
      <c r="B138" s="4">
        <v>0.37998842592592591</v>
      </c>
      <c r="C138" s="1">
        <v>1667</v>
      </c>
      <c r="D138" s="1">
        <v>13002606</v>
      </c>
      <c r="E138" s="1">
        <v>13</v>
      </c>
      <c r="F138" s="1">
        <v>22589</v>
      </c>
      <c r="G138" s="1" t="s">
        <v>21</v>
      </c>
      <c r="H138" s="1">
        <v>15</v>
      </c>
      <c r="I138" s="1">
        <v>74656</v>
      </c>
      <c r="J138" s="14" t="s">
        <v>198</v>
      </c>
      <c r="K138" s="1" t="s">
        <v>51</v>
      </c>
      <c r="L138" s="1" t="s">
        <v>76</v>
      </c>
      <c r="M138" s="14">
        <v>1</v>
      </c>
      <c r="N138" s="2">
        <v>400.74</v>
      </c>
      <c r="O138" s="16">
        <v>481</v>
      </c>
      <c r="P138" s="14">
        <v>33</v>
      </c>
      <c r="Q138" s="14">
        <f t="shared" si="2"/>
        <v>448</v>
      </c>
      <c r="R138" s="1">
        <v>9</v>
      </c>
      <c r="S138" s="1">
        <v>200010006097</v>
      </c>
      <c r="T138" s="1">
        <v>50</v>
      </c>
      <c r="U138" s="1">
        <v>1</v>
      </c>
      <c r="V138" s="1">
        <v>1</v>
      </c>
    </row>
    <row r="139" spans="1:22" x14ac:dyDescent="0.25">
      <c r="A139" s="3">
        <v>44777</v>
      </c>
      <c r="B139" s="4">
        <v>0.78432870370370367</v>
      </c>
      <c r="C139" s="1">
        <v>1770</v>
      </c>
      <c r="D139" s="1">
        <v>13002606</v>
      </c>
      <c r="E139" s="1">
        <v>13</v>
      </c>
      <c r="F139" s="1">
        <v>22589</v>
      </c>
      <c r="G139" s="1" t="s">
        <v>21</v>
      </c>
      <c r="H139" s="1">
        <v>15</v>
      </c>
      <c r="I139" s="1">
        <v>74656</v>
      </c>
      <c r="J139" s="14" t="s">
        <v>198</v>
      </c>
      <c r="K139" s="1" t="s">
        <v>51</v>
      </c>
      <c r="L139" s="1" t="s">
        <v>76</v>
      </c>
      <c r="M139" s="14">
        <v>1</v>
      </c>
      <c r="N139" s="2">
        <v>400.74</v>
      </c>
      <c r="O139" s="16">
        <v>481</v>
      </c>
      <c r="P139" s="14">
        <v>33</v>
      </c>
      <c r="Q139" s="14">
        <f t="shared" si="2"/>
        <v>448</v>
      </c>
      <c r="R139" s="1">
        <v>9</v>
      </c>
      <c r="S139" s="1">
        <v>200010016190</v>
      </c>
      <c r="T139" s="1">
        <v>50</v>
      </c>
      <c r="U139" s="1">
        <v>1</v>
      </c>
      <c r="V139" s="1">
        <v>1</v>
      </c>
    </row>
    <row r="140" spans="1:22" x14ac:dyDescent="0.25">
      <c r="A140" s="3">
        <v>44778</v>
      </c>
      <c r="B140" s="4">
        <v>0.38393518518518521</v>
      </c>
      <c r="C140" s="1">
        <v>1792</v>
      </c>
      <c r="D140" s="1">
        <v>13002616</v>
      </c>
      <c r="E140" s="1">
        <v>13</v>
      </c>
      <c r="F140" s="1">
        <v>22589</v>
      </c>
      <c r="G140" s="1" t="s">
        <v>21</v>
      </c>
      <c r="H140" s="1">
        <v>15</v>
      </c>
      <c r="I140" s="1">
        <v>74656</v>
      </c>
      <c r="J140" s="14" t="s">
        <v>198</v>
      </c>
      <c r="K140" s="1" t="s">
        <v>61</v>
      </c>
      <c r="L140" s="1" t="s">
        <v>76</v>
      </c>
      <c r="M140" s="14">
        <v>1</v>
      </c>
      <c r="N140" s="2">
        <v>392.48</v>
      </c>
      <c r="O140" s="16">
        <v>471</v>
      </c>
      <c r="P140" s="14">
        <v>32</v>
      </c>
      <c r="Q140" s="14">
        <f t="shared" si="2"/>
        <v>439</v>
      </c>
      <c r="R140" s="1">
        <v>9</v>
      </c>
      <c r="S140" s="1">
        <v>200010001617</v>
      </c>
      <c r="T140" s="1">
        <v>50</v>
      </c>
      <c r="U140" s="1">
        <v>1</v>
      </c>
      <c r="V140" s="1">
        <v>1</v>
      </c>
    </row>
    <row r="141" spans="1:22" x14ac:dyDescent="0.25">
      <c r="A141" s="3">
        <v>44777</v>
      </c>
      <c r="B141" s="4">
        <v>0.69369212962962967</v>
      </c>
      <c r="C141" s="1">
        <v>1751</v>
      </c>
      <c r="D141" s="1">
        <v>13002606</v>
      </c>
      <c r="E141" s="1">
        <v>13</v>
      </c>
      <c r="F141" s="1">
        <v>22589</v>
      </c>
      <c r="G141" s="1" t="s">
        <v>21</v>
      </c>
      <c r="H141" s="1">
        <v>15</v>
      </c>
      <c r="I141" s="1">
        <v>36734</v>
      </c>
      <c r="J141" s="14" t="s">
        <v>1048</v>
      </c>
      <c r="K141" s="1" t="s">
        <v>51</v>
      </c>
      <c r="L141" s="1" t="s">
        <v>415</v>
      </c>
      <c r="M141" s="14">
        <v>1</v>
      </c>
      <c r="N141" s="2">
        <v>18.39</v>
      </c>
      <c r="O141" s="16">
        <v>23</v>
      </c>
      <c r="P141" s="14">
        <v>1</v>
      </c>
      <c r="Q141" s="14">
        <f t="shared" si="2"/>
        <v>22</v>
      </c>
      <c r="R141" s="1">
        <v>9</v>
      </c>
      <c r="S141" s="1">
        <v>200010017973</v>
      </c>
      <c r="T141" s="1">
        <v>50</v>
      </c>
      <c r="U141" s="1">
        <v>1</v>
      </c>
      <c r="V141" s="1">
        <v>1</v>
      </c>
    </row>
    <row r="142" spans="1:22" x14ac:dyDescent="0.25">
      <c r="A142" s="3">
        <v>44774</v>
      </c>
      <c r="B142" s="4">
        <v>0.69748842592592597</v>
      </c>
      <c r="C142" s="1">
        <v>1379</v>
      </c>
      <c r="D142" s="1">
        <v>13002561</v>
      </c>
      <c r="E142" s="1">
        <v>13</v>
      </c>
      <c r="F142" s="1">
        <v>22589</v>
      </c>
      <c r="G142" s="1" t="s">
        <v>21</v>
      </c>
      <c r="H142" s="1">
        <v>18</v>
      </c>
      <c r="I142" s="1">
        <v>345542</v>
      </c>
      <c r="J142" s="14" t="s">
        <v>384</v>
      </c>
      <c r="K142" s="1" t="s">
        <v>51</v>
      </c>
      <c r="L142" s="1" t="s">
        <v>76</v>
      </c>
      <c r="M142" s="14">
        <v>1</v>
      </c>
      <c r="N142" s="2">
        <v>15.18</v>
      </c>
      <c r="O142" s="16">
        <v>19</v>
      </c>
      <c r="P142" s="14">
        <v>0</v>
      </c>
      <c r="Q142" s="14">
        <f t="shared" si="2"/>
        <v>19</v>
      </c>
      <c r="R142" s="1" t="s">
        <v>25</v>
      </c>
      <c r="S142" s="1" t="s">
        <v>25</v>
      </c>
      <c r="T142" s="1">
        <v>29</v>
      </c>
      <c r="U142" s="1">
        <v>1</v>
      </c>
      <c r="V142" s="1">
        <v>3</v>
      </c>
    </row>
    <row r="143" spans="1:22" x14ac:dyDescent="0.25">
      <c r="A143" s="3">
        <v>44775</v>
      </c>
      <c r="B143" s="4">
        <v>0.49568287037037034</v>
      </c>
      <c r="C143" s="1">
        <v>1452</v>
      </c>
      <c r="D143" s="1">
        <v>13002581</v>
      </c>
      <c r="E143" s="1">
        <v>13</v>
      </c>
      <c r="F143" s="1">
        <v>22589</v>
      </c>
      <c r="G143" s="1" t="s">
        <v>21</v>
      </c>
      <c r="H143" s="1">
        <v>15</v>
      </c>
      <c r="I143" s="1">
        <v>345542</v>
      </c>
      <c r="J143" s="14" t="s">
        <v>384</v>
      </c>
      <c r="K143" s="1" t="s">
        <v>51</v>
      </c>
      <c r="L143" s="1" t="s">
        <v>76</v>
      </c>
      <c r="M143" s="14">
        <v>1</v>
      </c>
      <c r="N143" s="2">
        <v>15.18</v>
      </c>
      <c r="O143" s="16">
        <v>19</v>
      </c>
      <c r="P143" s="14">
        <v>0</v>
      </c>
      <c r="Q143" s="14">
        <f t="shared" si="2"/>
        <v>19</v>
      </c>
      <c r="R143" s="1" t="s">
        <v>25</v>
      </c>
      <c r="S143" s="1" t="s">
        <v>25</v>
      </c>
      <c r="T143" s="1">
        <v>29</v>
      </c>
      <c r="U143" s="1">
        <v>1</v>
      </c>
      <c r="V143" s="1">
        <v>1</v>
      </c>
    </row>
    <row r="144" spans="1:22" x14ac:dyDescent="0.25">
      <c r="A144" s="3">
        <v>44776</v>
      </c>
      <c r="B144" s="4">
        <v>0.5942708333333333</v>
      </c>
      <c r="C144" s="1">
        <v>1608</v>
      </c>
      <c r="D144" s="1">
        <v>13002595</v>
      </c>
      <c r="E144" s="1">
        <v>13</v>
      </c>
      <c r="F144" s="1">
        <v>22589</v>
      </c>
      <c r="G144" s="1" t="s">
        <v>21</v>
      </c>
      <c r="H144" s="1">
        <v>18</v>
      </c>
      <c r="I144" s="1">
        <v>345542</v>
      </c>
      <c r="J144" s="14" t="s">
        <v>384</v>
      </c>
      <c r="K144" s="1" t="s">
        <v>51</v>
      </c>
      <c r="L144" s="1" t="s">
        <v>76</v>
      </c>
      <c r="M144" s="14">
        <v>1</v>
      </c>
      <c r="N144" s="2">
        <v>15.18</v>
      </c>
      <c r="O144" s="16">
        <v>19</v>
      </c>
      <c r="P144" s="14">
        <v>0</v>
      </c>
      <c r="Q144" s="14">
        <f t="shared" si="2"/>
        <v>19</v>
      </c>
      <c r="R144" s="1" t="s">
        <v>25</v>
      </c>
      <c r="S144" s="1" t="s">
        <v>25</v>
      </c>
      <c r="T144" s="1">
        <v>29</v>
      </c>
      <c r="U144" s="1">
        <v>1</v>
      </c>
      <c r="V144" s="1">
        <v>1</v>
      </c>
    </row>
    <row r="145" spans="1:22" x14ac:dyDescent="0.25">
      <c r="A145" s="3">
        <v>44778</v>
      </c>
      <c r="B145" s="4">
        <v>0.55925925925925923</v>
      </c>
      <c r="C145" s="1">
        <v>1845</v>
      </c>
      <c r="D145" s="1">
        <v>13002616</v>
      </c>
      <c r="E145" s="1">
        <v>13</v>
      </c>
      <c r="F145" s="1">
        <v>22589</v>
      </c>
      <c r="G145" s="1" t="s">
        <v>21</v>
      </c>
      <c r="H145" s="1">
        <v>18</v>
      </c>
      <c r="I145" s="1">
        <v>345542</v>
      </c>
      <c r="J145" s="14" t="s">
        <v>384</v>
      </c>
      <c r="K145" s="1" t="s">
        <v>51</v>
      </c>
      <c r="L145" s="1" t="s">
        <v>76</v>
      </c>
      <c r="M145" s="14">
        <v>1</v>
      </c>
      <c r="N145" s="2">
        <v>15.18</v>
      </c>
      <c r="O145" s="16">
        <v>19</v>
      </c>
      <c r="P145" s="14">
        <v>0</v>
      </c>
      <c r="Q145" s="14">
        <f t="shared" si="2"/>
        <v>19</v>
      </c>
      <c r="R145" s="1" t="s">
        <v>25</v>
      </c>
      <c r="S145" s="1" t="s">
        <v>25</v>
      </c>
      <c r="T145" s="1">
        <v>50</v>
      </c>
      <c r="U145" s="1">
        <v>1</v>
      </c>
      <c r="V145" s="1">
        <v>1</v>
      </c>
    </row>
    <row r="146" spans="1:22" x14ac:dyDescent="0.25">
      <c r="A146" s="3">
        <v>44775</v>
      </c>
      <c r="B146" s="4">
        <v>0.72061342592592592</v>
      </c>
      <c r="C146" s="1">
        <v>1506</v>
      </c>
      <c r="D146" s="1">
        <v>13002581</v>
      </c>
      <c r="E146" s="1">
        <v>13</v>
      </c>
      <c r="F146" s="1">
        <v>22589</v>
      </c>
      <c r="G146" s="1" t="s">
        <v>21</v>
      </c>
      <c r="H146" s="1">
        <v>18</v>
      </c>
      <c r="I146" s="1">
        <v>2671</v>
      </c>
      <c r="J146" s="14" t="s">
        <v>659</v>
      </c>
      <c r="K146" s="1" t="s">
        <v>51</v>
      </c>
      <c r="L146" s="1" t="s">
        <v>255</v>
      </c>
      <c r="M146" s="14">
        <v>1</v>
      </c>
      <c r="N146" s="2">
        <v>49.57</v>
      </c>
      <c r="O146" s="16">
        <v>62</v>
      </c>
      <c r="P146" s="14">
        <v>0</v>
      </c>
      <c r="Q146" s="14">
        <f t="shared" si="2"/>
        <v>62</v>
      </c>
      <c r="R146" s="1" t="s">
        <v>25</v>
      </c>
      <c r="S146" s="1" t="s">
        <v>25</v>
      </c>
      <c r="T146" s="1">
        <v>29</v>
      </c>
      <c r="U146" s="1">
        <v>1</v>
      </c>
      <c r="V146" s="1">
        <v>2</v>
      </c>
    </row>
    <row r="147" spans="1:22" x14ac:dyDescent="0.25">
      <c r="A147" s="3">
        <v>44775</v>
      </c>
      <c r="B147" s="4">
        <v>0.7271643518518518</v>
      </c>
      <c r="C147" s="1">
        <v>1510</v>
      </c>
      <c r="D147" s="1">
        <v>13002581</v>
      </c>
      <c r="E147" s="1">
        <v>13</v>
      </c>
      <c r="F147" s="1">
        <v>22589</v>
      </c>
      <c r="G147" s="1" t="s">
        <v>21</v>
      </c>
      <c r="H147" s="1">
        <v>18</v>
      </c>
      <c r="I147" s="1">
        <v>2671</v>
      </c>
      <c r="J147" s="14" t="s">
        <v>659</v>
      </c>
      <c r="K147" s="1" t="s">
        <v>51</v>
      </c>
      <c r="L147" s="1" t="s">
        <v>255</v>
      </c>
      <c r="M147" s="14">
        <v>1</v>
      </c>
      <c r="N147" s="2">
        <v>49.57</v>
      </c>
      <c r="O147" s="16">
        <v>62</v>
      </c>
      <c r="P147" s="14">
        <v>0</v>
      </c>
      <c r="Q147" s="14">
        <f t="shared" si="2"/>
        <v>62</v>
      </c>
      <c r="R147" s="1" t="s">
        <v>25</v>
      </c>
      <c r="S147" s="1" t="s">
        <v>25</v>
      </c>
      <c r="T147" s="1">
        <v>29</v>
      </c>
      <c r="U147" s="1">
        <v>1</v>
      </c>
      <c r="V147" s="1">
        <v>1</v>
      </c>
    </row>
    <row r="148" spans="1:22" x14ac:dyDescent="0.25">
      <c r="A148" s="3">
        <v>44777</v>
      </c>
      <c r="B148" s="4">
        <v>0.53599537037037037</v>
      </c>
      <c r="C148" s="1">
        <v>1708</v>
      </c>
      <c r="D148" s="1">
        <v>13002606</v>
      </c>
      <c r="E148" s="1">
        <v>13</v>
      </c>
      <c r="F148" s="1">
        <v>22589</v>
      </c>
      <c r="G148" s="1" t="s">
        <v>21</v>
      </c>
      <c r="H148" s="1">
        <v>18</v>
      </c>
      <c r="I148" s="1">
        <v>100563</v>
      </c>
      <c r="J148" s="14" t="s">
        <v>993</v>
      </c>
      <c r="K148" s="1" t="s">
        <v>34</v>
      </c>
      <c r="L148" s="1" t="s">
        <v>723</v>
      </c>
      <c r="M148" s="14">
        <v>1</v>
      </c>
      <c r="N148" s="2">
        <v>337.01</v>
      </c>
      <c r="O148" s="16">
        <v>399</v>
      </c>
      <c r="P148" s="14">
        <v>19</v>
      </c>
      <c r="Q148" s="14">
        <f t="shared" si="2"/>
        <v>380</v>
      </c>
      <c r="R148" s="1">
        <v>9</v>
      </c>
      <c r="S148" s="1">
        <v>200010020285</v>
      </c>
      <c r="T148" s="1">
        <v>50</v>
      </c>
      <c r="U148" s="1">
        <v>1</v>
      </c>
      <c r="V148" s="1">
        <v>1</v>
      </c>
    </row>
    <row r="149" spans="1:22" x14ac:dyDescent="0.25">
      <c r="A149" s="3">
        <v>44777</v>
      </c>
      <c r="B149" s="4">
        <v>0.53599537037037037</v>
      </c>
      <c r="C149" s="1">
        <v>1708</v>
      </c>
      <c r="D149" s="1">
        <v>13002606</v>
      </c>
      <c r="E149" s="1">
        <v>13</v>
      </c>
      <c r="F149" s="1">
        <v>22589</v>
      </c>
      <c r="G149" s="1" t="s">
        <v>21</v>
      </c>
      <c r="H149" s="1">
        <v>18</v>
      </c>
      <c r="I149" s="1">
        <v>100563</v>
      </c>
      <c r="J149" s="14" t="s">
        <v>993</v>
      </c>
      <c r="K149" s="1" t="s">
        <v>34</v>
      </c>
      <c r="L149" s="1" t="s">
        <v>723</v>
      </c>
      <c r="M149" s="14">
        <v>1</v>
      </c>
      <c r="N149" s="2">
        <v>337.01</v>
      </c>
      <c r="O149" s="16">
        <v>399</v>
      </c>
      <c r="P149" s="14">
        <v>19</v>
      </c>
      <c r="Q149" s="14">
        <f t="shared" si="2"/>
        <v>380</v>
      </c>
      <c r="R149" s="1">
        <v>9</v>
      </c>
      <c r="S149" s="1">
        <v>200010020285</v>
      </c>
      <c r="T149" s="1">
        <v>50</v>
      </c>
      <c r="U149" s="1">
        <v>1</v>
      </c>
      <c r="V149" s="1">
        <v>2</v>
      </c>
    </row>
    <row r="150" spans="1:22" x14ac:dyDescent="0.25">
      <c r="A150" s="3">
        <v>44776</v>
      </c>
      <c r="B150" s="4">
        <v>0.39349537037037036</v>
      </c>
      <c r="C150" s="1">
        <v>1545</v>
      </c>
      <c r="D150" s="1">
        <v>13002595</v>
      </c>
      <c r="E150" s="1">
        <v>13</v>
      </c>
      <c r="F150" s="1">
        <v>22589</v>
      </c>
      <c r="G150" s="1" t="s">
        <v>21</v>
      </c>
      <c r="H150" s="1">
        <v>18</v>
      </c>
      <c r="I150" s="1">
        <v>100378</v>
      </c>
      <c r="J150" s="14" t="s">
        <v>722</v>
      </c>
      <c r="K150" s="1" t="s">
        <v>34</v>
      </c>
      <c r="L150" s="1" t="s">
        <v>723</v>
      </c>
      <c r="M150" s="14">
        <v>1</v>
      </c>
      <c r="N150" s="2">
        <v>60.39</v>
      </c>
      <c r="O150" s="16">
        <v>74</v>
      </c>
      <c r="P150" s="14">
        <v>3</v>
      </c>
      <c r="Q150" s="14">
        <f t="shared" si="2"/>
        <v>71</v>
      </c>
      <c r="R150" s="1">
        <v>9</v>
      </c>
      <c r="S150" s="1">
        <v>200010020285</v>
      </c>
      <c r="T150" s="1">
        <v>29</v>
      </c>
      <c r="U150" s="1">
        <v>1</v>
      </c>
      <c r="V150" s="1">
        <v>1</v>
      </c>
    </row>
    <row r="151" spans="1:22" x14ac:dyDescent="0.25">
      <c r="A151" s="3">
        <v>44776</v>
      </c>
      <c r="B151" s="4">
        <v>0.78979166666666667</v>
      </c>
      <c r="C151" s="1">
        <v>1651</v>
      </c>
      <c r="D151" s="1">
        <v>13002595</v>
      </c>
      <c r="E151" s="1">
        <v>13</v>
      </c>
      <c r="F151" s="1">
        <v>22589</v>
      </c>
      <c r="G151" s="1" t="s">
        <v>21</v>
      </c>
      <c r="H151" s="1">
        <v>15</v>
      </c>
      <c r="I151" s="1">
        <v>100378</v>
      </c>
      <c r="J151" s="14" t="s">
        <v>722</v>
      </c>
      <c r="K151" s="1" t="s">
        <v>34</v>
      </c>
      <c r="L151" s="1" t="s">
        <v>723</v>
      </c>
      <c r="M151" s="14">
        <v>1</v>
      </c>
      <c r="N151" s="2">
        <v>60.39</v>
      </c>
      <c r="O151" s="16">
        <v>74</v>
      </c>
      <c r="P151" s="14">
        <v>3</v>
      </c>
      <c r="Q151" s="14">
        <f t="shared" si="2"/>
        <v>71</v>
      </c>
      <c r="R151" s="1">
        <v>9</v>
      </c>
      <c r="S151" s="1">
        <v>200010006181</v>
      </c>
      <c r="T151" s="1">
        <v>29</v>
      </c>
      <c r="U151" s="1">
        <v>1</v>
      </c>
      <c r="V151" s="1">
        <v>1</v>
      </c>
    </row>
    <row r="152" spans="1:22" x14ac:dyDescent="0.25">
      <c r="A152" s="3">
        <v>44777</v>
      </c>
      <c r="B152" s="4">
        <v>0.49729166666666669</v>
      </c>
      <c r="C152" s="1">
        <v>1691</v>
      </c>
      <c r="D152" s="1">
        <v>13002606</v>
      </c>
      <c r="E152" s="1">
        <v>13</v>
      </c>
      <c r="F152" s="1">
        <v>22589</v>
      </c>
      <c r="G152" s="1" t="s">
        <v>21</v>
      </c>
      <c r="H152" s="1">
        <v>15</v>
      </c>
      <c r="I152" s="1">
        <v>100378</v>
      </c>
      <c r="J152" s="14" t="s">
        <v>722</v>
      </c>
      <c r="K152" s="1" t="s">
        <v>34</v>
      </c>
      <c r="L152" s="1" t="s">
        <v>723</v>
      </c>
      <c r="M152" s="14">
        <v>1</v>
      </c>
      <c r="N152" s="2">
        <v>60.39</v>
      </c>
      <c r="O152" s="16">
        <v>74</v>
      </c>
      <c r="P152" s="14">
        <v>3</v>
      </c>
      <c r="Q152" s="14">
        <f t="shared" si="2"/>
        <v>71</v>
      </c>
      <c r="R152" s="1">
        <v>9</v>
      </c>
      <c r="S152" s="1">
        <v>200010000071</v>
      </c>
      <c r="T152" s="1">
        <v>50</v>
      </c>
      <c r="U152" s="1">
        <v>1</v>
      </c>
      <c r="V152" s="1">
        <v>1</v>
      </c>
    </row>
    <row r="153" spans="1:22" x14ac:dyDescent="0.25">
      <c r="A153" s="3">
        <v>44777</v>
      </c>
      <c r="B153" s="4">
        <v>0.49729166666666669</v>
      </c>
      <c r="C153" s="1">
        <v>1691</v>
      </c>
      <c r="D153" s="1">
        <v>13002606</v>
      </c>
      <c r="E153" s="1">
        <v>13</v>
      </c>
      <c r="F153" s="1">
        <v>22589</v>
      </c>
      <c r="G153" s="1" t="s">
        <v>21</v>
      </c>
      <c r="H153" s="1">
        <v>15</v>
      </c>
      <c r="I153" s="1">
        <v>100378</v>
      </c>
      <c r="J153" s="14" t="s">
        <v>722</v>
      </c>
      <c r="K153" s="1" t="s">
        <v>23</v>
      </c>
      <c r="L153" s="1" t="s">
        <v>723</v>
      </c>
      <c r="M153" s="14">
        <v>1</v>
      </c>
      <c r="N153" s="2">
        <v>61.38</v>
      </c>
      <c r="O153" s="16">
        <v>75</v>
      </c>
      <c r="P153" s="14">
        <v>3</v>
      </c>
      <c r="Q153" s="14">
        <f t="shared" si="2"/>
        <v>72</v>
      </c>
      <c r="R153" s="1">
        <v>9</v>
      </c>
      <c r="S153" s="1">
        <v>200010000071</v>
      </c>
      <c r="T153" s="1">
        <v>50</v>
      </c>
      <c r="U153" s="1">
        <v>1</v>
      </c>
      <c r="V153" s="1">
        <v>2</v>
      </c>
    </row>
    <row r="154" spans="1:22" x14ac:dyDescent="0.25">
      <c r="A154" s="3">
        <v>44778</v>
      </c>
      <c r="B154" s="4">
        <v>0.58281249999999996</v>
      </c>
      <c r="C154" s="1">
        <v>1849</v>
      </c>
      <c r="D154" s="1">
        <v>13002616</v>
      </c>
      <c r="E154" s="1">
        <v>13</v>
      </c>
      <c r="F154" s="1">
        <v>22589</v>
      </c>
      <c r="G154" s="1" t="s">
        <v>21</v>
      </c>
      <c r="H154" s="1">
        <v>18</v>
      </c>
      <c r="I154" s="1">
        <v>100378</v>
      </c>
      <c r="J154" s="14" t="s">
        <v>722</v>
      </c>
      <c r="K154" s="1" t="s">
        <v>23</v>
      </c>
      <c r="L154" s="1" t="s">
        <v>723</v>
      </c>
      <c r="M154" s="14">
        <v>1</v>
      </c>
      <c r="N154" s="2">
        <v>61.38</v>
      </c>
      <c r="O154" s="16">
        <v>75</v>
      </c>
      <c r="P154" s="14">
        <v>3</v>
      </c>
      <c r="Q154" s="14">
        <f t="shared" si="2"/>
        <v>72</v>
      </c>
      <c r="R154" s="1">
        <v>9</v>
      </c>
      <c r="S154" s="1">
        <v>200010019633</v>
      </c>
      <c r="T154" s="1">
        <v>50</v>
      </c>
      <c r="U154" s="1">
        <v>1</v>
      </c>
      <c r="V154" s="1">
        <v>1</v>
      </c>
    </row>
    <row r="155" spans="1:22" x14ac:dyDescent="0.25">
      <c r="A155" s="3">
        <v>44777</v>
      </c>
      <c r="B155" s="4">
        <v>0.48498842592592595</v>
      </c>
      <c r="C155" s="1">
        <v>1684</v>
      </c>
      <c r="D155" s="1">
        <v>13002606</v>
      </c>
      <c r="E155" s="1">
        <v>13</v>
      </c>
      <c r="F155" s="1">
        <v>22589</v>
      </c>
      <c r="G155" s="1" t="s">
        <v>21</v>
      </c>
      <c r="H155" s="1">
        <v>18</v>
      </c>
      <c r="I155" s="1">
        <v>2625</v>
      </c>
      <c r="J155" s="14" t="s">
        <v>962</v>
      </c>
      <c r="K155" s="1" t="s">
        <v>51</v>
      </c>
      <c r="L155" s="1" t="s">
        <v>963</v>
      </c>
      <c r="M155" s="14">
        <v>1</v>
      </c>
      <c r="N155" s="2">
        <v>119.25</v>
      </c>
      <c r="O155" s="16">
        <v>135</v>
      </c>
      <c r="P155" s="14">
        <v>0</v>
      </c>
      <c r="Q155" s="14">
        <f t="shared" si="2"/>
        <v>135</v>
      </c>
      <c r="R155" s="1" t="s">
        <v>25</v>
      </c>
      <c r="S155" s="1" t="s">
        <v>25</v>
      </c>
      <c r="T155" s="1">
        <v>50</v>
      </c>
      <c r="U155" s="1">
        <v>1</v>
      </c>
      <c r="V155" s="1">
        <v>1</v>
      </c>
    </row>
    <row r="156" spans="1:22" x14ac:dyDescent="0.25">
      <c r="A156" s="3">
        <v>44776</v>
      </c>
      <c r="B156" s="4">
        <v>0.37939814814814815</v>
      </c>
      <c r="C156" s="1">
        <v>1544</v>
      </c>
      <c r="D156" s="1">
        <v>13002595</v>
      </c>
      <c r="E156" s="1">
        <v>13</v>
      </c>
      <c r="F156" s="1">
        <v>22589</v>
      </c>
      <c r="G156" s="1" t="s">
        <v>21</v>
      </c>
      <c r="H156" s="1">
        <v>15</v>
      </c>
      <c r="I156" s="1">
        <v>16909</v>
      </c>
      <c r="J156" s="14" t="s">
        <v>718</v>
      </c>
      <c r="K156" s="1" t="s">
        <v>51</v>
      </c>
      <c r="L156" s="1" t="s">
        <v>717</v>
      </c>
      <c r="M156" s="14">
        <v>0.16666666999999999</v>
      </c>
      <c r="N156" s="2">
        <v>918.14</v>
      </c>
      <c r="O156" s="16">
        <v>1185</v>
      </c>
      <c r="P156" s="14">
        <v>0</v>
      </c>
      <c r="Q156" s="14">
        <f t="shared" si="2"/>
        <v>197.50000394999998</v>
      </c>
      <c r="R156" s="1" t="s">
        <v>25</v>
      </c>
      <c r="S156" s="1" t="s">
        <v>25</v>
      </c>
      <c r="T156" s="1">
        <v>29</v>
      </c>
      <c r="U156" s="1">
        <v>1</v>
      </c>
      <c r="V156" s="1">
        <v>1</v>
      </c>
    </row>
    <row r="157" spans="1:22" x14ac:dyDescent="0.25">
      <c r="A157" s="3">
        <v>44776</v>
      </c>
      <c r="B157" s="4">
        <v>0.48405092592592591</v>
      </c>
      <c r="C157" s="1">
        <v>1569</v>
      </c>
      <c r="D157" s="1">
        <v>13002595</v>
      </c>
      <c r="E157" s="1">
        <v>13</v>
      </c>
      <c r="F157" s="1">
        <v>22589</v>
      </c>
      <c r="G157" s="1" t="s">
        <v>21</v>
      </c>
      <c r="H157" s="1">
        <v>18</v>
      </c>
      <c r="I157" s="1">
        <v>16909</v>
      </c>
      <c r="J157" s="14" t="s">
        <v>718</v>
      </c>
      <c r="K157" s="1" t="s">
        <v>51</v>
      </c>
      <c r="L157" s="1" t="s">
        <v>717</v>
      </c>
      <c r="M157" s="14">
        <v>0.49999999000000001</v>
      </c>
      <c r="N157" s="2">
        <v>918.14</v>
      </c>
      <c r="O157" s="16">
        <v>1185</v>
      </c>
      <c r="P157" s="14">
        <v>40.5</v>
      </c>
      <c r="Q157" s="14">
        <f t="shared" si="2"/>
        <v>551.99998815000004</v>
      </c>
      <c r="R157" s="1">
        <v>9</v>
      </c>
      <c r="S157" s="1">
        <v>200010017048</v>
      </c>
      <c r="T157" s="1">
        <v>29</v>
      </c>
      <c r="U157" s="1">
        <v>1</v>
      </c>
      <c r="V157" s="1">
        <v>1</v>
      </c>
    </row>
    <row r="158" spans="1:22" x14ac:dyDescent="0.25">
      <c r="A158" s="3">
        <v>44778</v>
      </c>
      <c r="B158" s="4">
        <v>0.55925925925925923</v>
      </c>
      <c r="C158" s="1">
        <v>1845</v>
      </c>
      <c r="D158" s="1">
        <v>13002616</v>
      </c>
      <c r="E158" s="1">
        <v>13</v>
      </c>
      <c r="F158" s="1">
        <v>22589</v>
      </c>
      <c r="G158" s="1" t="s">
        <v>21</v>
      </c>
      <c r="H158" s="1">
        <v>18</v>
      </c>
      <c r="I158" s="1">
        <v>497053</v>
      </c>
      <c r="J158" s="14" t="s">
        <v>1155</v>
      </c>
      <c r="K158" s="1" t="s">
        <v>51</v>
      </c>
      <c r="L158" s="1" t="s">
        <v>322</v>
      </c>
      <c r="M158" s="14">
        <v>1</v>
      </c>
      <c r="N158" s="2">
        <v>49.66</v>
      </c>
      <c r="O158" s="16">
        <v>76</v>
      </c>
      <c r="P158" s="14">
        <v>0</v>
      </c>
      <c r="Q158" s="14">
        <f t="shared" si="2"/>
        <v>76</v>
      </c>
      <c r="R158" s="1" t="s">
        <v>25</v>
      </c>
      <c r="S158" s="1" t="s">
        <v>25</v>
      </c>
      <c r="T158" s="1">
        <v>50</v>
      </c>
      <c r="U158" s="1">
        <v>1</v>
      </c>
      <c r="V158" s="1">
        <v>2</v>
      </c>
    </row>
    <row r="159" spans="1:22" x14ac:dyDescent="0.25">
      <c r="A159" s="3">
        <v>44776</v>
      </c>
      <c r="B159" s="4">
        <v>0.46812500000000001</v>
      </c>
      <c r="C159" s="1">
        <v>1564</v>
      </c>
      <c r="D159" s="1">
        <v>13002595</v>
      </c>
      <c r="E159" s="1">
        <v>13</v>
      </c>
      <c r="F159" s="1">
        <v>22589</v>
      </c>
      <c r="G159" s="1" t="s">
        <v>21</v>
      </c>
      <c r="H159" s="1">
        <v>18</v>
      </c>
      <c r="I159" s="1">
        <v>13803</v>
      </c>
      <c r="J159" s="14" t="s">
        <v>758</v>
      </c>
      <c r="K159" s="1" t="s">
        <v>34</v>
      </c>
      <c r="L159" s="1" t="s">
        <v>759</v>
      </c>
      <c r="M159" s="14">
        <v>1</v>
      </c>
      <c r="N159" s="2">
        <v>215.39</v>
      </c>
      <c r="O159" s="16">
        <v>328</v>
      </c>
      <c r="P159" s="14">
        <v>32</v>
      </c>
      <c r="Q159" s="14">
        <f t="shared" si="2"/>
        <v>296</v>
      </c>
      <c r="R159" s="1">
        <v>9</v>
      </c>
      <c r="S159" s="1">
        <v>200010013081</v>
      </c>
      <c r="T159" s="1">
        <v>29</v>
      </c>
      <c r="U159" s="1">
        <v>1</v>
      </c>
      <c r="V159" s="1">
        <v>1</v>
      </c>
    </row>
    <row r="160" spans="1:22" x14ac:dyDescent="0.25">
      <c r="A160" s="3">
        <v>44776</v>
      </c>
      <c r="B160" s="4">
        <v>0.52075231481481477</v>
      </c>
      <c r="C160" s="1">
        <v>1582</v>
      </c>
      <c r="D160" s="1">
        <v>13002595</v>
      </c>
      <c r="E160" s="1">
        <v>13</v>
      </c>
      <c r="F160" s="1">
        <v>22589</v>
      </c>
      <c r="G160" s="1" t="s">
        <v>21</v>
      </c>
      <c r="H160" s="1">
        <v>18</v>
      </c>
      <c r="I160" s="1">
        <v>9957</v>
      </c>
      <c r="J160" s="14" t="s">
        <v>804</v>
      </c>
      <c r="K160" s="1" t="s">
        <v>61</v>
      </c>
      <c r="L160" s="1" t="s">
        <v>299</v>
      </c>
      <c r="M160" s="14">
        <v>0.1</v>
      </c>
      <c r="N160" s="2">
        <v>911.57</v>
      </c>
      <c r="O160" s="16">
        <v>1176</v>
      </c>
      <c r="P160" s="14">
        <v>7.6</v>
      </c>
      <c r="Q160" s="14">
        <f t="shared" si="2"/>
        <v>110.00000000000001</v>
      </c>
      <c r="R160" s="1">
        <v>9</v>
      </c>
      <c r="S160" s="1">
        <v>200010022554</v>
      </c>
      <c r="T160" s="1">
        <v>29</v>
      </c>
      <c r="U160" s="1">
        <v>1</v>
      </c>
      <c r="V160" s="1">
        <v>1</v>
      </c>
    </row>
    <row r="161" spans="1:22" x14ac:dyDescent="0.25">
      <c r="A161" s="3">
        <v>44775</v>
      </c>
      <c r="B161" s="4">
        <v>0.67671296296296302</v>
      </c>
      <c r="C161" s="1">
        <v>1493</v>
      </c>
      <c r="D161" s="1">
        <v>13002581</v>
      </c>
      <c r="E161" s="1">
        <v>13</v>
      </c>
      <c r="F161" s="1">
        <v>22589</v>
      </c>
      <c r="G161" s="1" t="s">
        <v>21</v>
      </c>
      <c r="H161" s="1">
        <v>18</v>
      </c>
      <c r="I161" s="1">
        <v>189384</v>
      </c>
      <c r="J161" s="14" t="s">
        <v>637</v>
      </c>
      <c r="K161" s="1" t="s">
        <v>45</v>
      </c>
      <c r="L161" s="1" t="s">
        <v>638</v>
      </c>
      <c r="M161" s="14">
        <v>1</v>
      </c>
      <c r="N161" s="2">
        <v>5.94</v>
      </c>
      <c r="O161" s="16">
        <v>10</v>
      </c>
      <c r="P161" s="14">
        <v>0</v>
      </c>
      <c r="Q161" s="14">
        <f t="shared" si="2"/>
        <v>10</v>
      </c>
      <c r="R161" s="1" t="s">
        <v>25</v>
      </c>
      <c r="S161" s="1" t="s">
        <v>25</v>
      </c>
      <c r="T161" s="1">
        <v>29</v>
      </c>
      <c r="U161" s="1">
        <v>1</v>
      </c>
      <c r="V161" s="1">
        <v>1</v>
      </c>
    </row>
    <row r="162" spans="1:22" x14ac:dyDescent="0.25">
      <c r="A162" s="3">
        <v>44776</v>
      </c>
      <c r="B162" s="4">
        <v>0.78734953703703703</v>
      </c>
      <c r="C162" s="1">
        <v>1649</v>
      </c>
      <c r="D162" s="1">
        <v>13002595</v>
      </c>
      <c r="E162" s="1">
        <v>13</v>
      </c>
      <c r="F162" s="1">
        <v>22589</v>
      </c>
      <c r="G162" s="1" t="s">
        <v>21</v>
      </c>
      <c r="H162" s="1">
        <v>18</v>
      </c>
      <c r="I162" s="1">
        <v>12853</v>
      </c>
      <c r="J162" s="14" t="s">
        <v>911</v>
      </c>
      <c r="K162" s="1" t="s">
        <v>117</v>
      </c>
      <c r="L162" s="1" t="s">
        <v>912</v>
      </c>
      <c r="M162" s="14">
        <v>1</v>
      </c>
      <c r="N162" s="2">
        <v>339.63</v>
      </c>
      <c r="O162" s="16">
        <v>524</v>
      </c>
      <c r="P162" s="14">
        <v>0</v>
      </c>
      <c r="Q162" s="14">
        <f t="shared" si="2"/>
        <v>524</v>
      </c>
      <c r="R162" s="1" t="s">
        <v>25</v>
      </c>
      <c r="S162" s="1" t="s">
        <v>25</v>
      </c>
      <c r="T162" s="1">
        <v>29</v>
      </c>
      <c r="U162" s="1">
        <v>1</v>
      </c>
      <c r="V162" s="1">
        <v>1</v>
      </c>
    </row>
    <row r="163" spans="1:22" x14ac:dyDescent="0.25">
      <c r="A163" s="3">
        <v>44778</v>
      </c>
      <c r="B163" s="4">
        <v>0.51748842592592592</v>
      </c>
      <c r="C163" s="1">
        <v>1834</v>
      </c>
      <c r="D163" s="1">
        <v>13002616</v>
      </c>
      <c r="E163" s="1">
        <v>13</v>
      </c>
      <c r="F163" s="1">
        <v>22589</v>
      </c>
      <c r="G163" s="1" t="s">
        <v>21</v>
      </c>
      <c r="H163" s="1">
        <v>18</v>
      </c>
      <c r="I163" s="1">
        <v>7145</v>
      </c>
      <c r="J163" s="14" t="s">
        <v>1129</v>
      </c>
      <c r="K163" s="1" t="s">
        <v>45</v>
      </c>
      <c r="L163" s="1" t="s">
        <v>1130</v>
      </c>
      <c r="M163" s="14">
        <v>1</v>
      </c>
      <c r="N163" s="2">
        <v>522.09</v>
      </c>
      <c r="O163" s="16">
        <v>653</v>
      </c>
      <c r="P163" s="14">
        <v>45</v>
      </c>
      <c r="Q163" s="14">
        <f t="shared" si="2"/>
        <v>608</v>
      </c>
      <c r="R163" s="1">
        <v>9</v>
      </c>
      <c r="S163" s="1">
        <v>200010001071</v>
      </c>
      <c r="T163" s="1">
        <v>50</v>
      </c>
      <c r="U163" s="1">
        <v>1</v>
      </c>
      <c r="V163" s="1">
        <v>1</v>
      </c>
    </row>
    <row r="164" spans="1:22" x14ac:dyDescent="0.25">
      <c r="A164" s="3">
        <v>44774</v>
      </c>
      <c r="B164" s="4">
        <v>0.53203703703703709</v>
      </c>
      <c r="C164" s="1">
        <v>1331</v>
      </c>
      <c r="D164" s="1">
        <v>13002561</v>
      </c>
      <c r="E164" s="1">
        <v>13</v>
      </c>
      <c r="F164" s="1">
        <v>22589</v>
      </c>
      <c r="G164" s="1" t="s">
        <v>21</v>
      </c>
      <c r="H164" s="1">
        <v>15</v>
      </c>
      <c r="I164" s="1">
        <v>338502</v>
      </c>
      <c r="J164" s="14" t="s">
        <v>264</v>
      </c>
      <c r="K164" s="1" t="s">
        <v>51</v>
      </c>
      <c r="L164" s="1" t="s">
        <v>37</v>
      </c>
      <c r="M164" s="14">
        <v>1</v>
      </c>
      <c r="N164" s="2">
        <v>182.82</v>
      </c>
      <c r="O164" s="16">
        <v>234</v>
      </c>
      <c r="P164" s="14">
        <v>11</v>
      </c>
      <c r="Q164" s="14">
        <f t="shared" si="2"/>
        <v>223</v>
      </c>
      <c r="R164" s="1">
        <v>9</v>
      </c>
      <c r="S164" s="1">
        <v>200010002141</v>
      </c>
      <c r="T164" s="1">
        <v>29</v>
      </c>
      <c r="U164" s="1">
        <v>1</v>
      </c>
      <c r="V164" s="1">
        <v>1</v>
      </c>
    </row>
    <row r="165" spans="1:22" x14ac:dyDescent="0.25">
      <c r="A165" s="3">
        <v>44775</v>
      </c>
      <c r="B165" s="4">
        <v>0.55945601851851856</v>
      </c>
      <c r="C165" s="1">
        <v>1475</v>
      </c>
      <c r="D165" s="1">
        <v>13002581</v>
      </c>
      <c r="E165" s="1">
        <v>13</v>
      </c>
      <c r="F165" s="1">
        <v>22589</v>
      </c>
      <c r="G165" s="1" t="s">
        <v>21</v>
      </c>
      <c r="H165" s="1">
        <v>15</v>
      </c>
      <c r="I165" s="1">
        <v>338502</v>
      </c>
      <c r="J165" s="14" t="s">
        <v>264</v>
      </c>
      <c r="K165" s="1" t="s">
        <v>51</v>
      </c>
      <c r="L165" s="1" t="s">
        <v>37</v>
      </c>
      <c r="M165" s="14">
        <v>1</v>
      </c>
      <c r="N165" s="2">
        <v>182.82</v>
      </c>
      <c r="O165" s="16">
        <v>234</v>
      </c>
      <c r="P165" s="14">
        <v>11</v>
      </c>
      <c r="Q165" s="14">
        <f t="shared" si="2"/>
        <v>223</v>
      </c>
      <c r="R165" s="1">
        <v>9</v>
      </c>
      <c r="S165" s="1">
        <v>200010011850</v>
      </c>
      <c r="T165" s="1">
        <v>29</v>
      </c>
      <c r="U165" s="1">
        <v>1</v>
      </c>
      <c r="V165" s="1">
        <v>1</v>
      </c>
    </row>
    <row r="166" spans="1:22" x14ac:dyDescent="0.25">
      <c r="A166" s="3">
        <v>44776</v>
      </c>
      <c r="B166" s="4">
        <v>0.42765046296296294</v>
      </c>
      <c r="C166" s="1">
        <v>1551</v>
      </c>
      <c r="D166" s="1">
        <v>13002595</v>
      </c>
      <c r="E166" s="1">
        <v>13</v>
      </c>
      <c r="F166" s="1">
        <v>22589</v>
      </c>
      <c r="G166" s="1" t="s">
        <v>21</v>
      </c>
      <c r="H166" s="1">
        <v>18</v>
      </c>
      <c r="I166" s="1">
        <v>6887</v>
      </c>
      <c r="J166" s="14" t="s">
        <v>733</v>
      </c>
      <c r="K166" s="1" t="s">
        <v>23</v>
      </c>
      <c r="L166" s="1" t="s">
        <v>734</v>
      </c>
      <c r="M166" s="14">
        <v>1</v>
      </c>
      <c r="N166" s="2">
        <v>266.05</v>
      </c>
      <c r="O166" s="16">
        <v>322</v>
      </c>
      <c r="P166" s="14">
        <v>16</v>
      </c>
      <c r="Q166" s="14">
        <f t="shared" si="2"/>
        <v>306</v>
      </c>
      <c r="R166" s="1">
        <v>9</v>
      </c>
      <c r="S166" s="1">
        <v>200010001798</v>
      </c>
      <c r="T166" s="1">
        <v>29</v>
      </c>
      <c r="U166" s="1">
        <v>1</v>
      </c>
      <c r="V166" s="1">
        <v>1</v>
      </c>
    </row>
    <row r="167" spans="1:22" x14ac:dyDescent="0.25">
      <c r="A167" s="3">
        <v>44777</v>
      </c>
      <c r="B167" s="4">
        <v>0.57535879629629627</v>
      </c>
      <c r="C167" s="1">
        <v>1722</v>
      </c>
      <c r="D167" s="1">
        <v>13002606</v>
      </c>
      <c r="E167" s="1">
        <v>13</v>
      </c>
      <c r="F167" s="1">
        <v>22589</v>
      </c>
      <c r="G167" s="1" t="s">
        <v>21</v>
      </c>
      <c r="H167" s="1">
        <v>15</v>
      </c>
      <c r="I167" s="1">
        <v>21997</v>
      </c>
      <c r="J167" s="14" t="s">
        <v>1013</v>
      </c>
      <c r="K167" s="1" t="s">
        <v>51</v>
      </c>
      <c r="L167" s="1" t="s">
        <v>394</v>
      </c>
      <c r="M167" s="14">
        <v>1</v>
      </c>
      <c r="N167" s="2">
        <v>123.64</v>
      </c>
      <c r="O167" s="16">
        <v>148</v>
      </c>
      <c r="P167" s="14">
        <v>7</v>
      </c>
      <c r="Q167" s="14">
        <f t="shared" si="2"/>
        <v>141</v>
      </c>
      <c r="R167" s="1">
        <v>9</v>
      </c>
      <c r="S167" s="1">
        <v>200010022591</v>
      </c>
      <c r="T167" s="1">
        <v>50</v>
      </c>
      <c r="U167" s="1">
        <v>1</v>
      </c>
      <c r="V167" s="1">
        <v>1</v>
      </c>
    </row>
    <row r="168" spans="1:22" x14ac:dyDescent="0.25">
      <c r="A168" s="3">
        <v>44778</v>
      </c>
      <c r="B168" s="4">
        <v>0.50062499999999999</v>
      </c>
      <c r="C168" s="1">
        <v>1829</v>
      </c>
      <c r="D168" s="1">
        <v>13002616</v>
      </c>
      <c r="E168" s="1">
        <v>13</v>
      </c>
      <c r="F168" s="1">
        <v>22589</v>
      </c>
      <c r="G168" s="1" t="s">
        <v>21</v>
      </c>
      <c r="H168" s="1">
        <v>18</v>
      </c>
      <c r="I168" s="1">
        <v>21997</v>
      </c>
      <c r="J168" s="14" t="s">
        <v>1013</v>
      </c>
      <c r="K168" s="1" t="s">
        <v>51</v>
      </c>
      <c r="L168" s="1" t="s">
        <v>394</v>
      </c>
      <c r="M168" s="14">
        <v>1</v>
      </c>
      <c r="N168" s="2">
        <v>123.64</v>
      </c>
      <c r="O168" s="16">
        <v>148</v>
      </c>
      <c r="P168" s="14">
        <v>7</v>
      </c>
      <c r="Q168" s="14">
        <f t="shared" si="2"/>
        <v>141</v>
      </c>
      <c r="R168" s="1">
        <v>9</v>
      </c>
      <c r="S168" s="1">
        <v>200010002734</v>
      </c>
      <c r="T168" s="1">
        <v>50</v>
      </c>
      <c r="U168" s="1">
        <v>1</v>
      </c>
      <c r="V168" s="1">
        <v>1</v>
      </c>
    </row>
    <row r="169" spans="1:22" x14ac:dyDescent="0.25">
      <c r="A169" s="3">
        <v>44778</v>
      </c>
      <c r="B169" s="4">
        <v>0.50062499999999999</v>
      </c>
      <c r="C169" s="1">
        <v>1829</v>
      </c>
      <c r="D169" s="1">
        <v>13002616</v>
      </c>
      <c r="E169" s="1">
        <v>13</v>
      </c>
      <c r="F169" s="1">
        <v>22589</v>
      </c>
      <c r="G169" s="1" t="s">
        <v>21</v>
      </c>
      <c r="H169" s="1">
        <v>18</v>
      </c>
      <c r="I169" s="1">
        <v>21997</v>
      </c>
      <c r="J169" s="14" t="s">
        <v>1013</v>
      </c>
      <c r="K169" s="1" t="s">
        <v>51</v>
      </c>
      <c r="L169" s="1" t="s">
        <v>394</v>
      </c>
      <c r="M169" s="14">
        <v>1</v>
      </c>
      <c r="N169" s="2">
        <v>123.64</v>
      </c>
      <c r="O169" s="16">
        <v>148</v>
      </c>
      <c r="P169" s="14">
        <v>7</v>
      </c>
      <c r="Q169" s="14">
        <f t="shared" si="2"/>
        <v>141</v>
      </c>
      <c r="R169" s="1">
        <v>9</v>
      </c>
      <c r="S169" s="1">
        <v>200010002734</v>
      </c>
      <c r="T169" s="1">
        <v>50</v>
      </c>
      <c r="U169" s="1">
        <v>1</v>
      </c>
      <c r="V169" s="1">
        <v>2</v>
      </c>
    </row>
    <row r="170" spans="1:22" x14ac:dyDescent="0.25">
      <c r="A170" s="3">
        <v>44774</v>
      </c>
      <c r="B170" s="4">
        <v>0.7107175925925926</v>
      </c>
      <c r="C170" s="1">
        <v>1382</v>
      </c>
      <c r="D170" s="1">
        <v>13002561</v>
      </c>
      <c r="E170" s="1">
        <v>13</v>
      </c>
      <c r="F170" s="1">
        <v>22589</v>
      </c>
      <c r="G170" s="1" t="s">
        <v>21</v>
      </c>
      <c r="H170" s="1">
        <v>18</v>
      </c>
      <c r="I170" s="1">
        <v>20856</v>
      </c>
      <c r="J170" s="14" t="s">
        <v>393</v>
      </c>
      <c r="K170" s="1" t="s">
        <v>51</v>
      </c>
      <c r="L170" s="1" t="s">
        <v>394</v>
      </c>
      <c r="M170" s="14">
        <v>1</v>
      </c>
      <c r="N170" s="2">
        <v>244.77</v>
      </c>
      <c r="O170" s="16">
        <v>282</v>
      </c>
      <c r="P170" s="14">
        <v>14</v>
      </c>
      <c r="Q170" s="14">
        <f t="shared" si="2"/>
        <v>268</v>
      </c>
      <c r="R170" s="1">
        <v>9</v>
      </c>
      <c r="S170" s="1">
        <v>200010017788</v>
      </c>
      <c r="T170" s="1">
        <v>29</v>
      </c>
      <c r="U170" s="1">
        <v>1</v>
      </c>
      <c r="V170" s="1">
        <v>1</v>
      </c>
    </row>
    <row r="171" spans="1:22" x14ac:dyDescent="0.25">
      <c r="A171" s="3">
        <v>44777</v>
      </c>
      <c r="B171" s="4">
        <v>0.52355324074074072</v>
      </c>
      <c r="C171" s="1">
        <v>1701</v>
      </c>
      <c r="D171" s="1">
        <v>13002606</v>
      </c>
      <c r="E171" s="1">
        <v>13</v>
      </c>
      <c r="F171" s="1">
        <v>22589</v>
      </c>
      <c r="G171" s="1" t="s">
        <v>21</v>
      </c>
      <c r="H171" s="1">
        <v>15</v>
      </c>
      <c r="I171" s="1">
        <v>12025</v>
      </c>
      <c r="J171" s="14" t="s">
        <v>982</v>
      </c>
      <c r="K171" s="1" t="s">
        <v>23</v>
      </c>
      <c r="L171" s="1" t="s">
        <v>983</v>
      </c>
      <c r="M171" s="14">
        <v>1</v>
      </c>
      <c r="N171" s="2">
        <v>572.16999999999996</v>
      </c>
      <c r="O171" s="16">
        <v>634</v>
      </c>
      <c r="P171" s="14">
        <v>19</v>
      </c>
      <c r="Q171" s="14">
        <f t="shared" si="2"/>
        <v>615</v>
      </c>
      <c r="R171" s="1">
        <v>9</v>
      </c>
      <c r="S171" s="1">
        <v>200010022491</v>
      </c>
      <c r="T171" s="1">
        <v>50</v>
      </c>
      <c r="U171" s="1">
        <v>1</v>
      </c>
      <c r="V171" s="1">
        <v>1</v>
      </c>
    </row>
    <row r="172" spans="1:22" x14ac:dyDescent="0.25">
      <c r="A172" s="3">
        <v>44777</v>
      </c>
      <c r="B172" s="4">
        <v>0.47141203703703705</v>
      </c>
      <c r="C172" s="1">
        <v>1680</v>
      </c>
      <c r="D172" s="1">
        <v>13002606</v>
      </c>
      <c r="E172" s="1">
        <v>13</v>
      </c>
      <c r="F172" s="1">
        <v>22589</v>
      </c>
      <c r="G172" s="1" t="s">
        <v>21</v>
      </c>
      <c r="H172" s="1">
        <v>15</v>
      </c>
      <c r="I172" s="1">
        <v>7520</v>
      </c>
      <c r="J172" s="14" t="s">
        <v>956</v>
      </c>
      <c r="K172" s="1" t="s">
        <v>48</v>
      </c>
      <c r="L172" s="1" t="s">
        <v>89</v>
      </c>
      <c r="M172" s="14">
        <v>1</v>
      </c>
      <c r="N172" s="2">
        <v>497.74</v>
      </c>
      <c r="O172" s="16">
        <v>658</v>
      </c>
      <c r="P172" s="14">
        <v>46</v>
      </c>
      <c r="Q172" s="14">
        <f t="shared" si="2"/>
        <v>612</v>
      </c>
      <c r="R172" s="1">
        <v>9</v>
      </c>
      <c r="S172" s="1">
        <v>200010018491</v>
      </c>
      <c r="T172" s="1">
        <v>50</v>
      </c>
      <c r="U172" s="1">
        <v>1</v>
      </c>
      <c r="V172" s="1">
        <v>1</v>
      </c>
    </row>
    <row r="173" spans="1:22" x14ac:dyDescent="0.25">
      <c r="A173" s="3">
        <v>44776</v>
      </c>
      <c r="B173" s="4">
        <v>0.60979166666666662</v>
      </c>
      <c r="C173" s="1">
        <v>1610</v>
      </c>
      <c r="D173" s="1">
        <v>13002595</v>
      </c>
      <c r="E173" s="1">
        <v>13</v>
      </c>
      <c r="F173" s="1">
        <v>22589</v>
      </c>
      <c r="G173" s="1" t="s">
        <v>21</v>
      </c>
      <c r="H173" s="1">
        <v>18</v>
      </c>
      <c r="I173" s="1">
        <v>114886</v>
      </c>
      <c r="J173" s="14" t="s">
        <v>856</v>
      </c>
      <c r="K173" s="1" t="s">
        <v>84</v>
      </c>
      <c r="L173" s="1" t="s">
        <v>27</v>
      </c>
      <c r="M173" s="14">
        <v>1</v>
      </c>
      <c r="N173" s="2">
        <v>321.66000000000003</v>
      </c>
      <c r="O173" s="16">
        <v>425</v>
      </c>
      <c r="P173" s="14">
        <v>42</v>
      </c>
      <c r="Q173" s="14">
        <f t="shared" si="2"/>
        <v>383</v>
      </c>
      <c r="R173" s="1">
        <v>941</v>
      </c>
      <c r="S173" s="1">
        <v>200000000044</v>
      </c>
      <c r="T173" s="1">
        <v>29</v>
      </c>
      <c r="U173" s="1">
        <v>1</v>
      </c>
      <c r="V173" s="1">
        <v>1</v>
      </c>
    </row>
    <row r="174" spans="1:22" x14ac:dyDescent="0.25">
      <c r="A174" s="3">
        <v>44777</v>
      </c>
      <c r="B174" s="4">
        <v>0.50817129629629632</v>
      </c>
      <c r="C174" s="1">
        <v>1694</v>
      </c>
      <c r="D174" s="1">
        <v>13002606</v>
      </c>
      <c r="E174" s="1">
        <v>13</v>
      </c>
      <c r="F174" s="1">
        <v>22589</v>
      </c>
      <c r="G174" s="1" t="s">
        <v>21</v>
      </c>
      <c r="H174" s="1">
        <v>18</v>
      </c>
      <c r="I174" s="1">
        <v>513866</v>
      </c>
      <c r="J174" s="14" t="s">
        <v>971</v>
      </c>
      <c r="K174" s="1" t="s">
        <v>51</v>
      </c>
      <c r="L174" s="1" t="s">
        <v>216</v>
      </c>
      <c r="M174" s="14">
        <v>1</v>
      </c>
      <c r="N174" s="2">
        <v>270.95</v>
      </c>
      <c r="O174" s="16">
        <v>366</v>
      </c>
      <c r="P174" s="14">
        <v>25</v>
      </c>
      <c r="Q174" s="14">
        <f t="shared" si="2"/>
        <v>341</v>
      </c>
      <c r="R174" s="1">
        <v>9</v>
      </c>
      <c r="S174" s="1">
        <v>200010013137</v>
      </c>
      <c r="T174" s="1">
        <v>50</v>
      </c>
      <c r="U174" s="1">
        <v>1</v>
      </c>
      <c r="V174" s="1">
        <v>1</v>
      </c>
    </row>
    <row r="175" spans="1:22" x14ac:dyDescent="0.25">
      <c r="A175" s="3">
        <v>44774</v>
      </c>
      <c r="B175" s="4">
        <v>0.55163194444444441</v>
      </c>
      <c r="C175" s="1">
        <v>1337</v>
      </c>
      <c r="D175" s="1">
        <v>13002561</v>
      </c>
      <c r="E175" s="1">
        <v>13</v>
      </c>
      <c r="F175" s="1">
        <v>22589</v>
      </c>
      <c r="G175" s="1" t="s">
        <v>21</v>
      </c>
      <c r="H175" s="1">
        <v>15</v>
      </c>
      <c r="I175" s="1">
        <v>514074</v>
      </c>
      <c r="J175" s="14" t="s">
        <v>278</v>
      </c>
      <c r="K175" s="1" t="s">
        <v>23</v>
      </c>
      <c r="L175" s="1" t="s">
        <v>279</v>
      </c>
      <c r="M175" s="14">
        <v>1</v>
      </c>
      <c r="N175" s="2">
        <v>313.2</v>
      </c>
      <c r="O175" s="16">
        <v>414</v>
      </c>
      <c r="P175" s="14">
        <v>28</v>
      </c>
      <c r="Q175" s="14">
        <f t="shared" si="2"/>
        <v>386</v>
      </c>
      <c r="R175" s="1">
        <v>9</v>
      </c>
      <c r="S175" s="1">
        <v>200010027862</v>
      </c>
      <c r="T175" s="1">
        <v>29</v>
      </c>
      <c r="U175" s="1">
        <v>1</v>
      </c>
      <c r="V175" s="1">
        <v>1</v>
      </c>
    </row>
    <row r="176" spans="1:22" x14ac:dyDescent="0.25">
      <c r="A176" s="3">
        <v>44775</v>
      </c>
      <c r="B176" s="4">
        <v>0.38119212962962962</v>
      </c>
      <c r="C176" s="1">
        <v>1422</v>
      </c>
      <c r="D176" s="1">
        <v>13002581</v>
      </c>
      <c r="E176" s="1">
        <v>13</v>
      </c>
      <c r="F176" s="1">
        <v>22589</v>
      </c>
      <c r="G176" s="1" t="s">
        <v>21</v>
      </c>
      <c r="H176" s="1">
        <v>18</v>
      </c>
      <c r="I176" s="1">
        <v>19381</v>
      </c>
      <c r="J176" s="14" t="s">
        <v>489</v>
      </c>
      <c r="K176" s="1" t="s">
        <v>51</v>
      </c>
      <c r="L176" s="1" t="s">
        <v>272</v>
      </c>
      <c r="M176" s="14">
        <v>1</v>
      </c>
      <c r="N176" s="2">
        <v>698.41</v>
      </c>
      <c r="O176" s="16">
        <v>901</v>
      </c>
      <c r="P176" s="14">
        <v>63</v>
      </c>
      <c r="Q176" s="14">
        <f t="shared" si="2"/>
        <v>838</v>
      </c>
      <c r="R176" s="1">
        <v>9</v>
      </c>
      <c r="S176" s="1">
        <v>200010004069</v>
      </c>
      <c r="T176" s="1">
        <v>29</v>
      </c>
      <c r="U176" s="1">
        <v>1</v>
      </c>
      <c r="V176" s="1">
        <v>1</v>
      </c>
    </row>
    <row r="177" spans="1:22" x14ac:dyDescent="0.25">
      <c r="A177" s="3">
        <v>44774</v>
      </c>
      <c r="B177" s="4">
        <v>0.43896990740740743</v>
      </c>
      <c r="C177" s="1">
        <v>1290</v>
      </c>
      <c r="D177" s="1">
        <v>13002561</v>
      </c>
      <c r="E177" s="1">
        <v>13</v>
      </c>
      <c r="F177" s="1">
        <v>22589</v>
      </c>
      <c r="G177" s="1" t="s">
        <v>21</v>
      </c>
      <c r="H177" s="1">
        <v>15</v>
      </c>
      <c r="I177" s="1">
        <v>50279</v>
      </c>
      <c r="J177" s="14" t="s">
        <v>100</v>
      </c>
      <c r="K177" s="1" t="s">
        <v>51</v>
      </c>
      <c r="L177" s="1" t="s">
        <v>99</v>
      </c>
      <c r="M177" s="14">
        <v>1</v>
      </c>
      <c r="N177" s="2">
        <v>45.13</v>
      </c>
      <c r="O177" s="16">
        <v>74</v>
      </c>
      <c r="P177" s="14">
        <v>7</v>
      </c>
      <c r="Q177" s="14">
        <f t="shared" si="2"/>
        <v>67</v>
      </c>
      <c r="R177" s="1">
        <v>9</v>
      </c>
      <c r="S177" s="1">
        <v>200010000065</v>
      </c>
      <c r="T177" s="1">
        <v>29</v>
      </c>
      <c r="U177" s="1">
        <v>1</v>
      </c>
      <c r="V177" s="1">
        <v>1</v>
      </c>
    </row>
    <row r="178" spans="1:22" x14ac:dyDescent="0.25">
      <c r="A178" s="3">
        <v>44776</v>
      </c>
      <c r="B178" s="4">
        <v>0.63768518518518513</v>
      </c>
      <c r="C178" s="1">
        <v>1616</v>
      </c>
      <c r="D178" s="1">
        <v>13002595</v>
      </c>
      <c r="E178" s="1">
        <v>13</v>
      </c>
      <c r="F178" s="1">
        <v>22589</v>
      </c>
      <c r="G178" s="1" t="s">
        <v>21</v>
      </c>
      <c r="H178" s="1">
        <v>18</v>
      </c>
      <c r="I178" s="1">
        <v>172464</v>
      </c>
      <c r="J178" s="14" t="s">
        <v>863</v>
      </c>
      <c r="K178" s="1" t="s">
        <v>61</v>
      </c>
      <c r="L178" s="1" t="s">
        <v>106</v>
      </c>
      <c r="M178" s="14">
        <v>1</v>
      </c>
      <c r="N178" s="2">
        <v>60.72</v>
      </c>
      <c r="O178" s="16">
        <v>96</v>
      </c>
      <c r="P178" s="14">
        <v>0</v>
      </c>
      <c r="Q178" s="14">
        <f t="shared" si="2"/>
        <v>96</v>
      </c>
      <c r="R178" s="1" t="s">
        <v>25</v>
      </c>
      <c r="S178" s="1" t="s">
        <v>25</v>
      </c>
      <c r="T178" s="1">
        <v>29</v>
      </c>
      <c r="U178" s="1">
        <v>1</v>
      </c>
      <c r="V178" s="1">
        <v>1</v>
      </c>
    </row>
    <row r="179" spans="1:22" x14ac:dyDescent="0.25">
      <c r="A179" s="3">
        <v>44776</v>
      </c>
      <c r="B179" s="4">
        <v>0.34107638888888892</v>
      </c>
      <c r="C179" s="1">
        <v>1539</v>
      </c>
      <c r="D179" s="1">
        <v>13002595</v>
      </c>
      <c r="E179" s="1">
        <v>13</v>
      </c>
      <c r="F179" s="1">
        <v>22589</v>
      </c>
      <c r="G179" s="1" t="s">
        <v>21</v>
      </c>
      <c r="H179" s="1">
        <v>15</v>
      </c>
      <c r="I179" s="1">
        <v>104602</v>
      </c>
      <c r="J179" s="14" t="s">
        <v>707</v>
      </c>
      <c r="K179" s="1" t="s">
        <v>708</v>
      </c>
      <c r="L179" s="1" t="s">
        <v>709</v>
      </c>
      <c r="M179" s="14">
        <v>1</v>
      </c>
      <c r="N179" s="2">
        <v>26.4</v>
      </c>
      <c r="O179" s="16">
        <v>43</v>
      </c>
      <c r="P179" s="14">
        <v>0</v>
      </c>
      <c r="Q179" s="14">
        <f t="shared" si="2"/>
        <v>43</v>
      </c>
      <c r="R179" s="1" t="s">
        <v>25</v>
      </c>
      <c r="S179" s="1" t="s">
        <v>25</v>
      </c>
      <c r="T179" s="1">
        <v>29</v>
      </c>
      <c r="U179" s="1">
        <v>1</v>
      </c>
      <c r="V179" s="1">
        <v>1</v>
      </c>
    </row>
    <row r="180" spans="1:22" x14ac:dyDescent="0.25">
      <c r="A180" s="3">
        <v>44778</v>
      </c>
      <c r="B180" s="4">
        <v>0.33399305555555553</v>
      </c>
      <c r="C180" s="1">
        <v>1781</v>
      </c>
      <c r="D180" s="1">
        <v>13002616</v>
      </c>
      <c r="E180" s="1">
        <v>13</v>
      </c>
      <c r="F180" s="1">
        <v>22589</v>
      </c>
      <c r="G180" s="1" t="s">
        <v>21</v>
      </c>
      <c r="H180" s="1">
        <v>15</v>
      </c>
      <c r="I180" s="1">
        <v>104602</v>
      </c>
      <c r="J180" s="14" t="s">
        <v>707</v>
      </c>
      <c r="K180" s="1" t="s">
        <v>708</v>
      </c>
      <c r="L180" s="1" t="s">
        <v>709</v>
      </c>
      <c r="M180" s="14">
        <v>2</v>
      </c>
      <c r="N180" s="2">
        <v>26.4</v>
      </c>
      <c r="O180" s="16">
        <v>43</v>
      </c>
      <c r="P180" s="14">
        <v>0</v>
      </c>
      <c r="Q180" s="14">
        <f t="shared" si="2"/>
        <v>86</v>
      </c>
      <c r="R180" s="1" t="s">
        <v>25</v>
      </c>
      <c r="S180" s="1" t="s">
        <v>25</v>
      </c>
      <c r="T180" s="1">
        <v>50</v>
      </c>
      <c r="U180" s="1">
        <v>1</v>
      </c>
      <c r="V180" s="1">
        <v>1</v>
      </c>
    </row>
    <row r="181" spans="1:22" x14ac:dyDescent="0.25">
      <c r="A181" s="3">
        <v>44777</v>
      </c>
      <c r="B181" s="4">
        <v>0.77209490740740738</v>
      </c>
      <c r="C181" s="1">
        <v>1768</v>
      </c>
      <c r="D181" s="1">
        <v>13002606</v>
      </c>
      <c r="E181" s="1">
        <v>13</v>
      </c>
      <c r="F181" s="1">
        <v>22589</v>
      </c>
      <c r="G181" s="1" t="s">
        <v>21</v>
      </c>
      <c r="H181" s="1">
        <v>15</v>
      </c>
      <c r="I181" s="1">
        <v>28980</v>
      </c>
      <c r="J181" s="14" t="s">
        <v>1063</v>
      </c>
      <c r="K181" s="1" t="s">
        <v>48</v>
      </c>
      <c r="L181" s="1" t="s">
        <v>1064</v>
      </c>
      <c r="M181" s="14">
        <v>1</v>
      </c>
      <c r="N181" s="2">
        <v>79.930000000000007</v>
      </c>
      <c r="O181" s="16">
        <v>126</v>
      </c>
      <c r="P181" s="14">
        <v>12</v>
      </c>
      <c r="Q181" s="14">
        <f t="shared" si="2"/>
        <v>114</v>
      </c>
      <c r="R181" s="1">
        <v>9</v>
      </c>
      <c r="S181" s="1">
        <v>200010001749</v>
      </c>
      <c r="T181" s="1">
        <v>50</v>
      </c>
      <c r="U181" s="1">
        <v>1</v>
      </c>
      <c r="V181" s="1">
        <v>2</v>
      </c>
    </row>
    <row r="182" spans="1:22" x14ac:dyDescent="0.25">
      <c r="A182" s="3">
        <v>44775</v>
      </c>
      <c r="B182" s="4">
        <v>0.54039351851851847</v>
      </c>
      <c r="C182" s="1">
        <v>1470</v>
      </c>
      <c r="D182" s="1">
        <v>13002581</v>
      </c>
      <c r="E182" s="1">
        <v>13</v>
      </c>
      <c r="F182" s="1">
        <v>22589</v>
      </c>
      <c r="G182" s="1" t="s">
        <v>21</v>
      </c>
      <c r="H182" s="1">
        <v>18</v>
      </c>
      <c r="I182" s="1">
        <v>291205</v>
      </c>
      <c r="J182" s="14" t="s">
        <v>584</v>
      </c>
      <c r="K182" s="1" t="s">
        <v>51</v>
      </c>
      <c r="L182" s="1" t="s">
        <v>585</v>
      </c>
      <c r="M182" s="14">
        <v>1</v>
      </c>
      <c r="N182" s="2">
        <v>34.26</v>
      </c>
      <c r="O182" s="16">
        <v>56</v>
      </c>
      <c r="P182" s="14">
        <v>5</v>
      </c>
      <c r="Q182" s="14">
        <f t="shared" si="2"/>
        <v>51</v>
      </c>
      <c r="R182" s="1">
        <v>9</v>
      </c>
      <c r="S182" s="1">
        <v>200010017048</v>
      </c>
      <c r="T182" s="1">
        <v>29</v>
      </c>
      <c r="U182" s="1">
        <v>1</v>
      </c>
      <c r="V182" s="1">
        <v>1</v>
      </c>
    </row>
    <row r="183" spans="1:22" x14ac:dyDescent="0.25">
      <c r="A183" s="3">
        <v>44774</v>
      </c>
      <c r="B183" s="4">
        <v>0.59709490740740745</v>
      </c>
      <c r="C183" s="1">
        <v>1354</v>
      </c>
      <c r="D183" s="1">
        <v>13002561</v>
      </c>
      <c r="E183" s="1">
        <v>13</v>
      </c>
      <c r="F183" s="1">
        <v>22589</v>
      </c>
      <c r="G183" s="1" t="s">
        <v>21</v>
      </c>
      <c r="H183" s="1">
        <v>15</v>
      </c>
      <c r="I183" s="1">
        <v>405631</v>
      </c>
      <c r="J183" s="14" t="s">
        <v>329</v>
      </c>
      <c r="K183" s="1" t="s">
        <v>51</v>
      </c>
      <c r="L183" s="1" t="s">
        <v>330</v>
      </c>
      <c r="M183" s="14">
        <v>1</v>
      </c>
      <c r="N183" s="2">
        <v>68.72</v>
      </c>
      <c r="O183" s="16">
        <v>108</v>
      </c>
      <c r="P183" s="14">
        <v>10</v>
      </c>
      <c r="Q183" s="14">
        <f t="shared" si="2"/>
        <v>98</v>
      </c>
      <c r="R183" s="1">
        <v>9</v>
      </c>
      <c r="S183" s="1">
        <v>200010000452</v>
      </c>
      <c r="T183" s="1">
        <v>29</v>
      </c>
      <c r="U183" s="1">
        <v>1</v>
      </c>
      <c r="V183" s="1">
        <v>1</v>
      </c>
    </row>
    <row r="184" spans="1:22" x14ac:dyDescent="0.25">
      <c r="A184" s="3">
        <v>44775</v>
      </c>
      <c r="B184" s="4">
        <v>0.60966435185185186</v>
      </c>
      <c r="C184" s="1">
        <v>1482</v>
      </c>
      <c r="D184" s="1">
        <v>13002581</v>
      </c>
      <c r="E184" s="1">
        <v>13</v>
      </c>
      <c r="F184" s="1">
        <v>22589</v>
      </c>
      <c r="G184" s="1" t="s">
        <v>21</v>
      </c>
      <c r="H184" s="1">
        <v>18</v>
      </c>
      <c r="I184" s="1">
        <v>8179</v>
      </c>
      <c r="J184" s="14" t="s">
        <v>618</v>
      </c>
      <c r="K184" s="1" t="s">
        <v>34</v>
      </c>
      <c r="L184" s="1" t="s">
        <v>175</v>
      </c>
      <c r="M184" s="14">
        <v>1</v>
      </c>
      <c r="N184" s="2">
        <v>35.22</v>
      </c>
      <c r="O184" s="16">
        <v>44</v>
      </c>
      <c r="P184" s="14">
        <v>2</v>
      </c>
      <c r="Q184" s="14">
        <f t="shared" si="2"/>
        <v>42</v>
      </c>
      <c r="R184" s="1">
        <v>9</v>
      </c>
      <c r="S184" s="1">
        <v>200010000717</v>
      </c>
      <c r="T184" s="1">
        <v>29</v>
      </c>
      <c r="U184" s="1">
        <v>1</v>
      </c>
      <c r="V184" s="1">
        <v>1</v>
      </c>
    </row>
    <row r="185" spans="1:22" x14ac:dyDescent="0.25">
      <c r="A185" s="3">
        <v>44775</v>
      </c>
      <c r="B185" s="4">
        <v>0.60966435185185186</v>
      </c>
      <c r="C185" s="1">
        <v>1482</v>
      </c>
      <c r="D185" s="1">
        <v>13002581</v>
      </c>
      <c r="E185" s="1">
        <v>13</v>
      </c>
      <c r="F185" s="1">
        <v>22589</v>
      </c>
      <c r="G185" s="1" t="s">
        <v>21</v>
      </c>
      <c r="H185" s="1">
        <v>18</v>
      </c>
      <c r="I185" s="1">
        <v>8179</v>
      </c>
      <c r="J185" s="14" t="s">
        <v>618</v>
      </c>
      <c r="K185" s="1" t="s">
        <v>34</v>
      </c>
      <c r="L185" s="1" t="s">
        <v>175</v>
      </c>
      <c r="M185" s="14">
        <v>1</v>
      </c>
      <c r="N185" s="2">
        <v>35.22</v>
      </c>
      <c r="O185" s="16">
        <v>44</v>
      </c>
      <c r="P185" s="14">
        <v>2</v>
      </c>
      <c r="Q185" s="14">
        <f t="shared" si="2"/>
        <v>42</v>
      </c>
      <c r="R185" s="1">
        <v>9</v>
      </c>
      <c r="S185" s="1">
        <v>200010000717</v>
      </c>
      <c r="T185" s="1">
        <v>29</v>
      </c>
      <c r="U185" s="1">
        <v>1</v>
      </c>
      <c r="V185" s="1">
        <v>2</v>
      </c>
    </row>
    <row r="186" spans="1:22" x14ac:dyDescent="0.25">
      <c r="A186" s="3">
        <v>44775</v>
      </c>
      <c r="B186" s="4">
        <v>0.60966435185185186</v>
      </c>
      <c r="C186" s="1">
        <v>1482</v>
      </c>
      <c r="D186" s="1">
        <v>13002581</v>
      </c>
      <c r="E186" s="1">
        <v>13</v>
      </c>
      <c r="F186" s="1">
        <v>22589</v>
      </c>
      <c r="G186" s="1" t="s">
        <v>21</v>
      </c>
      <c r="H186" s="1">
        <v>18</v>
      </c>
      <c r="I186" s="1">
        <v>8179</v>
      </c>
      <c r="J186" s="14" t="s">
        <v>618</v>
      </c>
      <c r="K186" s="1" t="s">
        <v>34</v>
      </c>
      <c r="L186" s="1" t="s">
        <v>175</v>
      </c>
      <c r="M186" s="14">
        <v>1</v>
      </c>
      <c r="N186" s="2">
        <v>35.22</v>
      </c>
      <c r="O186" s="16">
        <v>44</v>
      </c>
      <c r="P186" s="14">
        <v>2</v>
      </c>
      <c r="Q186" s="14">
        <f t="shared" si="2"/>
        <v>42</v>
      </c>
      <c r="R186" s="1">
        <v>9</v>
      </c>
      <c r="S186" s="1">
        <v>200010000717</v>
      </c>
      <c r="T186" s="1">
        <v>29</v>
      </c>
      <c r="U186" s="1">
        <v>1</v>
      </c>
      <c r="V186" s="1">
        <v>3</v>
      </c>
    </row>
    <row r="187" spans="1:22" x14ac:dyDescent="0.25">
      <c r="A187" s="3">
        <v>44775</v>
      </c>
      <c r="B187" s="4">
        <v>0.69490740740740742</v>
      </c>
      <c r="C187" s="1">
        <v>1498</v>
      </c>
      <c r="D187" s="1">
        <v>13002581</v>
      </c>
      <c r="E187" s="1">
        <v>13</v>
      </c>
      <c r="F187" s="1">
        <v>22589</v>
      </c>
      <c r="G187" s="1" t="s">
        <v>21</v>
      </c>
      <c r="H187" s="1">
        <v>18</v>
      </c>
      <c r="I187" s="1">
        <v>107419</v>
      </c>
      <c r="J187" s="14" t="s">
        <v>645</v>
      </c>
      <c r="K187" s="1" t="s">
        <v>51</v>
      </c>
      <c r="L187" s="1" t="s">
        <v>216</v>
      </c>
      <c r="M187" s="14">
        <v>1</v>
      </c>
      <c r="N187" s="2">
        <v>20.57</v>
      </c>
      <c r="O187" s="16">
        <v>25</v>
      </c>
      <c r="P187" s="14">
        <v>1</v>
      </c>
      <c r="Q187" s="14">
        <f t="shared" si="2"/>
        <v>24</v>
      </c>
      <c r="R187" s="1">
        <v>9</v>
      </c>
      <c r="S187" s="1">
        <v>200010012147</v>
      </c>
      <c r="T187" s="1">
        <v>29</v>
      </c>
      <c r="U187" s="1">
        <v>1</v>
      </c>
      <c r="V187" s="1">
        <v>1</v>
      </c>
    </row>
    <row r="188" spans="1:22" x14ac:dyDescent="0.25">
      <c r="A188" s="3">
        <v>44775</v>
      </c>
      <c r="B188" s="4">
        <v>0.80391203703703706</v>
      </c>
      <c r="C188" s="1">
        <v>1531</v>
      </c>
      <c r="D188" s="1">
        <v>13002581</v>
      </c>
      <c r="E188" s="1">
        <v>13</v>
      </c>
      <c r="F188" s="1">
        <v>22589</v>
      </c>
      <c r="G188" s="1" t="s">
        <v>21</v>
      </c>
      <c r="H188" s="1">
        <v>18</v>
      </c>
      <c r="I188" s="1">
        <v>268412</v>
      </c>
      <c r="J188" s="14" t="s">
        <v>699</v>
      </c>
      <c r="K188" s="1" t="s">
        <v>23</v>
      </c>
      <c r="L188" s="1" t="s">
        <v>700</v>
      </c>
      <c r="M188" s="14">
        <v>1</v>
      </c>
      <c r="N188" s="2">
        <v>78.44</v>
      </c>
      <c r="O188" s="16">
        <v>98</v>
      </c>
      <c r="P188" s="14">
        <v>4</v>
      </c>
      <c r="Q188" s="14">
        <f t="shared" si="2"/>
        <v>94</v>
      </c>
      <c r="R188" s="1">
        <v>9</v>
      </c>
      <c r="S188" s="1">
        <v>200010022526</v>
      </c>
      <c r="T188" s="1">
        <v>29</v>
      </c>
      <c r="U188" s="1">
        <v>1</v>
      </c>
      <c r="V188" s="1">
        <v>1</v>
      </c>
    </row>
    <row r="189" spans="1:22" x14ac:dyDescent="0.25">
      <c r="A189" s="3">
        <v>44777</v>
      </c>
      <c r="B189" s="4">
        <v>0.45702546296296298</v>
      </c>
      <c r="C189" s="1">
        <v>1676</v>
      </c>
      <c r="D189" s="1">
        <v>13002606</v>
      </c>
      <c r="E189" s="1">
        <v>13</v>
      </c>
      <c r="F189" s="1">
        <v>22589</v>
      </c>
      <c r="G189" s="1" t="s">
        <v>21</v>
      </c>
      <c r="H189" s="1">
        <v>15</v>
      </c>
      <c r="I189" s="1">
        <v>170308</v>
      </c>
      <c r="J189" s="14" t="s">
        <v>944</v>
      </c>
      <c r="K189" s="1" t="s">
        <v>110</v>
      </c>
      <c r="L189" s="1" t="s">
        <v>159</v>
      </c>
      <c r="M189" s="14">
        <v>1</v>
      </c>
      <c r="N189" s="2">
        <v>78.760000000000005</v>
      </c>
      <c r="O189" s="16">
        <v>97</v>
      </c>
      <c r="P189" s="14">
        <v>4</v>
      </c>
      <c r="Q189" s="14">
        <f t="shared" si="2"/>
        <v>93</v>
      </c>
      <c r="R189" s="1">
        <v>9</v>
      </c>
      <c r="S189" s="1">
        <v>200010023943</v>
      </c>
      <c r="T189" s="1">
        <v>50</v>
      </c>
      <c r="U189" s="1">
        <v>1</v>
      </c>
      <c r="V189" s="1">
        <v>1</v>
      </c>
    </row>
    <row r="190" spans="1:22" x14ac:dyDescent="0.25">
      <c r="A190" s="3">
        <v>44777</v>
      </c>
      <c r="B190" s="4">
        <v>0.69369212962962967</v>
      </c>
      <c r="C190" s="1">
        <v>1751</v>
      </c>
      <c r="D190" s="1">
        <v>13002606</v>
      </c>
      <c r="E190" s="1">
        <v>13</v>
      </c>
      <c r="F190" s="1">
        <v>22589</v>
      </c>
      <c r="G190" s="1" t="s">
        <v>21</v>
      </c>
      <c r="H190" s="1">
        <v>15</v>
      </c>
      <c r="I190" s="1">
        <v>170308</v>
      </c>
      <c r="J190" s="14" t="s">
        <v>944</v>
      </c>
      <c r="K190" s="1" t="s">
        <v>23</v>
      </c>
      <c r="L190" s="1" t="s">
        <v>159</v>
      </c>
      <c r="M190" s="14">
        <v>1</v>
      </c>
      <c r="N190" s="2">
        <v>79.2</v>
      </c>
      <c r="O190" s="16">
        <v>97</v>
      </c>
      <c r="P190" s="14">
        <v>4</v>
      </c>
      <c r="Q190" s="14">
        <f t="shared" si="2"/>
        <v>93</v>
      </c>
      <c r="R190" s="1">
        <v>9</v>
      </c>
      <c r="S190" s="1">
        <v>200010017973</v>
      </c>
      <c r="T190" s="1">
        <v>50</v>
      </c>
      <c r="U190" s="1">
        <v>1</v>
      </c>
      <c r="V190" s="1">
        <v>2</v>
      </c>
    </row>
    <row r="191" spans="1:22" x14ac:dyDescent="0.25">
      <c r="A191" s="3">
        <v>44778</v>
      </c>
      <c r="B191" s="4">
        <v>0.38393518518518521</v>
      </c>
      <c r="C191" s="1">
        <v>1792</v>
      </c>
      <c r="D191" s="1">
        <v>13002616</v>
      </c>
      <c r="E191" s="1">
        <v>13</v>
      </c>
      <c r="F191" s="1">
        <v>22589</v>
      </c>
      <c r="G191" s="1" t="s">
        <v>21</v>
      </c>
      <c r="H191" s="1">
        <v>15</v>
      </c>
      <c r="I191" s="1">
        <v>170308</v>
      </c>
      <c r="J191" s="14" t="s">
        <v>944</v>
      </c>
      <c r="K191" s="1" t="s">
        <v>23</v>
      </c>
      <c r="L191" s="1" t="s">
        <v>159</v>
      </c>
      <c r="M191" s="14">
        <v>1</v>
      </c>
      <c r="N191" s="2">
        <v>79.2</v>
      </c>
      <c r="O191" s="16">
        <v>97</v>
      </c>
      <c r="P191" s="14">
        <v>4</v>
      </c>
      <c r="Q191" s="14">
        <f t="shared" si="2"/>
        <v>93</v>
      </c>
      <c r="R191" s="1">
        <v>9</v>
      </c>
      <c r="S191" s="1">
        <v>200010001617</v>
      </c>
      <c r="T191" s="1">
        <v>50</v>
      </c>
      <c r="U191" s="1">
        <v>1</v>
      </c>
      <c r="V191" s="1">
        <v>2</v>
      </c>
    </row>
    <row r="192" spans="1:22" x14ac:dyDescent="0.25">
      <c r="A192" s="3">
        <v>44774</v>
      </c>
      <c r="B192" s="4">
        <v>0.45239583333333333</v>
      </c>
      <c r="C192" s="1">
        <v>1299</v>
      </c>
      <c r="D192" s="1">
        <v>13002561</v>
      </c>
      <c r="E192" s="1">
        <v>13</v>
      </c>
      <c r="F192" s="1">
        <v>22589</v>
      </c>
      <c r="G192" s="1" t="s">
        <v>21</v>
      </c>
      <c r="H192" s="1">
        <v>18</v>
      </c>
      <c r="I192" s="1">
        <v>488299</v>
      </c>
      <c r="J192" s="14" t="s">
        <v>158</v>
      </c>
      <c r="K192" s="1" t="s">
        <v>23</v>
      </c>
      <c r="L192" s="1" t="s">
        <v>159</v>
      </c>
      <c r="M192" s="14">
        <v>1</v>
      </c>
      <c r="N192" s="2">
        <v>156.19999999999999</v>
      </c>
      <c r="O192" s="16">
        <v>186</v>
      </c>
      <c r="P192" s="14">
        <v>9</v>
      </c>
      <c r="Q192" s="14">
        <f t="shared" si="2"/>
        <v>177</v>
      </c>
      <c r="R192" s="1">
        <v>9</v>
      </c>
      <c r="S192" s="1">
        <v>200010023919</v>
      </c>
      <c r="T192" s="1">
        <v>29</v>
      </c>
      <c r="U192" s="1">
        <v>1</v>
      </c>
      <c r="V192" s="1">
        <v>2</v>
      </c>
    </row>
    <row r="193" spans="1:22" x14ac:dyDescent="0.25">
      <c r="A193" s="3">
        <v>44778</v>
      </c>
      <c r="B193" s="4">
        <v>0.78077546296296296</v>
      </c>
      <c r="C193" s="1">
        <v>1893</v>
      </c>
      <c r="D193" s="1">
        <v>13002616</v>
      </c>
      <c r="E193" s="1">
        <v>13</v>
      </c>
      <c r="F193" s="1">
        <v>22589</v>
      </c>
      <c r="G193" s="1" t="s">
        <v>21</v>
      </c>
      <c r="H193" s="1">
        <v>15</v>
      </c>
      <c r="I193" s="1">
        <v>488299</v>
      </c>
      <c r="J193" s="14" t="s">
        <v>158</v>
      </c>
      <c r="K193" s="1" t="s">
        <v>23</v>
      </c>
      <c r="L193" s="1" t="s">
        <v>159</v>
      </c>
      <c r="M193" s="14">
        <v>1</v>
      </c>
      <c r="N193" s="2">
        <v>156.19999999999999</v>
      </c>
      <c r="O193" s="16">
        <v>186</v>
      </c>
      <c r="P193" s="14">
        <v>0</v>
      </c>
      <c r="Q193" s="14">
        <f t="shared" si="2"/>
        <v>186</v>
      </c>
      <c r="R193" s="1" t="s">
        <v>25</v>
      </c>
      <c r="S193" s="1" t="s">
        <v>25</v>
      </c>
      <c r="T193" s="1">
        <v>50</v>
      </c>
      <c r="U193" s="1">
        <v>1</v>
      </c>
      <c r="V193" s="1">
        <v>1</v>
      </c>
    </row>
    <row r="194" spans="1:22" x14ac:dyDescent="0.25">
      <c r="A194" s="3">
        <v>44774</v>
      </c>
      <c r="B194" s="4">
        <v>0.78233796296296299</v>
      </c>
      <c r="C194" s="1">
        <v>1402</v>
      </c>
      <c r="D194" s="1">
        <v>13002561</v>
      </c>
      <c r="E194" s="1">
        <v>13</v>
      </c>
      <c r="F194" s="1">
        <v>22589</v>
      </c>
      <c r="G194" s="1" t="s">
        <v>21</v>
      </c>
      <c r="H194" s="1">
        <v>18</v>
      </c>
      <c r="I194" s="1">
        <v>187304</v>
      </c>
      <c r="J194" s="14" t="s">
        <v>445</v>
      </c>
      <c r="K194" s="1" t="s">
        <v>110</v>
      </c>
      <c r="L194" s="1" t="s">
        <v>159</v>
      </c>
      <c r="M194" s="14">
        <v>1</v>
      </c>
      <c r="N194" s="2">
        <v>152.46</v>
      </c>
      <c r="O194" s="16">
        <v>181</v>
      </c>
      <c r="P194" s="14">
        <v>9</v>
      </c>
      <c r="Q194" s="14">
        <f t="shared" ref="Q194:Q257" si="3">M194*O194-P194</f>
        <v>172</v>
      </c>
      <c r="R194" s="1">
        <v>9</v>
      </c>
      <c r="S194" s="1">
        <v>200010012073</v>
      </c>
      <c r="T194" s="1">
        <v>29</v>
      </c>
      <c r="U194" s="1">
        <v>1</v>
      </c>
      <c r="V194" s="1">
        <v>2</v>
      </c>
    </row>
    <row r="195" spans="1:22" x14ac:dyDescent="0.25">
      <c r="A195" s="3">
        <v>44777</v>
      </c>
      <c r="B195" s="4">
        <v>0.66061342592592598</v>
      </c>
      <c r="C195" s="1">
        <v>1742</v>
      </c>
      <c r="D195" s="1">
        <v>13002606</v>
      </c>
      <c r="E195" s="1">
        <v>13</v>
      </c>
      <c r="F195" s="1">
        <v>22589</v>
      </c>
      <c r="G195" s="1" t="s">
        <v>21</v>
      </c>
      <c r="H195" s="1">
        <v>18</v>
      </c>
      <c r="I195" s="1">
        <v>187304</v>
      </c>
      <c r="J195" s="14" t="s">
        <v>445</v>
      </c>
      <c r="K195" s="1" t="s">
        <v>110</v>
      </c>
      <c r="L195" s="1" t="s">
        <v>159</v>
      </c>
      <c r="M195" s="14">
        <v>1</v>
      </c>
      <c r="N195" s="2">
        <v>152.46</v>
      </c>
      <c r="O195" s="16">
        <v>181</v>
      </c>
      <c r="P195" s="14">
        <v>0</v>
      </c>
      <c r="Q195" s="14">
        <f t="shared" si="3"/>
        <v>181</v>
      </c>
      <c r="R195" s="1" t="s">
        <v>25</v>
      </c>
      <c r="S195" s="1" t="s">
        <v>25</v>
      </c>
      <c r="T195" s="1">
        <v>50</v>
      </c>
      <c r="U195" s="1">
        <v>1</v>
      </c>
      <c r="V195" s="1">
        <v>1</v>
      </c>
    </row>
    <row r="196" spans="1:22" x14ac:dyDescent="0.25">
      <c r="A196" s="3">
        <v>44775</v>
      </c>
      <c r="B196" s="4">
        <v>0.70005787037037037</v>
      </c>
      <c r="C196" s="1">
        <v>1499</v>
      </c>
      <c r="D196" s="1">
        <v>13002581</v>
      </c>
      <c r="E196" s="1">
        <v>13</v>
      </c>
      <c r="F196" s="1">
        <v>22589</v>
      </c>
      <c r="G196" s="1" t="s">
        <v>21</v>
      </c>
      <c r="H196" s="1">
        <v>18</v>
      </c>
      <c r="I196" s="1">
        <v>344597</v>
      </c>
      <c r="J196" s="14" t="s">
        <v>646</v>
      </c>
      <c r="K196" s="1" t="s">
        <v>51</v>
      </c>
      <c r="L196" s="1" t="s">
        <v>647</v>
      </c>
      <c r="M196" s="14">
        <v>1</v>
      </c>
      <c r="N196" s="2">
        <v>75.73</v>
      </c>
      <c r="O196" s="16">
        <v>95</v>
      </c>
      <c r="P196" s="14">
        <v>24.37</v>
      </c>
      <c r="Q196" s="14">
        <f t="shared" si="3"/>
        <v>70.63</v>
      </c>
      <c r="R196" s="1">
        <v>925</v>
      </c>
      <c r="S196" s="1">
        <v>200000000492</v>
      </c>
      <c r="T196" s="1">
        <v>29</v>
      </c>
      <c r="U196" s="1">
        <v>1</v>
      </c>
      <c r="V196" s="1">
        <v>1</v>
      </c>
    </row>
    <row r="197" spans="1:22" x14ac:dyDescent="0.25">
      <c r="A197" s="3">
        <v>44778</v>
      </c>
      <c r="B197" s="4">
        <v>0.41304398148148147</v>
      </c>
      <c r="C197" s="1">
        <v>1807</v>
      </c>
      <c r="D197" s="1">
        <v>13002616</v>
      </c>
      <c r="E197" s="1">
        <v>13</v>
      </c>
      <c r="F197" s="1">
        <v>22589</v>
      </c>
      <c r="G197" s="1" t="s">
        <v>21</v>
      </c>
      <c r="H197" s="1">
        <v>15</v>
      </c>
      <c r="I197" s="1">
        <v>344597</v>
      </c>
      <c r="J197" s="14" t="s">
        <v>646</v>
      </c>
      <c r="K197" s="1" t="s">
        <v>51</v>
      </c>
      <c r="L197" s="1" t="s">
        <v>647</v>
      </c>
      <c r="M197" s="14">
        <v>1</v>
      </c>
      <c r="N197" s="2">
        <v>75.73</v>
      </c>
      <c r="O197" s="16">
        <v>95</v>
      </c>
      <c r="P197" s="14">
        <v>4</v>
      </c>
      <c r="Q197" s="14">
        <f t="shared" si="3"/>
        <v>91</v>
      </c>
      <c r="R197" s="1">
        <v>9</v>
      </c>
      <c r="S197" s="1">
        <v>200010001691</v>
      </c>
      <c r="T197" s="1">
        <v>50</v>
      </c>
      <c r="U197" s="1">
        <v>1</v>
      </c>
      <c r="V197" s="1">
        <v>1</v>
      </c>
    </row>
    <row r="198" spans="1:22" x14ac:dyDescent="0.25">
      <c r="A198" s="3">
        <v>44778</v>
      </c>
      <c r="B198" s="4">
        <v>0.76708333333333334</v>
      </c>
      <c r="C198" s="1">
        <v>1888</v>
      </c>
      <c r="D198" s="1">
        <v>13002616</v>
      </c>
      <c r="E198" s="1">
        <v>13</v>
      </c>
      <c r="F198" s="1">
        <v>22589</v>
      </c>
      <c r="G198" s="1" t="s">
        <v>21</v>
      </c>
      <c r="H198" s="1">
        <v>18</v>
      </c>
      <c r="I198" s="1">
        <v>4637</v>
      </c>
      <c r="J198" s="14" t="s">
        <v>1208</v>
      </c>
      <c r="K198" s="1" t="s">
        <v>34</v>
      </c>
      <c r="L198" s="1" t="s">
        <v>30</v>
      </c>
      <c r="M198" s="14">
        <v>1</v>
      </c>
      <c r="N198" s="2">
        <v>545.23</v>
      </c>
      <c r="O198" s="16">
        <v>628</v>
      </c>
      <c r="P198" s="14">
        <v>43</v>
      </c>
      <c r="Q198" s="14">
        <f t="shared" si="3"/>
        <v>585</v>
      </c>
      <c r="R198" s="1">
        <v>9</v>
      </c>
      <c r="S198" s="1">
        <v>200010004411</v>
      </c>
      <c r="T198" s="1">
        <v>50</v>
      </c>
      <c r="U198" s="1">
        <v>1</v>
      </c>
      <c r="V198" s="1">
        <v>2</v>
      </c>
    </row>
    <row r="199" spans="1:22" x14ac:dyDescent="0.25">
      <c r="A199" s="3">
        <v>44776</v>
      </c>
      <c r="B199" s="4">
        <v>0.5118287037037037</v>
      </c>
      <c r="C199" s="1">
        <v>1578</v>
      </c>
      <c r="D199" s="1">
        <v>13002595</v>
      </c>
      <c r="E199" s="1">
        <v>13</v>
      </c>
      <c r="F199" s="1">
        <v>22589</v>
      </c>
      <c r="G199" s="1" t="s">
        <v>21</v>
      </c>
      <c r="H199" s="1">
        <v>15</v>
      </c>
      <c r="I199" s="1">
        <v>52536</v>
      </c>
      <c r="J199" s="14" t="s">
        <v>794</v>
      </c>
      <c r="K199" s="1" t="s">
        <v>29</v>
      </c>
      <c r="L199" s="1" t="s">
        <v>795</v>
      </c>
      <c r="M199" s="14">
        <v>2</v>
      </c>
      <c r="N199" s="2">
        <v>157.02000000000001</v>
      </c>
      <c r="O199" s="16">
        <v>244</v>
      </c>
      <c r="P199" s="14">
        <v>48</v>
      </c>
      <c r="Q199" s="14">
        <f t="shared" si="3"/>
        <v>440</v>
      </c>
      <c r="R199" s="1">
        <v>9</v>
      </c>
      <c r="S199" s="1">
        <v>200010001782</v>
      </c>
      <c r="T199" s="1">
        <v>29</v>
      </c>
      <c r="U199" s="1">
        <v>1</v>
      </c>
      <c r="V199" s="1">
        <v>1</v>
      </c>
    </row>
    <row r="200" spans="1:22" x14ac:dyDescent="0.25">
      <c r="A200" s="3">
        <v>44774</v>
      </c>
      <c r="B200" s="4">
        <v>0.41795138888888889</v>
      </c>
      <c r="C200" s="1">
        <v>1285</v>
      </c>
      <c r="D200" s="1">
        <v>13002561</v>
      </c>
      <c r="E200" s="1">
        <v>13</v>
      </c>
      <c r="F200" s="1">
        <v>22589</v>
      </c>
      <c r="G200" s="1" t="s">
        <v>21</v>
      </c>
      <c r="H200" s="1">
        <v>18</v>
      </c>
      <c r="I200" s="1">
        <v>330172</v>
      </c>
      <c r="J200" s="14" t="s">
        <v>73</v>
      </c>
      <c r="K200" s="1" t="s">
        <v>34</v>
      </c>
      <c r="L200" s="1" t="s">
        <v>74</v>
      </c>
      <c r="M200" s="14">
        <v>1</v>
      </c>
      <c r="N200" s="2">
        <v>23.98</v>
      </c>
      <c r="O200" s="16">
        <v>39</v>
      </c>
      <c r="P200" s="14">
        <v>0</v>
      </c>
      <c r="Q200" s="14">
        <f t="shared" si="3"/>
        <v>39</v>
      </c>
      <c r="R200" s="1" t="s">
        <v>25</v>
      </c>
      <c r="S200" s="1" t="s">
        <v>25</v>
      </c>
      <c r="T200" s="1">
        <v>29</v>
      </c>
      <c r="U200" s="1">
        <v>1</v>
      </c>
      <c r="V200" s="1">
        <v>1</v>
      </c>
    </row>
    <row r="201" spans="1:22" x14ac:dyDescent="0.25">
      <c r="A201" s="3">
        <v>44776</v>
      </c>
      <c r="B201" s="4">
        <v>0.4959027777777778</v>
      </c>
      <c r="C201" s="1">
        <v>1572</v>
      </c>
      <c r="D201" s="1">
        <v>13002595</v>
      </c>
      <c r="E201" s="1">
        <v>13</v>
      </c>
      <c r="F201" s="1">
        <v>22589</v>
      </c>
      <c r="G201" s="1" t="s">
        <v>21</v>
      </c>
      <c r="H201" s="1">
        <v>15</v>
      </c>
      <c r="I201" s="1">
        <v>22872</v>
      </c>
      <c r="J201" s="14" t="s">
        <v>777</v>
      </c>
      <c r="K201" s="1" t="s">
        <v>252</v>
      </c>
      <c r="L201" s="1" t="s">
        <v>74</v>
      </c>
      <c r="M201" s="14">
        <v>1</v>
      </c>
      <c r="N201" s="2">
        <v>21.29</v>
      </c>
      <c r="O201" s="16">
        <v>35</v>
      </c>
      <c r="P201" s="14">
        <v>3</v>
      </c>
      <c r="Q201" s="14">
        <f t="shared" si="3"/>
        <v>32</v>
      </c>
      <c r="R201" s="1">
        <v>9</v>
      </c>
      <c r="S201" s="1">
        <v>200010015452</v>
      </c>
      <c r="T201" s="1">
        <v>29</v>
      </c>
      <c r="U201" s="1">
        <v>1</v>
      </c>
      <c r="V201" s="1">
        <v>1</v>
      </c>
    </row>
    <row r="202" spans="1:22" x14ac:dyDescent="0.25">
      <c r="A202" s="3">
        <v>44775</v>
      </c>
      <c r="B202" s="4">
        <v>0.6083912037037037</v>
      </c>
      <c r="C202" s="1">
        <v>1481</v>
      </c>
      <c r="D202" s="1">
        <v>13002581</v>
      </c>
      <c r="E202" s="1">
        <v>13</v>
      </c>
      <c r="F202" s="1">
        <v>22589</v>
      </c>
      <c r="G202" s="1" t="s">
        <v>21</v>
      </c>
      <c r="H202" s="1">
        <v>15</v>
      </c>
      <c r="I202" s="1">
        <v>58220</v>
      </c>
      <c r="J202" s="14" t="s">
        <v>616</v>
      </c>
      <c r="K202" s="1" t="s">
        <v>51</v>
      </c>
      <c r="L202" s="1" t="s">
        <v>74</v>
      </c>
      <c r="M202" s="14">
        <v>1</v>
      </c>
      <c r="N202" s="2">
        <v>22.28</v>
      </c>
      <c r="O202" s="16">
        <v>37</v>
      </c>
      <c r="P202" s="14">
        <v>0</v>
      </c>
      <c r="Q202" s="14">
        <f t="shared" si="3"/>
        <v>37</v>
      </c>
      <c r="R202" s="1" t="s">
        <v>25</v>
      </c>
      <c r="S202" s="1" t="s">
        <v>25</v>
      </c>
      <c r="T202" s="1">
        <v>29</v>
      </c>
      <c r="U202" s="1">
        <v>1</v>
      </c>
      <c r="V202" s="1">
        <v>1</v>
      </c>
    </row>
    <row r="203" spans="1:22" x14ac:dyDescent="0.25">
      <c r="A203" s="3">
        <v>44776</v>
      </c>
      <c r="B203" s="4">
        <v>0.69839120370370367</v>
      </c>
      <c r="C203" s="1">
        <v>1629</v>
      </c>
      <c r="D203" s="1">
        <v>13002595</v>
      </c>
      <c r="E203" s="1">
        <v>13</v>
      </c>
      <c r="F203" s="1">
        <v>22589</v>
      </c>
      <c r="G203" s="1" t="s">
        <v>21</v>
      </c>
      <c r="H203" s="1">
        <v>18</v>
      </c>
      <c r="I203" s="1">
        <v>85298</v>
      </c>
      <c r="J203" s="14" t="s">
        <v>883</v>
      </c>
      <c r="K203" s="1" t="s">
        <v>58</v>
      </c>
      <c r="L203" s="1" t="s">
        <v>884</v>
      </c>
      <c r="M203" s="14">
        <v>1</v>
      </c>
      <c r="N203" s="2">
        <v>87.3</v>
      </c>
      <c r="O203" s="16">
        <v>138</v>
      </c>
      <c r="P203" s="14">
        <v>0</v>
      </c>
      <c r="Q203" s="14">
        <f t="shared" si="3"/>
        <v>138</v>
      </c>
      <c r="R203" s="1" t="s">
        <v>25</v>
      </c>
      <c r="S203" s="1" t="s">
        <v>25</v>
      </c>
      <c r="T203" s="1">
        <v>29</v>
      </c>
      <c r="U203" s="1">
        <v>1</v>
      </c>
      <c r="V203" s="1">
        <v>1</v>
      </c>
    </row>
    <row r="204" spans="1:22" x14ac:dyDescent="0.25">
      <c r="A204" s="3">
        <v>44775</v>
      </c>
      <c r="B204" s="4">
        <v>0.54039351851851847</v>
      </c>
      <c r="C204" s="1">
        <v>1470</v>
      </c>
      <c r="D204" s="1">
        <v>13002581</v>
      </c>
      <c r="E204" s="1">
        <v>13</v>
      </c>
      <c r="F204" s="1">
        <v>22589</v>
      </c>
      <c r="G204" s="1" t="s">
        <v>21</v>
      </c>
      <c r="H204" s="1">
        <v>18</v>
      </c>
      <c r="I204" s="1">
        <v>314970</v>
      </c>
      <c r="J204" s="14" t="s">
        <v>586</v>
      </c>
      <c r="K204" s="1" t="s">
        <v>61</v>
      </c>
      <c r="L204" s="1" t="s">
        <v>587</v>
      </c>
      <c r="M204" s="14">
        <v>2</v>
      </c>
      <c r="N204" s="2">
        <v>8.58</v>
      </c>
      <c r="O204" s="16">
        <v>14</v>
      </c>
      <c r="P204" s="14">
        <v>2</v>
      </c>
      <c r="Q204" s="14">
        <f t="shared" si="3"/>
        <v>26</v>
      </c>
      <c r="R204" s="1">
        <v>9</v>
      </c>
      <c r="S204" s="1">
        <v>200010017048</v>
      </c>
      <c r="T204" s="1">
        <v>29</v>
      </c>
      <c r="U204" s="1">
        <v>1</v>
      </c>
      <c r="V204" s="1">
        <v>2</v>
      </c>
    </row>
    <row r="205" spans="1:22" x14ac:dyDescent="0.25">
      <c r="A205" s="3">
        <v>44775</v>
      </c>
      <c r="B205" s="4">
        <v>0.71498842592592593</v>
      </c>
      <c r="C205" s="1">
        <v>1502</v>
      </c>
      <c r="D205" s="1">
        <v>13002581</v>
      </c>
      <c r="E205" s="1">
        <v>13</v>
      </c>
      <c r="F205" s="1">
        <v>22589</v>
      </c>
      <c r="G205" s="1" t="s">
        <v>21</v>
      </c>
      <c r="H205" s="1">
        <v>18</v>
      </c>
      <c r="I205" s="1">
        <v>314970</v>
      </c>
      <c r="J205" s="14" t="s">
        <v>586</v>
      </c>
      <c r="K205" s="1" t="s">
        <v>61</v>
      </c>
      <c r="L205" s="1" t="s">
        <v>587</v>
      </c>
      <c r="M205" s="14">
        <v>20</v>
      </c>
      <c r="N205" s="2">
        <v>8.58</v>
      </c>
      <c r="O205" s="16">
        <v>14</v>
      </c>
      <c r="P205" s="14">
        <v>28</v>
      </c>
      <c r="Q205" s="14">
        <f t="shared" si="3"/>
        <v>252</v>
      </c>
      <c r="R205" s="1">
        <v>9</v>
      </c>
      <c r="S205" s="1">
        <v>200010016761</v>
      </c>
      <c r="T205" s="1">
        <v>29</v>
      </c>
      <c r="U205" s="1">
        <v>1</v>
      </c>
      <c r="V205" s="1">
        <v>1</v>
      </c>
    </row>
    <row r="206" spans="1:22" x14ac:dyDescent="0.25">
      <c r="A206" s="3">
        <v>44774</v>
      </c>
      <c r="B206" s="4">
        <v>0.52379629629629632</v>
      </c>
      <c r="C206" s="1">
        <v>1327</v>
      </c>
      <c r="D206" s="1">
        <v>13002561</v>
      </c>
      <c r="E206" s="1">
        <v>13</v>
      </c>
      <c r="F206" s="1">
        <v>22589</v>
      </c>
      <c r="G206" s="1" t="s">
        <v>21</v>
      </c>
      <c r="H206" s="1">
        <v>18</v>
      </c>
      <c r="I206" s="1">
        <v>438721</v>
      </c>
      <c r="J206" s="14" t="s">
        <v>249</v>
      </c>
      <c r="K206" s="1" t="s">
        <v>29</v>
      </c>
      <c r="L206" s="1" t="s">
        <v>49</v>
      </c>
      <c r="M206" s="14">
        <v>1</v>
      </c>
      <c r="N206" s="2">
        <v>26.03</v>
      </c>
      <c r="O206" s="16">
        <v>40</v>
      </c>
      <c r="P206" s="14">
        <v>0</v>
      </c>
      <c r="Q206" s="14">
        <f t="shared" si="3"/>
        <v>40</v>
      </c>
      <c r="R206" s="1" t="s">
        <v>25</v>
      </c>
      <c r="S206" s="1" t="s">
        <v>25</v>
      </c>
      <c r="T206" s="1">
        <v>29</v>
      </c>
      <c r="U206" s="1">
        <v>1</v>
      </c>
      <c r="V206" s="1">
        <v>1</v>
      </c>
    </row>
    <row r="207" spans="1:22" x14ac:dyDescent="0.25">
      <c r="A207" s="3">
        <v>44774</v>
      </c>
      <c r="B207" s="4">
        <v>0.52379629629629632</v>
      </c>
      <c r="C207" s="1">
        <v>1327</v>
      </c>
      <c r="D207" s="1">
        <v>13002561</v>
      </c>
      <c r="E207" s="1">
        <v>13</v>
      </c>
      <c r="F207" s="1">
        <v>22589</v>
      </c>
      <c r="G207" s="1" t="s">
        <v>21</v>
      </c>
      <c r="H207" s="1">
        <v>18</v>
      </c>
      <c r="I207" s="1">
        <v>438721</v>
      </c>
      <c r="J207" s="14" t="s">
        <v>249</v>
      </c>
      <c r="K207" s="1" t="s">
        <v>29</v>
      </c>
      <c r="L207" s="1" t="s">
        <v>49</v>
      </c>
      <c r="M207" s="14">
        <v>1</v>
      </c>
      <c r="N207" s="2">
        <v>26.03</v>
      </c>
      <c r="O207" s="16">
        <v>40</v>
      </c>
      <c r="P207" s="14">
        <v>0</v>
      </c>
      <c r="Q207" s="14">
        <f t="shared" si="3"/>
        <v>40</v>
      </c>
      <c r="R207" s="1" t="s">
        <v>25</v>
      </c>
      <c r="S207" s="1" t="s">
        <v>25</v>
      </c>
      <c r="T207" s="1">
        <v>29</v>
      </c>
      <c r="U207" s="1">
        <v>1</v>
      </c>
      <c r="V207" s="1">
        <v>2</v>
      </c>
    </row>
    <row r="208" spans="1:22" x14ac:dyDescent="0.25">
      <c r="A208" s="3">
        <v>44777</v>
      </c>
      <c r="B208" s="4">
        <v>0.52497685185185183</v>
      </c>
      <c r="C208" s="1">
        <v>1702</v>
      </c>
      <c r="D208" s="1">
        <v>13002606</v>
      </c>
      <c r="E208" s="1">
        <v>13</v>
      </c>
      <c r="F208" s="1">
        <v>22589</v>
      </c>
      <c r="G208" s="1" t="s">
        <v>21</v>
      </c>
      <c r="H208" s="1">
        <v>15</v>
      </c>
      <c r="I208" s="1">
        <v>18118</v>
      </c>
      <c r="J208" s="14" t="s">
        <v>984</v>
      </c>
      <c r="K208" s="1" t="s">
        <v>117</v>
      </c>
      <c r="L208" s="1" t="s">
        <v>985</v>
      </c>
      <c r="M208" s="14">
        <v>1</v>
      </c>
      <c r="N208" s="2">
        <v>102.28</v>
      </c>
      <c r="O208" s="16">
        <v>141</v>
      </c>
      <c r="P208" s="14">
        <v>9</v>
      </c>
      <c r="Q208" s="14">
        <f t="shared" si="3"/>
        <v>132</v>
      </c>
      <c r="R208" s="1">
        <v>9</v>
      </c>
      <c r="S208" s="1">
        <v>200010006024</v>
      </c>
      <c r="T208" s="1">
        <v>50</v>
      </c>
      <c r="U208" s="1">
        <v>1</v>
      </c>
      <c r="V208" s="1">
        <v>1</v>
      </c>
    </row>
    <row r="209" spans="1:22" x14ac:dyDescent="0.25">
      <c r="A209" s="3">
        <v>44778</v>
      </c>
      <c r="B209" s="4">
        <v>0.41304398148148147</v>
      </c>
      <c r="C209" s="1">
        <v>1807</v>
      </c>
      <c r="D209" s="1">
        <v>13002616</v>
      </c>
      <c r="E209" s="1">
        <v>13</v>
      </c>
      <c r="F209" s="1">
        <v>22589</v>
      </c>
      <c r="G209" s="1" t="s">
        <v>21</v>
      </c>
      <c r="H209" s="1">
        <v>15</v>
      </c>
      <c r="I209" s="1">
        <v>18118</v>
      </c>
      <c r="J209" s="14" t="s">
        <v>984</v>
      </c>
      <c r="K209" s="1" t="s">
        <v>117</v>
      </c>
      <c r="L209" s="1" t="s">
        <v>985</v>
      </c>
      <c r="M209" s="14">
        <v>1</v>
      </c>
      <c r="N209" s="2">
        <v>102.28</v>
      </c>
      <c r="O209" s="16">
        <v>141</v>
      </c>
      <c r="P209" s="14">
        <v>9</v>
      </c>
      <c r="Q209" s="14">
        <f t="shared" si="3"/>
        <v>132</v>
      </c>
      <c r="R209" s="1">
        <v>9</v>
      </c>
      <c r="S209" s="1">
        <v>200010001691</v>
      </c>
      <c r="T209" s="1">
        <v>50</v>
      </c>
      <c r="U209" s="1">
        <v>1</v>
      </c>
      <c r="V209" s="1">
        <v>2</v>
      </c>
    </row>
    <row r="210" spans="1:22" x14ac:dyDescent="0.25">
      <c r="A210" s="3">
        <v>44774</v>
      </c>
      <c r="B210" s="4">
        <v>0.5113078703703704</v>
      </c>
      <c r="C210" s="1">
        <v>1323</v>
      </c>
      <c r="D210" s="1">
        <v>13002561</v>
      </c>
      <c r="E210" s="1">
        <v>13</v>
      </c>
      <c r="F210" s="1">
        <v>22589</v>
      </c>
      <c r="G210" s="1" t="s">
        <v>21</v>
      </c>
      <c r="H210" s="1">
        <v>18</v>
      </c>
      <c r="I210" s="1">
        <v>506913</v>
      </c>
      <c r="J210" s="14" t="s">
        <v>234</v>
      </c>
      <c r="K210" s="1" t="s">
        <v>23</v>
      </c>
      <c r="L210" s="1" t="s">
        <v>97</v>
      </c>
      <c r="M210" s="14">
        <v>1</v>
      </c>
      <c r="N210" s="2">
        <v>10.46</v>
      </c>
      <c r="O210" s="16">
        <v>16</v>
      </c>
      <c r="P210" s="14">
        <v>1</v>
      </c>
      <c r="Q210" s="14">
        <f t="shared" si="3"/>
        <v>15</v>
      </c>
      <c r="R210" s="1">
        <v>9</v>
      </c>
      <c r="S210" s="1">
        <v>200010015470</v>
      </c>
      <c r="T210" s="1">
        <v>29</v>
      </c>
      <c r="U210" s="1">
        <v>1</v>
      </c>
      <c r="V210" s="1">
        <v>1</v>
      </c>
    </row>
    <row r="211" spans="1:22" x14ac:dyDescent="0.25">
      <c r="A211" s="3">
        <v>44775</v>
      </c>
      <c r="B211" s="4">
        <v>0.74704861111111109</v>
      </c>
      <c r="C211" s="1">
        <v>1519</v>
      </c>
      <c r="D211" s="1">
        <v>13002581</v>
      </c>
      <c r="E211" s="1">
        <v>13</v>
      </c>
      <c r="F211" s="1">
        <v>22589</v>
      </c>
      <c r="G211" s="1" t="s">
        <v>21</v>
      </c>
      <c r="H211" s="1">
        <v>18</v>
      </c>
      <c r="I211" s="1">
        <v>446309</v>
      </c>
      <c r="J211" s="14" t="s">
        <v>674</v>
      </c>
      <c r="K211" s="1" t="s">
        <v>51</v>
      </c>
      <c r="L211" s="1" t="s">
        <v>97</v>
      </c>
      <c r="M211" s="14">
        <v>1</v>
      </c>
      <c r="N211" s="2">
        <v>16.3</v>
      </c>
      <c r="O211" s="16">
        <v>25</v>
      </c>
      <c r="P211" s="14">
        <v>0</v>
      </c>
      <c r="Q211" s="14">
        <f t="shared" si="3"/>
        <v>25</v>
      </c>
      <c r="R211" s="1" t="s">
        <v>25</v>
      </c>
      <c r="S211" s="1" t="s">
        <v>25</v>
      </c>
      <c r="T211" s="1">
        <v>29</v>
      </c>
      <c r="U211" s="1">
        <v>1</v>
      </c>
      <c r="V211" s="1">
        <v>1</v>
      </c>
    </row>
    <row r="212" spans="1:22" x14ac:dyDescent="0.25">
      <c r="A212" s="3">
        <v>44776</v>
      </c>
      <c r="B212" s="4">
        <v>0.81172453703703706</v>
      </c>
      <c r="C212" s="1">
        <v>1656</v>
      </c>
      <c r="D212" s="1">
        <v>13002595</v>
      </c>
      <c r="E212" s="1">
        <v>13</v>
      </c>
      <c r="F212" s="1">
        <v>22589</v>
      </c>
      <c r="G212" s="1" t="s">
        <v>21</v>
      </c>
      <c r="H212" s="1">
        <v>15</v>
      </c>
      <c r="I212" s="1">
        <v>446309</v>
      </c>
      <c r="J212" s="14" t="s">
        <v>674</v>
      </c>
      <c r="K212" s="1" t="s">
        <v>51</v>
      </c>
      <c r="L212" s="1" t="s">
        <v>97</v>
      </c>
      <c r="M212" s="14">
        <v>1</v>
      </c>
      <c r="N212" s="2">
        <v>16.3</v>
      </c>
      <c r="O212" s="16">
        <v>25</v>
      </c>
      <c r="P212" s="14">
        <v>0</v>
      </c>
      <c r="Q212" s="14">
        <f t="shared" si="3"/>
        <v>25</v>
      </c>
      <c r="R212" s="1" t="s">
        <v>25</v>
      </c>
      <c r="S212" s="1" t="s">
        <v>25</v>
      </c>
      <c r="T212" s="1">
        <v>29</v>
      </c>
      <c r="U212" s="1">
        <v>1</v>
      </c>
      <c r="V212" s="1">
        <v>1</v>
      </c>
    </row>
    <row r="213" spans="1:22" x14ac:dyDescent="0.25">
      <c r="A213" s="3">
        <v>44776</v>
      </c>
      <c r="B213" s="4">
        <v>0.81172453703703706</v>
      </c>
      <c r="C213" s="1">
        <v>1656</v>
      </c>
      <c r="D213" s="1">
        <v>13002595</v>
      </c>
      <c r="E213" s="1">
        <v>13</v>
      </c>
      <c r="F213" s="1">
        <v>22589</v>
      </c>
      <c r="G213" s="1" t="s">
        <v>21</v>
      </c>
      <c r="H213" s="1">
        <v>15</v>
      </c>
      <c r="I213" s="1">
        <v>446309</v>
      </c>
      <c r="J213" s="14" t="s">
        <v>674</v>
      </c>
      <c r="K213" s="1" t="s">
        <v>51</v>
      </c>
      <c r="L213" s="1" t="s">
        <v>97</v>
      </c>
      <c r="M213" s="14">
        <v>1</v>
      </c>
      <c r="N213" s="2">
        <v>16.3</v>
      </c>
      <c r="O213" s="16">
        <v>25</v>
      </c>
      <c r="P213" s="14">
        <v>0</v>
      </c>
      <c r="Q213" s="14">
        <f t="shared" si="3"/>
        <v>25</v>
      </c>
      <c r="R213" s="1" t="s">
        <v>25</v>
      </c>
      <c r="S213" s="1" t="s">
        <v>25</v>
      </c>
      <c r="T213" s="1">
        <v>29</v>
      </c>
      <c r="U213" s="1">
        <v>1</v>
      </c>
      <c r="V213" s="1">
        <v>2</v>
      </c>
    </row>
    <row r="214" spans="1:22" x14ac:dyDescent="0.25">
      <c r="A214" s="3">
        <v>44778</v>
      </c>
      <c r="B214" s="4">
        <v>0.39240740740740743</v>
      </c>
      <c r="C214" s="1">
        <v>1796</v>
      </c>
      <c r="D214" s="1">
        <v>13002616</v>
      </c>
      <c r="E214" s="1">
        <v>13</v>
      </c>
      <c r="F214" s="1">
        <v>22589</v>
      </c>
      <c r="G214" s="1" t="s">
        <v>21</v>
      </c>
      <c r="H214" s="1">
        <v>18</v>
      </c>
      <c r="I214" s="1">
        <v>446309</v>
      </c>
      <c r="J214" s="14" t="s">
        <v>674</v>
      </c>
      <c r="K214" s="1" t="s">
        <v>51</v>
      </c>
      <c r="L214" s="1" t="s">
        <v>97</v>
      </c>
      <c r="M214" s="14">
        <v>1</v>
      </c>
      <c r="N214" s="2">
        <v>16.3</v>
      </c>
      <c r="O214" s="16">
        <v>25</v>
      </c>
      <c r="P214" s="14">
        <v>1</v>
      </c>
      <c r="Q214" s="14">
        <f t="shared" si="3"/>
        <v>24</v>
      </c>
      <c r="R214" s="1">
        <v>9</v>
      </c>
      <c r="S214" s="1">
        <v>200010009884</v>
      </c>
      <c r="T214" s="1">
        <v>50</v>
      </c>
      <c r="U214" s="1">
        <v>1</v>
      </c>
      <c r="V214" s="1">
        <v>1</v>
      </c>
    </row>
    <row r="215" spans="1:22" x14ac:dyDescent="0.25">
      <c r="A215" s="3">
        <v>44778</v>
      </c>
      <c r="B215" s="4">
        <v>0.39240740740740743</v>
      </c>
      <c r="C215" s="1">
        <v>1796</v>
      </c>
      <c r="D215" s="1">
        <v>13002616</v>
      </c>
      <c r="E215" s="1">
        <v>13</v>
      </c>
      <c r="F215" s="1">
        <v>22589</v>
      </c>
      <c r="G215" s="1" t="s">
        <v>21</v>
      </c>
      <c r="H215" s="1">
        <v>18</v>
      </c>
      <c r="I215" s="1">
        <v>446309</v>
      </c>
      <c r="J215" s="14" t="s">
        <v>674</v>
      </c>
      <c r="K215" s="1" t="s">
        <v>51</v>
      </c>
      <c r="L215" s="1" t="s">
        <v>97</v>
      </c>
      <c r="M215" s="14">
        <v>1</v>
      </c>
      <c r="N215" s="2">
        <v>18.61</v>
      </c>
      <c r="O215" s="16">
        <v>29</v>
      </c>
      <c r="P215" s="14">
        <v>2</v>
      </c>
      <c r="Q215" s="14">
        <f t="shared" si="3"/>
        <v>27</v>
      </c>
      <c r="R215" s="1">
        <v>9</v>
      </c>
      <c r="S215" s="1">
        <v>200010009884</v>
      </c>
      <c r="T215" s="1">
        <v>50</v>
      </c>
      <c r="U215" s="1">
        <v>1</v>
      </c>
      <c r="V215" s="1">
        <v>2</v>
      </c>
    </row>
    <row r="216" spans="1:22" x14ac:dyDescent="0.25">
      <c r="A216" s="3">
        <v>44777</v>
      </c>
      <c r="B216" s="4">
        <v>0.75312500000000004</v>
      </c>
      <c r="C216" s="1">
        <v>1764</v>
      </c>
      <c r="D216" s="1">
        <v>13002606</v>
      </c>
      <c r="E216" s="1">
        <v>13</v>
      </c>
      <c r="F216" s="1">
        <v>22589</v>
      </c>
      <c r="G216" s="1" t="s">
        <v>21</v>
      </c>
      <c r="H216" s="1">
        <v>15</v>
      </c>
      <c r="I216" s="1">
        <v>493177</v>
      </c>
      <c r="J216" s="14" t="s">
        <v>1060</v>
      </c>
      <c r="K216" s="1" t="s">
        <v>29</v>
      </c>
      <c r="L216" s="1" t="s">
        <v>341</v>
      </c>
      <c r="M216" s="14">
        <v>1</v>
      </c>
      <c r="N216" s="2">
        <v>593.22</v>
      </c>
      <c r="O216" s="16">
        <v>766</v>
      </c>
      <c r="P216" s="14">
        <v>53</v>
      </c>
      <c r="Q216" s="14">
        <f t="shared" si="3"/>
        <v>713</v>
      </c>
      <c r="R216" s="1">
        <v>9</v>
      </c>
      <c r="S216" s="1">
        <v>200010026840</v>
      </c>
      <c r="T216" s="1">
        <v>50</v>
      </c>
      <c r="U216" s="1">
        <v>1</v>
      </c>
      <c r="V216" s="1">
        <v>1</v>
      </c>
    </row>
    <row r="217" spans="1:22" x14ac:dyDescent="0.25">
      <c r="A217" s="3">
        <v>44777</v>
      </c>
      <c r="B217" s="4">
        <v>0.43222222222222223</v>
      </c>
      <c r="C217" s="1">
        <v>1670</v>
      </c>
      <c r="D217" s="1">
        <v>13002606</v>
      </c>
      <c r="E217" s="1">
        <v>13</v>
      </c>
      <c r="F217" s="1">
        <v>22589</v>
      </c>
      <c r="G217" s="1" t="s">
        <v>21</v>
      </c>
      <c r="H217" s="1">
        <v>18</v>
      </c>
      <c r="I217" s="1">
        <v>245</v>
      </c>
      <c r="J217" s="14" t="s">
        <v>938</v>
      </c>
      <c r="K217" s="1" t="s">
        <v>23</v>
      </c>
      <c r="L217" s="1" t="s">
        <v>939</v>
      </c>
      <c r="M217" s="14">
        <v>1</v>
      </c>
      <c r="N217" s="2">
        <v>123.97</v>
      </c>
      <c r="O217" s="16">
        <v>170</v>
      </c>
      <c r="P217" s="14">
        <v>11</v>
      </c>
      <c r="Q217" s="14">
        <f t="shared" si="3"/>
        <v>159</v>
      </c>
      <c r="R217" s="1">
        <v>9</v>
      </c>
      <c r="S217" s="1">
        <v>200010020276</v>
      </c>
      <c r="T217" s="1">
        <v>50</v>
      </c>
      <c r="U217" s="1">
        <v>1</v>
      </c>
      <c r="V217" s="1">
        <v>1</v>
      </c>
    </row>
    <row r="218" spans="1:22" x14ac:dyDescent="0.25">
      <c r="A218" s="3">
        <v>44776</v>
      </c>
      <c r="B218" s="4">
        <v>0.5125925925925926</v>
      </c>
      <c r="C218" s="1">
        <v>1579</v>
      </c>
      <c r="D218" s="1">
        <v>13002595</v>
      </c>
      <c r="E218" s="1">
        <v>13</v>
      </c>
      <c r="F218" s="1">
        <v>22589</v>
      </c>
      <c r="G218" s="1" t="s">
        <v>21</v>
      </c>
      <c r="H218" s="1">
        <v>15</v>
      </c>
      <c r="I218" s="1">
        <v>362139</v>
      </c>
      <c r="J218" s="14" t="s">
        <v>800</v>
      </c>
      <c r="K218" s="1" t="s">
        <v>141</v>
      </c>
      <c r="L218" s="1" t="s">
        <v>274</v>
      </c>
      <c r="M218" s="14">
        <v>1</v>
      </c>
      <c r="N218" s="2">
        <v>36.4</v>
      </c>
      <c r="O218" s="16">
        <v>56</v>
      </c>
      <c r="P218" s="14">
        <v>3</v>
      </c>
      <c r="Q218" s="14">
        <f t="shared" si="3"/>
        <v>53</v>
      </c>
      <c r="R218" s="1">
        <v>9</v>
      </c>
      <c r="S218" s="1">
        <v>200010022009</v>
      </c>
      <c r="T218" s="1">
        <v>29</v>
      </c>
      <c r="U218" s="1">
        <v>1</v>
      </c>
      <c r="V218" s="1">
        <v>1</v>
      </c>
    </row>
    <row r="219" spans="1:22" x14ac:dyDescent="0.25">
      <c r="A219" s="3">
        <v>44776</v>
      </c>
      <c r="B219" s="4">
        <v>0.5125925925925926</v>
      </c>
      <c r="C219" s="1">
        <v>1579</v>
      </c>
      <c r="D219" s="1">
        <v>13002595</v>
      </c>
      <c r="E219" s="1">
        <v>13</v>
      </c>
      <c r="F219" s="1">
        <v>22589</v>
      </c>
      <c r="G219" s="1" t="s">
        <v>21</v>
      </c>
      <c r="H219" s="1">
        <v>15</v>
      </c>
      <c r="I219" s="1">
        <v>362139</v>
      </c>
      <c r="J219" s="14" t="s">
        <v>800</v>
      </c>
      <c r="K219" s="1" t="s">
        <v>45</v>
      </c>
      <c r="L219" s="1" t="s">
        <v>274</v>
      </c>
      <c r="M219" s="14">
        <v>1</v>
      </c>
      <c r="N219" s="2">
        <v>32.82</v>
      </c>
      <c r="O219" s="16">
        <v>50</v>
      </c>
      <c r="P219" s="14">
        <v>3</v>
      </c>
      <c r="Q219" s="14">
        <f t="shared" si="3"/>
        <v>47</v>
      </c>
      <c r="R219" s="1">
        <v>9</v>
      </c>
      <c r="S219" s="1">
        <v>200010022009</v>
      </c>
      <c r="T219" s="1">
        <v>29</v>
      </c>
      <c r="U219" s="1">
        <v>1</v>
      </c>
      <c r="V219" s="1">
        <v>2</v>
      </c>
    </row>
    <row r="220" spans="1:22" x14ac:dyDescent="0.25">
      <c r="A220" s="3">
        <v>44778</v>
      </c>
      <c r="B220" s="4">
        <v>0.54952546296296301</v>
      </c>
      <c r="C220" s="1">
        <v>1842</v>
      </c>
      <c r="D220" s="1">
        <v>13002616</v>
      </c>
      <c r="E220" s="1">
        <v>13</v>
      </c>
      <c r="F220" s="1">
        <v>22589</v>
      </c>
      <c r="G220" s="1" t="s">
        <v>21</v>
      </c>
      <c r="H220" s="1">
        <v>15</v>
      </c>
      <c r="I220" s="1">
        <v>82886</v>
      </c>
      <c r="J220" s="14" t="s">
        <v>1146</v>
      </c>
      <c r="K220" s="1" t="s">
        <v>29</v>
      </c>
      <c r="L220" s="1" t="s">
        <v>118</v>
      </c>
      <c r="M220" s="14">
        <v>1</v>
      </c>
      <c r="N220" s="2">
        <v>95.76</v>
      </c>
      <c r="O220" s="16">
        <v>136</v>
      </c>
      <c r="P220" s="14">
        <v>9</v>
      </c>
      <c r="Q220" s="14">
        <f t="shared" si="3"/>
        <v>127</v>
      </c>
      <c r="R220" s="1">
        <v>9</v>
      </c>
      <c r="S220" s="1">
        <v>200010006086</v>
      </c>
      <c r="T220" s="1">
        <v>50</v>
      </c>
      <c r="U220" s="1">
        <v>1</v>
      </c>
      <c r="V220" s="1">
        <v>1</v>
      </c>
    </row>
    <row r="221" spans="1:22" x14ac:dyDescent="0.25">
      <c r="A221" s="3">
        <v>44776</v>
      </c>
      <c r="B221" s="4">
        <v>0.5118287037037037</v>
      </c>
      <c r="C221" s="1">
        <v>1578</v>
      </c>
      <c r="D221" s="1">
        <v>13002595</v>
      </c>
      <c r="E221" s="1">
        <v>13</v>
      </c>
      <c r="F221" s="1">
        <v>22589</v>
      </c>
      <c r="G221" s="1" t="s">
        <v>21</v>
      </c>
      <c r="H221" s="1">
        <v>15</v>
      </c>
      <c r="I221" s="1">
        <v>255</v>
      </c>
      <c r="J221" s="14" t="s">
        <v>796</v>
      </c>
      <c r="K221" s="1" t="s">
        <v>23</v>
      </c>
      <c r="L221" s="1" t="s">
        <v>797</v>
      </c>
      <c r="M221" s="14">
        <v>1</v>
      </c>
      <c r="N221" s="2">
        <v>510.74</v>
      </c>
      <c r="O221" s="16">
        <v>659</v>
      </c>
      <c r="P221" s="14">
        <v>46</v>
      </c>
      <c r="Q221" s="14">
        <f t="shared" si="3"/>
        <v>613</v>
      </c>
      <c r="R221" s="1">
        <v>9</v>
      </c>
      <c r="S221" s="1">
        <v>200010001782</v>
      </c>
      <c r="T221" s="1">
        <v>29</v>
      </c>
      <c r="U221" s="1">
        <v>1</v>
      </c>
      <c r="V221" s="1">
        <v>2</v>
      </c>
    </row>
    <row r="222" spans="1:22" x14ac:dyDescent="0.25">
      <c r="A222" s="3">
        <v>44774</v>
      </c>
      <c r="B222" s="4">
        <v>0.69028935185185181</v>
      </c>
      <c r="C222" s="1">
        <v>1374</v>
      </c>
      <c r="D222" s="1">
        <v>13002561</v>
      </c>
      <c r="E222" s="1">
        <v>13</v>
      </c>
      <c r="F222" s="1">
        <v>22589</v>
      </c>
      <c r="G222" s="1" t="s">
        <v>21</v>
      </c>
      <c r="H222" s="1">
        <v>18</v>
      </c>
      <c r="I222" s="1">
        <v>276470</v>
      </c>
      <c r="J222" s="14" t="s">
        <v>374</v>
      </c>
      <c r="K222" s="1" t="s">
        <v>61</v>
      </c>
      <c r="L222" s="1" t="s">
        <v>248</v>
      </c>
      <c r="M222" s="14">
        <v>1</v>
      </c>
      <c r="N222" s="2">
        <v>127.27</v>
      </c>
      <c r="O222" s="16">
        <v>185</v>
      </c>
      <c r="P222" s="14">
        <v>12</v>
      </c>
      <c r="Q222" s="14">
        <f t="shared" si="3"/>
        <v>173</v>
      </c>
      <c r="R222" s="1">
        <v>9</v>
      </c>
      <c r="S222" s="1">
        <v>200010015179</v>
      </c>
      <c r="T222" s="1">
        <v>29</v>
      </c>
      <c r="U222" s="1">
        <v>1</v>
      </c>
      <c r="V222" s="1">
        <v>2</v>
      </c>
    </row>
    <row r="223" spans="1:22" x14ac:dyDescent="0.25">
      <c r="A223" s="3">
        <v>44777</v>
      </c>
      <c r="B223" s="4">
        <v>0.4934722222222222</v>
      </c>
      <c r="C223" s="1">
        <v>1688</v>
      </c>
      <c r="D223" s="1">
        <v>13002606</v>
      </c>
      <c r="E223" s="1">
        <v>13</v>
      </c>
      <c r="F223" s="1">
        <v>22589</v>
      </c>
      <c r="G223" s="1" t="s">
        <v>21</v>
      </c>
      <c r="H223" s="1">
        <v>15</v>
      </c>
      <c r="I223" s="1">
        <v>435123</v>
      </c>
      <c r="J223" s="14" t="s">
        <v>966</v>
      </c>
      <c r="K223" s="1" t="s">
        <v>51</v>
      </c>
      <c r="L223" s="1" t="s">
        <v>228</v>
      </c>
      <c r="M223" s="14">
        <v>1</v>
      </c>
      <c r="N223" s="2">
        <v>24.04</v>
      </c>
      <c r="O223" s="16">
        <v>37</v>
      </c>
      <c r="P223" s="14">
        <v>2</v>
      </c>
      <c r="Q223" s="14">
        <f t="shared" si="3"/>
        <v>35</v>
      </c>
      <c r="R223" s="1">
        <v>9</v>
      </c>
      <c r="S223" s="1">
        <v>200010006867</v>
      </c>
      <c r="T223" s="1">
        <v>50</v>
      </c>
      <c r="U223" s="1">
        <v>1</v>
      </c>
      <c r="V223" s="1">
        <v>2</v>
      </c>
    </row>
    <row r="224" spans="1:22" x14ac:dyDescent="0.25">
      <c r="A224" s="3">
        <v>44778</v>
      </c>
      <c r="B224" s="4">
        <v>0.60245370370370366</v>
      </c>
      <c r="C224" s="1">
        <v>1855</v>
      </c>
      <c r="D224" s="1">
        <v>13002616</v>
      </c>
      <c r="E224" s="1">
        <v>13</v>
      </c>
      <c r="F224" s="1">
        <v>22589</v>
      </c>
      <c r="G224" s="1" t="s">
        <v>21</v>
      </c>
      <c r="H224" s="1">
        <v>18</v>
      </c>
      <c r="I224" s="1">
        <v>435123</v>
      </c>
      <c r="J224" s="14" t="s">
        <v>966</v>
      </c>
      <c r="K224" s="1" t="s">
        <v>51</v>
      </c>
      <c r="L224" s="1" t="s">
        <v>228</v>
      </c>
      <c r="M224" s="14">
        <v>1</v>
      </c>
      <c r="N224" s="2">
        <v>24.04</v>
      </c>
      <c r="O224" s="16">
        <v>37</v>
      </c>
      <c r="P224" s="14">
        <v>0</v>
      </c>
      <c r="Q224" s="14">
        <f t="shared" si="3"/>
        <v>37</v>
      </c>
      <c r="R224" s="1" t="s">
        <v>25</v>
      </c>
      <c r="S224" s="1" t="s">
        <v>25</v>
      </c>
      <c r="T224" s="1">
        <v>50</v>
      </c>
      <c r="U224" s="1">
        <v>1</v>
      </c>
      <c r="V224" s="1">
        <v>1</v>
      </c>
    </row>
    <row r="225" spans="1:22" x14ac:dyDescent="0.25">
      <c r="A225" s="3">
        <v>44774</v>
      </c>
      <c r="B225" s="4">
        <v>0.59075231481481483</v>
      </c>
      <c r="C225" s="1">
        <v>1353</v>
      </c>
      <c r="D225" s="1">
        <v>13002561</v>
      </c>
      <c r="E225" s="1">
        <v>13</v>
      </c>
      <c r="F225" s="1">
        <v>22589</v>
      </c>
      <c r="G225" s="1" t="s">
        <v>21</v>
      </c>
      <c r="H225" s="1">
        <v>18</v>
      </c>
      <c r="I225" s="1">
        <v>485337</v>
      </c>
      <c r="J225" s="14" t="s">
        <v>325</v>
      </c>
      <c r="K225" s="1" t="s">
        <v>141</v>
      </c>
      <c r="L225" s="1" t="s">
        <v>326</v>
      </c>
      <c r="M225" s="14">
        <v>1</v>
      </c>
      <c r="N225" s="2">
        <v>49.39</v>
      </c>
      <c r="O225" s="16">
        <v>76</v>
      </c>
      <c r="P225" s="14">
        <v>5</v>
      </c>
      <c r="Q225" s="14">
        <f t="shared" si="3"/>
        <v>71</v>
      </c>
      <c r="R225" s="1">
        <v>9</v>
      </c>
      <c r="S225" s="1">
        <v>200010021962</v>
      </c>
      <c r="T225" s="1">
        <v>29</v>
      </c>
      <c r="U225" s="1">
        <v>1</v>
      </c>
      <c r="V225" s="1">
        <v>1</v>
      </c>
    </row>
    <row r="226" spans="1:22" x14ac:dyDescent="0.25">
      <c r="A226" s="3">
        <v>44774</v>
      </c>
      <c r="B226" s="4">
        <v>0.59075231481481483</v>
      </c>
      <c r="C226" s="1">
        <v>1353</v>
      </c>
      <c r="D226" s="1">
        <v>13002561</v>
      </c>
      <c r="E226" s="1">
        <v>13</v>
      </c>
      <c r="F226" s="1">
        <v>22589</v>
      </c>
      <c r="G226" s="1" t="s">
        <v>21</v>
      </c>
      <c r="H226" s="1">
        <v>18</v>
      </c>
      <c r="I226" s="1">
        <v>485337</v>
      </c>
      <c r="J226" s="14" t="s">
        <v>325</v>
      </c>
      <c r="K226" s="1" t="s">
        <v>141</v>
      </c>
      <c r="L226" s="1" t="s">
        <v>326</v>
      </c>
      <c r="M226" s="14">
        <v>1</v>
      </c>
      <c r="N226" s="2">
        <v>49.39</v>
      </c>
      <c r="O226" s="16">
        <v>76</v>
      </c>
      <c r="P226" s="14">
        <v>5</v>
      </c>
      <c r="Q226" s="14">
        <f t="shared" si="3"/>
        <v>71</v>
      </c>
      <c r="R226" s="1">
        <v>9</v>
      </c>
      <c r="S226" s="1">
        <v>200010021962</v>
      </c>
      <c r="T226" s="1">
        <v>29</v>
      </c>
      <c r="U226" s="1">
        <v>1</v>
      </c>
      <c r="V226" s="1">
        <v>2</v>
      </c>
    </row>
    <row r="227" spans="1:22" x14ac:dyDescent="0.25">
      <c r="A227" s="3">
        <v>44778</v>
      </c>
      <c r="B227" s="4">
        <v>0.61123842592592592</v>
      </c>
      <c r="C227" s="1">
        <v>1857</v>
      </c>
      <c r="D227" s="1">
        <v>13002616</v>
      </c>
      <c r="E227" s="1">
        <v>13</v>
      </c>
      <c r="F227" s="1">
        <v>22589</v>
      </c>
      <c r="G227" s="1" t="s">
        <v>21</v>
      </c>
      <c r="H227" s="1">
        <v>15</v>
      </c>
      <c r="I227" s="1">
        <v>350543</v>
      </c>
      <c r="J227" s="14" t="s">
        <v>1178</v>
      </c>
      <c r="K227" s="1" t="s">
        <v>29</v>
      </c>
      <c r="L227" s="1" t="s">
        <v>1179</v>
      </c>
      <c r="M227" s="14">
        <v>1</v>
      </c>
      <c r="N227" s="2">
        <v>158.9</v>
      </c>
      <c r="O227" s="16">
        <v>218</v>
      </c>
      <c r="P227" s="14">
        <v>15</v>
      </c>
      <c r="Q227" s="14">
        <f t="shared" si="3"/>
        <v>203</v>
      </c>
      <c r="R227" s="1">
        <v>9</v>
      </c>
      <c r="S227" s="1">
        <v>200010009724</v>
      </c>
      <c r="T227" s="1">
        <v>50</v>
      </c>
      <c r="U227" s="1">
        <v>1</v>
      </c>
      <c r="V227" s="1">
        <v>1</v>
      </c>
    </row>
    <row r="228" spans="1:22" x14ac:dyDescent="0.25">
      <c r="A228" s="3">
        <v>44774</v>
      </c>
      <c r="B228" s="4">
        <v>0.49626157407407406</v>
      </c>
      <c r="C228" s="1">
        <v>1315</v>
      </c>
      <c r="D228" s="1">
        <v>13002561</v>
      </c>
      <c r="E228" s="1">
        <v>13</v>
      </c>
      <c r="F228" s="1">
        <v>22589</v>
      </c>
      <c r="G228" s="1" t="s">
        <v>21</v>
      </c>
      <c r="H228" s="1">
        <v>15</v>
      </c>
      <c r="I228" s="1">
        <v>341505</v>
      </c>
      <c r="J228" s="14" t="s">
        <v>199</v>
      </c>
      <c r="K228" s="1" t="s">
        <v>29</v>
      </c>
      <c r="L228" s="1" t="s">
        <v>200</v>
      </c>
      <c r="M228" s="14">
        <v>1</v>
      </c>
      <c r="N228" s="2">
        <v>46</v>
      </c>
      <c r="O228" s="16">
        <v>70</v>
      </c>
      <c r="P228" s="14">
        <v>4</v>
      </c>
      <c r="Q228" s="14">
        <f t="shared" si="3"/>
        <v>66</v>
      </c>
      <c r="R228" s="1">
        <v>9</v>
      </c>
      <c r="S228" s="1">
        <v>200010013159</v>
      </c>
      <c r="T228" s="1">
        <v>29</v>
      </c>
      <c r="U228" s="1">
        <v>1</v>
      </c>
      <c r="V228" s="1">
        <v>1</v>
      </c>
    </row>
    <row r="229" spans="1:22" x14ac:dyDescent="0.25">
      <c r="A229" s="3">
        <v>44774</v>
      </c>
      <c r="B229" s="4">
        <v>0.69028935185185181</v>
      </c>
      <c r="C229" s="1">
        <v>1374</v>
      </c>
      <c r="D229" s="1">
        <v>13002561</v>
      </c>
      <c r="E229" s="1">
        <v>13</v>
      </c>
      <c r="F229" s="1">
        <v>22589</v>
      </c>
      <c r="G229" s="1" t="s">
        <v>21</v>
      </c>
      <c r="H229" s="1">
        <v>18</v>
      </c>
      <c r="I229" s="1">
        <v>341505</v>
      </c>
      <c r="J229" s="14" t="s">
        <v>199</v>
      </c>
      <c r="K229" s="1" t="s">
        <v>29</v>
      </c>
      <c r="L229" s="1" t="s">
        <v>200</v>
      </c>
      <c r="M229" s="14">
        <v>1</v>
      </c>
      <c r="N229" s="2">
        <v>46</v>
      </c>
      <c r="O229" s="16">
        <v>70</v>
      </c>
      <c r="P229" s="14">
        <v>4</v>
      </c>
      <c r="Q229" s="14">
        <f t="shared" si="3"/>
        <v>66</v>
      </c>
      <c r="R229" s="1">
        <v>9</v>
      </c>
      <c r="S229" s="1">
        <v>200010015179</v>
      </c>
      <c r="T229" s="1">
        <v>29</v>
      </c>
      <c r="U229" s="1">
        <v>1</v>
      </c>
      <c r="V229" s="1">
        <v>3</v>
      </c>
    </row>
    <row r="230" spans="1:22" x14ac:dyDescent="0.25">
      <c r="A230" s="3">
        <v>44775</v>
      </c>
      <c r="B230" s="4">
        <v>0.6381944444444444</v>
      </c>
      <c r="C230" s="1">
        <v>1487</v>
      </c>
      <c r="D230" s="1">
        <v>13002581</v>
      </c>
      <c r="E230" s="1">
        <v>13</v>
      </c>
      <c r="F230" s="1">
        <v>22589</v>
      </c>
      <c r="G230" s="1" t="s">
        <v>21</v>
      </c>
      <c r="H230" s="1">
        <v>18</v>
      </c>
      <c r="I230" s="1">
        <v>440425</v>
      </c>
      <c r="J230" s="14" t="s">
        <v>627</v>
      </c>
      <c r="K230" s="1" t="s">
        <v>51</v>
      </c>
      <c r="L230" s="1" t="s">
        <v>49</v>
      </c>
      <c r="M230" s="14">
        <v>1</v>
      </c>
      <c r="N230" s="2">
        <v>28.73</v>
      </c>
      <c r="O230" s="16">
        <v>36</v>
      </c>
      <c r="P230" s="14">
        <v>2</v>
      </c>
      <c r="Q230" s="14">
        <f t="shared" si="3"/>
        <v>34</v>
      </c>
      <c r="R230" s="1">
        <v>9</v>
      </c>
      <c r="S230" s="1">
        <v>200010000401</v>
      </c>
      <c r="T230" s="1">
        <v>29</v>
      </c>
      <c r="U230" s="1">
        <v>1</v>
      </c>
      <c r="V230" s="1">
        <v>1</v>
      </c>
    </row>
    <row r="231" spans="1:22" x14ac:dyDescent="0.25">
      <c r="A231" s="3">
        <v>44775</v>
      </c>
      <c r="B231" s="4">
        <v>0.6381944444444444</v>
      </c>
      <c r="C231" s="1">
        <v>1487</v>
      </c>
      <c r="D231" s="1">
        <v>13002581</v>
      </c>
      <c r="E231" s="1">
        <v>13</v>
      </c>
      <c r="F231" s="1">
        <v>22589</v>
      </c>
      <c r="G231" s="1" t="s">
        <v>21</v>
      </c>
      <c r="H231" s="1">
        <v>18</v>
      </c>
      <c r="I231" s="1">
        <v>440425</v>
      </c>
      <c r="J231" s="14" t="s">
        <v>627</v>
      </c>
      <c r="K231" s="1" t="s">
        <v>51</v>
      </c>
      <c r="L231" s="1" t="s">
        <v>49</v>
      </c>
      <c r="M231" s="14">
        <v>1</v>
      </c>
      <c r="N231" s="2">
        <v>28.73</v>
      </c>
      <c r="O231" s="16">
        <v>36</v>
      </c>
      <c r="P231" s="14">
        <v>2</v>
      </c>
      <c r="Q231" s="14">
        <f t="shared" si="3"/>
        <v>34</v>
      </c>
      <c r="R231" s="1">
        <v>9</v>
      </c>
      <c r="S231" s="1">
        <v>200010000401</v>
      </c>
      <c r="T231" s="1">
        <v>29</v>
      </c>
      <c r="U231" s="1">
        <v>1</v>
      </c>
      <c r="V231" s="1">
        <v>2</v>
      </c>
    </row>
    <row r="232" spans="1:22" x14ac:dyDescent="0.25">
      <c r="A232" s="3">
        <v>44776</v>
      </c>
      <c r="B232" s="4">
        <v>0.34107638888888892</v>
      </c>
      <c r="C232" s="1">
        <v>1539</v>
      </c>
      <c r="D232" s="1">
        <v>13002595</v>
      </c>
      <c r="E232" s="1">
        <v>13</v>
      </c>
      <c r="F232" s="1">
        <v>22589</v>
      </c>
      <c r="G232" s="1" t="s">
        <v>21</v>
      </c>
      <c r="H232" s="1">
        <v>15</v>
      </c>
      <c r="I232" s="1">
        <v>440425</v>
      </c>
      <c r="J232" s="14" t="s">
        <v>627</v>
      </c>
      <c r="K232" s="1" t="s">
        <v>51</v>
      </c>
      <c r="L232" s="1" t="s">
        <v>49</v>
      </c>
      <c r="M232" s="14">
        <v>1</v>
      </c>
      <c r="N232" s="2">
        <v>28.73</v>
      </c>
      <c r="O232" s="16">
        <v>36</v>
      </c>
      <c r="P232" s="14">
        <v>0</v>
      </c>
      <c r="Q232" s="14">
        <f t="shared" si="3"/>
        <v>36</v>
      </c>
      <c r="R232" s="1" t="s">
        <v>25</v>
      </c>
      <c r="S232" s="1" t="s">
        <v>25</v>
      </c>
      <c r="T232" s="1">
        <v>29</v>
      </c>
      <c r="U232" s="1">
        <v>1</v>
      </c>
      <c r="V232" s="1">
        <v>2</v>
      </c>
    </row>
    <row r="233" spans="1:22" x14ac:dyDescent="0.25">
      <c r="A233" s="3">
        <v>44777</v>
      </c>
      <c r="B233" s="4">
        <v>0.62900462962962966</v>
      </c>
      <c r="C233" s="1">
        <v>1736</v>
      </c>
      <c r="D233" s="1">
        <v>13002606</v>
      </c>
      <c r="E233" s="1">
        <v>13</v>
      </c>
      <c r="F233" s="1">
        <v>22589</v>
      </c>
      <c r="G233" s="1" t="s">
        <v>21</v>
      </c>
      <c r="H233" s="1">
        <v>15</v>
      </c>
      <c r="I233" s="1">
        <v>440425</v>
      </c>
      <c r="J233" s="14" t="s">
        <v>627</v>
      </c>
      <c r="K233" s="1" t="s">
        <v>51</v>
      </c>
      <c r="L233" s="1" t="s">
        <v>49</v>
      </c>
      <c r="M233" s="14">
        <v>1</v>
      </c>
      <c r="N233" s="2">
        <v>28.73</v>
      </c>
      <c r="O233" s="16">
        <v>36</v>
      </c>
      <c r="P233" s="14">
        <v>2</v>
      </c>
      <c r="Q233" s="14">
        <f t="shared" si="3"/>
        <v>34</v>
      </c>
      <c r="R233" s="1">
        <v>9</v>
      </c>
      <c r="S233" s="1">
        <v>200010013015</v>
      </c>
      <c r="T233" s="1">
        <v>50</v>
      </c>
      <c r="U233" s="1">
        <v>1</v>
      </c>
      <c r="V233" s="1">
        <v>1</v>
      </c>
    </row>
    <row r="234" spans="1:22" x14ac:dyDescent="0.25">
      <c r="A234" s="3">
        <v>44777</v>
      </c>
      <c r="B234" s="4">
        <v>0.62900462962962966</v>
      </c>
      <c r="C234" s="1">
        <v>1736</v>
      </c>
      <c r="D234" s="1">
        <v>13002606</v>
      </c>
      <c r="E234" s="1">
        <v>13</v>
      </c>
      <c r="F234" s="1">
        <v>22589</v>
      </c>
      <c r="G234" s="1" t="s">
        <v>21</v>
      </c>
      <c r="H234" s="1">
        <v>15</v>
      </c>
      <c r="I234" s="1">
        <v>440425</v>
      </c>
      <c r="J234" s="14" t="s">
        <v>627</v>
      </c>
      <c r="K234" s="1" t="s">
        <v>51</v>
      </c>
      <c r="L234" s="1" t="s">
        <v>49</v>
      </c>
      <c r="M234" s="14">
        <v>1</v>
      </c>
      <c r="N234" s="2">
        <v>28.81</v>
      </c>
      <c r="O234" s="16">
        <v>37</v>
      </c>
      <c r="P234" s="14">
        <v>2</v>
      </c>
      <c r="Q234" s="14">
        <f t="shared" si="3"/>
        <v>35</v>
      </c>
      <c r="R234" s="1">
        <v>9</v>
      </c>
      <c r="S234" s="1">
        <v>200010013015</v>
      </c>
      <c r="T234" s="1">
        <v>50</v>
      </c>
      <c r="U234" s="1">
        <v>1</v>
      </c>
      <c r="V234" s="1">
        <v>2</v>
      </c>
    </row>
    <row r="235" spans="1:22" x14ac:dyDescent="0.25">
      <c r="A235" s="3">
        <v>44778</v>
      </c>
      <c r="B235" s="4">
        <v>0.33399305555555553</v>
      </c>
      <c r="C235" s="1">
        <v>1781</v>
      </c>
      <c r="D235" s="1">
        <v>13002616</v>
      </c>
      <c r="E235" s="1">
        <v>13</v>
      </c>
      <c r="F235" s="1">
        <v>22589</v>
      </c>
      <c r="G235" s="1" t="s">
        <v>21</v>
      </c>
      <c r="H235" s="1">
        <v>15</v>
      </c>
      <c r="I235" s="1">
        <v>440425</v>
      </c>
      <c r="J235" s="14" t="s">
        <v>627</v>
      </c>
      <c r="K235" s="1" t="s">
        <v>51</v>
      </c>
      <c r="L235" s="1" t="s">
        <v>49</v>
      </c>
      <c r="M235" s="14">
        <v>1</v>
      </c>
      <c r="N235" s="2">
        <v>28.81</v>
      </c>
      <c r="O235" s="16">
        <v>37</v>
      </c>
      <c r="P235" s="14">
        <v>0</v>
      </c>
      <c r="Q235" s="14">
        <f t="shared" si="3"/>
        <v>37</v>
      </c>
      <c r="R235" s="1" t="s">
        <v>25</v>
      </c>
      <c r="S235" s="1" t="s">
        <v>25</v>
      </c>
      <c r="T235" s="1">
        <v>50</v>
      </c>
      <c r="U235" s="1">
        <v>1</v>
      </c>
      <c r="V235" s="1">
        <v>2</v>
      </c>
    </row>
    <row r="236" spans="1:22" x14ac:dyDescent="0.25">
      <c r="A236" s="3">
        <v>44778</v>
      </c>
      <c r="B236" s="4">
        <v>0.33399305555555553</v>
      </c>
      <c r="C236" s="1">
        <v>1781</v>
      </c>
      <c r="D236" s="1">
        <v>13002616</v>
      </c>
      <c r="E236" s="1">
        <v>13</v>
      </c>
      <c r="F236" s="1">
        <v>22589</v>
      </c>
      <c r="G236" s="1" t="s">
        <v>21</v>
      </c>
      <c r="H236" s="1">
        <v>15</v>
      </c>
      <c r="I236" s="1">
        <v>440425</v>
      </c>
      <c r="J236" s="14" t="s">
        <v>627</v>
      </c>
      <c r="K236" s="1" t="s">
        <v>51</v>
      </c>
      <c r="L236" s="1" t="s">
        <v>49</v>
      </c>
      <c r="M236" s="14">
        <v>1</v>
      </c>
      <c r="N236" s="2">
        <v>28.81</v>
      </c>
      <c r="O236" s="16">
        <v>37</v>
      </c>
      <c r="P236" s="14">
        <v>0</v>
      </c>
      <c r="Q236" s="14">
        <f t="shared" si="3"/>
        <v>37</v>
      </c>
      <c r="R236" s="1" t="s">
        <v>25</v>
      </c>
      <c r="S236" s="1" t="s">
        <v>25</v>
      </c>
      <c r="T236" s="1">
        <v>50</v>
      </c>
      <c r="U236" s="1">
        <v>1</v>
      </c>
      <c r="V236" s="1">
        <v>3</v>
      </c>
    </row>
    <row r="237" spans="1:22" x14ac:dyDescent="0.25">
      <c r="A237" s="3">
        <v>44778</v>
      </c>
      <c r="B237" s="4">
        <v>0.82562500000000005</v>
      </c>
      <c r="C237" s="1">
        <v>1901</v>
      </c>
      <c r="D237" s="1">
        <v>13002616</v>
      </c>
      <c r="E237" s="1">
        <v>13</v>
      </c>
      <c r="F237" s="1">
        <v>22589</v>
      </c>
      <c r="G237" s="1" t="s">
        <v>21</v>
      </c>
      <c r="H237" s="1">
        <v>18</v>
      </c>
      <c r="I237" s="1">
        <v>440425</v>
      </c>
      <c r="J237" s="14" t="s">
        <v>627</v>
      </c>
      <c r="K237" s="1" t="s">
        <v>51</v>
      </c>
      <c r="L237" s="1" t="s">
        <v>49</v>
      </c>
      <c r="M237" s="14">
        <v>1</v>
      </c>
      <c r="N237" s="2">
        <v>28.81</v>
      </c>
      <c r="O237" s="16">
        <v>37</v>
      </c>
      <c r="P237" s="14">
        <v>0</v>
      </c>
      <c r="Q237" s="14">
        <f t="shared" si="3"/>
        <v>37</v>
      </c>
      <c r="R237" s="1" t="s">
        <v>25</v>
      </c>
      <c r="S237" s="1" t="s">
        <v>25</v>
      </c>
      <c r="T237" s="1">
        <v>50</v>
      </c>
      <c r="U237" s="1">
        <v>1</v>
      </c>
      <c r="V237" s="1">
        <v>1</v>
      </c>
    </row>
    <row r="238" spans="1:22" x14ac:dyDescent="0.25">
      <c r="A238" s="3">
        <v>44778</v>
      </c>
      <c r="B238" s="4">
        <v>0.73204861111111108</v>
      </c>
      <c r="C238" s="1">
        <v>1883</v>
      </c>
      <c r="D238" s="1">
        <v>13002616</v>
      </c>
      <c r="E238" s="1">
        <v>13</v>
      </c>
      <c r="F238" s="1">
        <v>22589</v>
      </c>
      <c r="G238" s="1" t="s">
        <v>21</v>
      </c>
      <c r="H238" s="1">
        <v>15</v>
      </c>
      <c r="I238" s="1">
        <v>445316</v>
      </c>
      <c r="J238" s="14" t="s">
        <v>1201</v>
      </c>
      <c r="K238" s="1" t="s">
        <v>51</v>
      </c>
      <c r="L238" s="1" t="s">
        <v>1202</v>
      </c>
      <c r="M238" s="14">
        <v>1</v>
      </c>
      <c r="N238" s="2">
        <v>47.69</v>
      </c>
      <c r="O238" s="16">
        <v>73</v>
      </c>
      <c r="P238" s="14">
        <v>5</v>
      </c>
      <c r="Q238" s="14">
        <f t="shared" si="3"/>
        <v>68</v>
      </c>
      <c r="R238" s="1">
        <v>9</v>
      </c>
      <c r="S238" s="1">
        <v>200010016190</v>
      </c>
      <c r="T238" s="1">
        <v>50</v>
      </c>
      <c r="U238" s="1">
        <v>1</v>
      </c>
      <c r="V238" s="1">
        <v>1</v>
      </c>
    </row>
    <row r="239" spans="1:22" x14ac:dyDescent="0.25">
      <c r="A239" s="3">
        <v>44775</v>
      </c>
      <c r="B239" s="4">
        <v>0.74587962962962961</v>
      </c>
      <c r="C239" s="1">
        <v>1518</v>
      </c>
      <c r="D239" s="1">
        <v>13002581</v>
      </c>
      <c r="E239" s="1">
        <v>13</v>
      </c>
      <c r="F239" s="1">
        <v>22589</v>
      </c>
      <c r="G239" s="1" t="s">
        <v>21</v>
      </c>
      <c r="H239" s="1">
        <v>15</v>
      </c>
      <c r="I239" s="1">
        <v>342299</v>
      </c>
      <c r="J239" s="14" t="s">
        <v>670</v>
      </c>
      <c r="K239" s="1" t="s">
        <v>466</v>
      </c>
      <c r="L239" s="1" t="s">
        <v>230</v>
      </c>
      <c r="M239" s="14">
        <v>1</v>
      </c>
      <c r="N239" s="2">
        <v>43.89</v>
      </c>
      <c r="O239" s="16">
        <v>46</v>
      </c>
      <c r="P239" s="14">
        <v>0</v>
      </c>
      <c r="Q239" s="14">
        <f t="shared" si="3"/>
        <v>46</v>
      </c>
      <c r="R239" s="1" t="s">
        <v>25</v>
      </c>
      <c r="S239" s="1" t="s">
        <v>25</v>
      </c>
      <c r="T239" s="1">
        <v>29</v>
      </c>
      <c r="U239" s="1">
        <v>2</v>
      </c>
      <c r="V239" s="1">
        <v>2</v>
      </c>
    </row>
    <row r="240" spans="1:22" x14ac:dyDescent="0.25">
      <c r="A240" s="3">
        <v>44775</v>
      </c>
      <c r="B240" s="4">
        <v>0.74587962962962961</v>
      </c>
      <c r="C240" s="1">
        <v>1518</v>
      </c>
      <c r="D240" s="1">
        <v>13002581</v>
      </c>
      <c r="E240" s="1">
        <v>13</v>
      </c>
      <c r="F240" s="1">
        <v>22589</v>
      </c>
      <c r="G240" s="1" t="s">
        <v>21</v>
      </c>
      <c r="H240" s="1">
        <v>15</v>
      </c>
      <c r="I240" s="1">
        <v>342299</v>
      </c>
      <c r="J240" s="14" t="s">
        <v>670</v>
      </c>
      <c r="K240" s="1" t="s">
        <v>466</v>
      </c>
      <c r="L240" s="1" t="s">
        <v>230</v>
      </c>
      <c r="M240" s="14">
        <v>1</v>
      </c>
      <c r="N240" s="2">
        <v>43.89</v>
      </c>
      <c r="O240" s="16">
        <v>46</v>
      </c>
      <c r="P240" s="14">
        <v>0</v>
      </c>
      <c r="Q240" s="14">
        <f t="shared" si="3"/>
        <v>46</v>
      </c>
      <c r="R240" s="1" t="s">
        <v>25</v>
      </c>
      <c r="S240" s="1" t="s">
        <v>25</v>
      </c>
      <c r="T240" s="1">
        <v>29</v>
      </c>
      <c r="U240" s="1">
        <v>2</v>
      </c>
      <c r="V240" s="1">
        <v>3</v>
      </c>
    </row>
    <row r="241" spans="1:22" x14ac:dyDescent="0.25">
      <c r="A241" s="3">
        <v>44775</v>
      </c>
      <c r="B241" s="4">
        <v>0.74587962962962961</v>
      </c>
      <c r="C241" s="1">
        <v>1518</v>
      </c>
      <c r="D241" s="1">
        <v>13002581</v>
      </c>
      <c r="E241" s="1">
        <v>13</v>
      </c>
      <c r="F241" s="1">
        <v>22589</v>
      </c>
      <c r="G241" s="1" t="s">
        <v>21</v>
      </c>
      <c r="H241" s="1">
        <v>15</v>
      </c>
      <c r="I241" s="1">
        <v>342299</v>
      </c>
      <c r="J241" s="14" t="s">
        <v>670</v>
      </c>
      <c r="K241" s="1" t="s">
        <v>466</v>
      </c>
      <c r="L241" s="1" t="s">
        <v>230</v>
      </c>
      <c r="M241" s="14">
        <v>1</v>
      </c>
      <c r="N241" s="2">
        <v>43.89</v>
      </c>
      <c r="O241" s="16">
        <v>46</v>
      </c>
      <c r="P241" s="14">
        <v>0</v>
      </c>
      <c r="Q241" s="14">
        <f t="shared" si="3"/>
        <v>46</v>
      </c>
      <c r="R241" s="1" t="s">
        <v>25</v>
      </c>
      <c r="S241" s="1" t="s">
        <v>25</v>
      </c>
      <c r="T241" s="1">
        <v>29</v>
      </c>
      <c r="U241" s="1">
        <v>2</v>
      </c>
      <c r="V241" s="1">
        <v>4</v>
      </c>
    </row>
    <row r="242" spans="1:22" x14ac:dyDescent="0.25">
      <c r="A242" s="3">
        <v>44775</v>
      </c>
      <c r="B242" s="4">
        <v>0.74587962962962961</v>
      </c>
      <c r="C242" s="1">
        <v>1518</v>
      </c>
      <c r="D242" s="1">
        <v>13002581</v>
      </c>
      <c r="E242" s="1">
        <v>13</v>
      </c>
      <c r="F242" s="1">
        <v>22589</v>
      </c>
      <c r="G242" s="1" t="s">
        <v>21</v>
      </c>
      <c r="H242" s="1">
        <v>15</v>
      </c>
      <c r="I242" s="1">
        <v>342299</v>
      </c>
      <c r="J242" s="14" t="s">
        <v>670</v>
      </c>
      <c r="K242" s="1" t="s">
        <v>466</v>
      </c>
      <c r="L242" s="1" t="s">
        <v>230</v>
      </c>
      <c r="M242" s="14">
        <v>1</v>
      </c>
      <c r="N242" s="2">
        <v>43.89</v>
      </c>
      <c r="O242" s="16">
        <v>46</v>
      </c>
      <c r="P242" s="14">
        <v>0</v>
      </c>
      <c r="Q242" s="14">
        <f t="shared" si="3"/>
        <v>46</v>
      </c>
      <c r="R242" s="1" t="s">
        <v>25</v>
      </c>
      <c r="S242" s="1" t="s">
        <v>25</v>
      </c>
      <c r="T242" s="1">
        <v>29</v>
      </c>
      <c r="U242" s="1">
        <v>2</v>
      </c>
      <c r="V242" s="1">
        <v>5</v>
      </c>
    </row>
    <row r="243" spans="1:22" x14ac:dyDescent="0.25">
      <c r="A243" s="3">
        <v>44775</v>
      </c>
      <c r="B243" s="4">
        <v>0.74587962962962961</v>
      </c>
      <c r="C243" s="1">
        <v>1518</v>
      </c>
      <c r="D243" s="1">
        <v>13002581</v>
      </c>
      <c r="E243" s="1">
        <v>13</v>
      </c>
      <c r="F243" s="1">
        <v>22589</v>
      </c>
      <c r="G243" s="1" t="s">
        <v>21</v>
      </c>
      <c r="H243" s="1">
        <v>15</v>
      </c>
      <c r="I243" s="1">
        <v>342299</v>
      </c>
      <c r="J243" s="14" t="s">
        <v>670</v>
      </c>
      <c r="K243" s="1" t="s">
        <v>466</v>
      </c>
      <c r="L243" s="1" t="s">
        <v>230</v>
      </c>
      <c r="M243" s="14">
        <v>1</v>
      </c>
      <c r="N243" s="2">
        <v>43.89</v>
      </c>
      <c r="O243" s="16">
        <v>46</v>
      </c>
      <c r="P243" s="14">
        <v>0</v>
      </c>
      <c r="Q243" s="14">
        <f t="shared" si="3"/>
        <v>46</v>
      </c>
      <c r="R243" s="1" t="s">
        <v>25</v>
      </c>
      <c r="S243" s="1" t="s">
        <v>25</v>
      </c>
      <c r="T243" s="1">
        <v>29</v>
      </c>
      <c r="U243" s="1">
        <v>2</v>
      </c>
      <c r="V243" s="1">
        <v>6</v>
      </c>
    </row>
    <row r="244" spans="1:22" x14ac:dyDescent="0.25">
      <c r="A244" s="3">
        <v>44774</v>
      </c>
      <c r="B244" s="4">
        <v>0.74328703703703702</v>
      </c>
      <c r="C244" s="1">
        <v>1392</v>
      </c>
      <c r="D244" s="1">
        <v>13002561</v>
      </c>
      <c r="E244" s="1">
        <v>13</v>
      </c>
      <c r="F244" s="1">
        <v>22589</v>
      </c>
      <c r="G244" s="1" t="s">
        <v>21</v>
      </c>
      <c r="H244" s="1">
        <v>18</v>
      </c>
      <c r="I244" s="1">
        <v>418134</v>
      </c>
      <c r="J244" s="14" t="s">
        <v>418</v>
      </c>
      <c r="K244" s="1" t="s">
        <v>51</v>
      </c>
      <c r="L244" s="1" t="s">
        <v>76</v>
      </c>
      <c r="M244" s="14">
        <v>1</v>
      </c>
      <c r="N244" s="2">
        <v>30.25</v>
      </c>
      <c r="O244" s="16">
        <v>35</v>
      </c>
      <c r="P244" s="14">
        <v>0</v>
      </c>
      <c r="Q244" s="14">
        <f t="shared" si="3"/>
        <v>35</v>
      </c>
      <c r="R244" s="1" t="s">
        <v>25</v>
      </c>
      <c r="S244" s="1" t="s">
        <v>25</v>
      </c>
      <c r="T244" s="1">
        <v>29</v>
      </c>
      <c r="U244" s="1">
        <v>1</v>
      </c>
      <c r="V244" s="1">
        <v>1</v>
      </c>
    </row>
    <row r="245" spans="1:22" x14ac:dyDescent="0.25">
      <c r="A245" s="3">
        <v>44774</v>
      </c>
      <c r="B245" s="4">
        <v>0.74328703703703702</v>
      </c>
      <c r="C245" s="1">
        <v>1392</v>
      </c>
      <c r="D245" s="1">
        <v>13002561</v>
      </c>
      <c r="E245" s="1">
        <v>13</v>
      </c>
      <c r="F245" s="1">
        <v>22589</v>
      </c>
      <c r="G245" s="1" t="s">
        <v>21</v>
      </c>
      <c r="H245" s="1">
        <v>18</v>
      </c>
      <c r="I245" s="1">
        <v>418134</v>
      </c>
      <c r="J245" s="14" t="s">
        <v>418</v>
      </c>
      <c r="K245" s="1" t="s">
        <v>51</v>
      </c>
      <c r="L245" s="1" t="s">
        <v>76</v>
      </c>
      <c r="M245" s="14">
        <v>1</v>
      </c>
      <c r="N245" s="2">
        <v>30.25</v>
      </c>
      <c r="O245" s="16">
        <v>35</v>
      </c>
      <c r="P245" s="14">
        <v>0</v>
      </c>
      <c r="Q245" s="14">
        <f t="shared" si="3"/>
        <v>35</v>
      </c>
      <c r="R245" s="1" t="s">
        <v>25</v>
      </c>
      <c r="S245" s="1" t="s">
        <v>25</v>
      </c>
      <c r="T245" s="1">
        <v>29</v>
      </c>
      <c r="U245" s="1">
        <v>1</v>
      </c>
      <c r="V245" s="1">
        <v>2</v>
      </c>
    </row>
    <row r="246" spans="1:22" x14ac:dyDescent="0.25">
      <c r="A246" s="3">
        <v>44775</v>
      </c>
      <c r="B246" s="4">
        <v>0.46902777777777777</v>
      </c>
      <c r="C246" s="1">
        <v>1443</v>
      </c>
      <c r="D246" s="1">
        <v>13002581</v>
      </c>
      <c r="E246" s="1">
        <v>13</v>
      </c>
      <c r="F246" s="1">
        <v>22589</v>
      </c>
      <c r="G246" s="1" t="s">
        <v>21</v>
      </c>
      <c r="H246" s="1">
        <v>18</v>
      </c>
      <c r="I246" s="1">
        <v>418134</v>
      </c>
      <c r="J246" s="14" t="s">
        <v>418</v>
      </c>
      <c r="K246" s="1" t="s">
        <v>51</v>
      </c>
      <c r="L246" s="1" t="s">
        <v>76</v>
      </c>
      <c r="M246" s="14">
        <v>1</v>
      </c>
      <c r="N246" s="2">
        <v>30.25</v>
      </c>
      <c r="O246" s="16">
        <v>35</v>
      </c>
      <c r="P246" s="14">
        <v>2</v>
      </c>
      <c r="Q246" s="14">
        <f t="shared" si="3"/>
        <v>33</v>
      </c>
      <c r="R246" s="1">
        <v>9</v>
      </c>
      <c r="S246" s="1">
        <v>200010022530</v>
      </c>
      <c r="T246" s="1">
        <v>29</v>
      </c>
      <c r="U246" s="1">
        <v>1</v>
      </c>
      <c r="V246" s="1">
        <v>2</v>
      </c>
    </row>
    <row r="247" spans="1:22" x14ac:dyDescent="0.25">
      <c r="A247" s="3">
        <v>44775</v>
      </c>
      <c r="B247" s="4">
        <v>0.46902777777777777</v>
      </c>
      <c r="C247" s="1">
        <v>1443</v>
      </c>
      <c r="D247" s="1">
        <v>13002581</v>
      </c>
      <c r="E247" s="1">
        <v>13</v>
      </c>
      <c r="F247" s="1">
        <v>22589</v>
      </c>
      <c r="G247" s="1" t="s">
        <v>21</v>
      </c>
      <c r="H247" s="1">
        <v>18</v>
      </c>
      <c r="I247" s="1">
        <v>418134</v>
      </c>
      <c r="J247" s="14" t="s">
        <v>418</v>
      </c>
      <c r="K247" s="1" t="s">
        <v>51</v>
      </c>
      <c r="L247" s="1" t="s">
        <v>76</v>
      </c>
      <c r="M247" s="14">
        <v>1</v>
      </c>
      <c r="N247" s="2">
        <v>30.25</v>
      </c>
      <c r="O247" s="16">
        <v>35</v>
      </c>
      <c r="P247" s="14">
        <v>2</v>
      </c>
      <c r="Q247" s="14">
        <f t="shared" si="3"/>
        <v>33</v>
      </c>
      <c r="R247" s="1">
        <v>9</v>
      </c>
      <c r="S247" s="1">
        <v>200010022530</v>
      </c>
      <c r="T247" s="1">
        <v>29</v>
      </c>
      <c r="U247" s="1">
        <v>1</v>
      </c>
      <c r="V247" s="1">
        <v>3</v>
      </c>
    </row>
    <row r="248" spans="1:22" x14ac:dyDescent="0.25">
      <c r="A248" s="3">
        <v>44775</v>
      </c>
      <c r="B248" s="4">
        <v>0.46902777777777777</v>
      </c>
      <c r="C248" s="1">
        <v>1443</v>
      </c>
      <c r="D248" s="1">
        <v>13002581</v>
      </c>
      <c r="E248" s="1">
        <v>13</v>
      </c>
      <c r="F248" s="1">
        <v>22589</v>
      </c>
      <c r="G248" s="1" t="s">
        <v>21</v>
      </c>
      <c r="H248" s="1">
        <v>18</v>
      </c>
      <c r="I248" s="1">
        <v>418134</v>
      </c>
      <c r="J248" s="14" t="s">
        <v>418</v>
      </c>
      <c r="K248" s="1" t="s">
        <v>51</v>
      </c>
      <c r="L248" s="1" t="s">
        <v>76</v>
      </c>
      <c r="M248" s="14">
        <v>1</v>
      </c>
      <c r="N248" s="2">
        <v>30.25</v>
      </c>
      <c r="O248" s="16">
        <v>35</v>
      </c>
      <c r="P248" s="14">
        <v>2</v>
      </c>
      <c r="Q248" s="14">
        <f t="shared" si="3"/>
        <v>33</v>
      </c>
      <c r="R248" s="1">
        <v>9</v>
      </c>
      <c r="S248" s="1">
        <v>200010022530</v>
      </c>
      <c r="T248" s="1">
        <v>29</v>
      </c>
      <c r="U248" s="1">
        <v>1</v>
      </c>
      <c r="V248" s="1">
        <v>4</v>
      </c>
    </row>
    <row r="249" spans="1:22" x14ac:dyDescent="0.25">
      <c r="A249" s="3">
        <v>44775</v>
      </c>
      <c r="B249" s="4">
        <v>0.46902777777777777</v>
      </c>
      <c r="C249" s="1">
        <v>1443</v>
      </c>
      <c r="D249" s="1">
        <v>13002581</v>
      </c>
      <c r="E249" s="1">
        <v>13</v>
      </c>
      <c r="F249" s="1">
        <v>22589</v>
      </c>
      <c r="G249" s="1" t="s">
        <v>21</v>
      </c>
      <c r="H249" s="1">
        <v>18</v>
      </c>
      <c r="I249" s="1">
        <v>418134</v>
      </c>
      <c r="J249" s="14" t="s">
        <v>418</v>
      </c>
      <c r="K249" s="1" t="s">
        <v>51</v>
      </c>
      <c r="L249" s="1" t="s">
        <v>76</v>
      </c>
      <c r="M249" s="14">
        <v>1</v>
      </c>
      <c r="N249" s="2">
        <v>30.25</v>
      </c>
      <c r="O249" s="16">
        <v>35</v>
      </c>
      <c r="P249" s="14">
        <v>2</v>
      </c>
      <c r="Q249" s="14">
        <f t="shared" si="3"/>
        <v>33</v>
      </c>
      <c r="R249" s="1">
        <v>9</v>
      </c>
      <c r="S249" s="1">
        <v>200010022530</v>
      </c>
      <c r="T249" s="1">
        <v>29</v>
      </c>
      <c r="U249" s="1">
        <v>1</v>
      </c>
      <c r="V249" s="1">
        <v>5</v>
      </c>
    </row>
    <row r="250" spans="1:22" x14ac:dyDescent="0.25">
      <c r="A250" s="3">
        <v>44775</v>
      </c>
      <c r="B250" s="4">
        <v>0.5242013888888889</v>
      </c>
      <c r="C250" s="1">
        <v>1464</v>
      </c>
      <c r="D250" s="1">
        <v>13002581</v>
      </c>
      <c r="E250" s="1">
        <v>13</v>
      </c>
      <c r="F250" s="1">
        <v>22589</v>
      </c>
      <c r="G250" s="1" t="s">
        <v>21</v>
      </c>
      <c r="H250" s="1">
        <v>15</v>
      </c>
      <c r="I250" s="1">
        <v>418134</v>
      </c>
      <c r="J250" s="14" t="s">
        <v>418</v>
      </c>
      <c r="K250" s="1" t="s">
        <v>51</v>
      </c>
      <c r="L250" s="1" t="s">
        <v>76</v>
      </c>
      <c r="M250" s="14">
        <v>1</v>
      </c>
      <c r="N250" s="2">
        <v>30.25</v>
      </c>
      <c r="O250" s="16">
        <v>35</v>
      </c>
      <c r="P250" s="14">
        <v>2</v>
      </c>
      <c r="Q250" s="14">
        <f t="shared" si="3"/>
        <v>33</v>
      </c>
      <c r="R250" s="1">
        <v>9</v>
      </c>
      <c r="S250" s="1">
        <v>200010009449</v>
      </c>
      <c r="T250" s="1">
        <v>29</v>
      </c>
      <c r="U250" s="1">
        <v>1</v>
      </c>
      <c r="V250" s="1">
        <v>1</v>
      </c>
    </row>
    <row r="251" spans="1:22" x14ac:dyDescent="0.25">
      <c r="A251" s="3">
        <v>44776</v>
      </c>
      <c r="B251" s="4">
        <v>0.45534722222222224</v>
      </c>
      <c r="C251" s="1">
        <v>1560</v>
      </c>
      <c r="D251" s="1">
        <v>13002595</v>
      </c>
      <c r="E251" s="1">
        <v>13</v>
      </c>
      <c r="F251" s="1">
        <v>22589</v>
      </c>
      <c r="G251" s="1" t="s">
        <v>21</v>
      </c>
      <c r="H251" s="1">
        <v>15</v>
      </c>
      <c r="I251" s="1">
        <v>418134</v>
      </c>
      <c r="J251" s="14" t="s">
        <v>418</v>
      </c>
      <c r="K251" s="1" t="s">
        <v>51</v>
      </c>
      <c r="L251" s="1" t="s">
        <v>76</v>
      </c>
      <c r="M251" s="14">
        <v>1</v>
      </c>
      <c r="N251" s="2">
        <v>30.25</v>
      </c>
      <c r="O251" s="16">
        <v>35</v>
      </c>
      <c r="P251" s="14">
        <v>2</v>
      </c>
      <c r="Q251" s="14">
        <f t="shared" si="3"/>
        <v>33</v>
      </c>
      <c r="R251" s="1">
        <v>9</v>
      </c>
      <c r="S251" s="1">
        <v>200010006106</v>
      </c>
      <c r="T251" s="1">
        <v>29</v>
      </c>
      <c r="U251" s="1">
        <v>1</v>
      </c>
      <c r="V251" s="1">
        <v>1</v>
      </c>
    </row>
    <row r="252" spans="1:22" x14ac:dyDescent="0.25">
      <c r="A252" s="3">
        <v>44776</v>
      </c>
      <c r="B252" s="4">
        <v>0.45534722222222224</v>
      </c>
      <c r="C252" s="1">
        <v>1560</v>
      </c>
      <c r="D252" s="1">
        <v>13002595</v>
      </c>
      <c r="E252" s="1">
        <v>13</v>
      </c>
      <c r="F252" s="1">
        <v>22589</v>
      </c>
      <c r="G252" s="1" t="s">
        <v>21</v>
      </c>
      <c r="H252" s="1">
        <v>15</v>
      </c>
      <c r="I252" s="1">
        <v>418134</v>
      </c>
      <c r="J252" s="14" t="s">
        <v>418</v>
      </c>
      <c r="K252" s="1" t="s">
        <v>29</v>
      </c>
      <c r="L252" s="1" t="s">
        <v>335</v>
      </c>
      <c r="M252" s="14">
        <v>1</v>
      </c>
      <c r="N252" s="2">
        <v>30.54</v>
      </c>
      <c r="O252" s="16">
        <v>36</v>
      </c>
      <c r="P252" s="14">
        <v>2</v>
      </c>
      <c r="Q252" s="14">
        <f t="shared" si="3"/>
        <v>34</v>
      </c>
      <c r="R252" s="1">
        <v>9</v>
      </c>
      <c r="S252" s="1">
        <v>200010006106</v>
      </c>
      <c r="T252" s="1">
        <v>29</v>
      </c>
      <c r="U252" s="1">
        <v>1</v>
      </c>
      <c r="V252" s="1">
        <v>2</v>
      </c>
    </row>
    <row r="253" spans="1:22" x14ac:dyDescent="0.25">
      <c r="A253" s="3">
        <v>44776</v>
      </c>
      <c r="B253" s="4">
        <v>0.52491898148148153</v>
      </c>
      <c r="C253" s="1">
        <v>1584</v>
      </c>
      <c r="D253" s="1">
        <v>13002595</v>
      </c>
      <c r="E253" s="1">
        <v>13</v>
      </c>
      <c r="F253" s="1">
        <v>22589</v>
      </c>
      <c r="G253" s="1" t="s">
        <v>21</v>
      </c>
      <c r="H253" s="1">
        <v>15</v>
      </c>
      <c r="I253" s="1">
        <v>418134</v>
      </c>
      <c r="J253" s="14" t="s">
        <v>418</v>
      </c>
      <c r="K253" s="1" t="s">
        <v>29</v>
      </c>
      <c r="L253" s="1" t="s">
        <v>335</v>
      </c>
      <c r="M253" s="14">
        <v>1</v>
      </c>
      <c r="N253" s="2">
        <v>30.54</v>
      </c>
      <c r="O253" s="16">
        <v>36</v>
      </c>
      <c r="P253" s="14">
        <v>2</v>
      </c>
      <c r="Q253" s="14">
        <f t="shared" si="3"/>
        <v>34</v>
      </c>
      <c r="R253" s="1">
        <v>9</v>
      </c>
      <c r="S253" s="1">
        <v>200010010278</v>
      </c>
      <c r="T253" s="1">
        <v>29</v>
      </c>
      <c r="U253" s="1">
        <v>1</v>
      </c>
      <c r="V253" s="1">
        <v>1</v>
      </c>
    </row>
    <row r="254" spans="1:22" x14ac:dyDescent="0.25">
      <c r="A254" s="3">
        <v>44776</v>
      </c>
      <c r="B254" s="4">
        <v>0.6519328703703704</v>
      </c>
      <c r="C254" s="1">
        <v>1618</v>
      </c>
      <c r="D254" s="1">
        <v>13002595</v>
      </c>
      <c r="E254" s="1">
        <v>13</v>
      </c>
      <c r="F254" s="1">
        <v>22589</v>
      </c>
      <c r="G254" s="1" t="s">
        <v>21</v>
      </c>
      <c r="H254" s="1">
        <v>18</v>
      </c>
      <c r="I254" s="1">
        <v>418134</v>
      </c>
      <c r="J254" s="14" t="s">
        <v>418</v>
      </c>
      <c r="K254" s="1" t="s">
        <v>29</v>
      </c>
      <c r="L254" s="1" t="s">
        <v>335</v>
      </c>
      <c r="M254" s="14">
        <v>1</v>
      </c>
      <c r="N254" s="2">
        <v>30.54</v>
      </c>
      <c r="O254" s="16">
        <v>36</v>
      </c>
      <c r="P254" s="14">
        <v>2</v>
      </c>
      <c r="Q254" s="14">
        <f t="shared" si="3"/>
        <v>34</v>
      </c>
      <c r="R254" s="1">
        <v>9</v>
      </c>
      <c r="S254" s="1">
        <v>200010004049</v>
      </c>
      <c r="T254" s="1">
        <v>29</v>
      </c>
      <c r="U254" s="1">
        <v>1</v>
      </c>
      <c r="V254" s="1">
        <v>3</v>
      </c>
    </row>
    <row r="255" spans="1:22" x14ac:dyDescent="0.25">
      <c r="A255" s="3">
        <v>44777</v>
      </c>
      <c r="B255" s="4">
        <v>0.4934722222222222</v>
      </c>
      <c r="C255" s="1">
        <v>1688</v>
      </c>
      <c r="D255" s="1">
        <v>13002606</v>
      </c>
      <c r="E255" s="1">
        <v>13</v>
      </c>
      <c r="F255" s="1">
        <v>22589</v>
      </c>
      <c r="G255" s="1" t="s">
        <v>21</v>
      </c>
      <c r="H255" s="1">
        <v>15</v>
      </c>
      <c r="I255" s="1">
        <v>418134</v>
      </c>
      <c r="J255" s="14" t="s">
        <v>418</v>
      </c>
      <c r="K255" s="1" t="s">
        <v>29</v>
      </c>
      <c r="L255" s="1" t="s">
        <v>335</v>
      </c>
      <c r="M255" s="14">
        <v>1</v>
      </c>
      <c r="N255" s="2">
        <v>30.54</v>
      </c>
      <c r="O255" s="16">
        <v>36</v>
      </c>
      <c r="P255" s="14">
        <v>2</v>
      </c>
      <c r="Q255" s="14">
        <f t="shared" si="3"/>
        <v>34</v>
      </c>
      <c r="R255" s="1">
        <v>9</v>
      </c>
      <c r="S255" s="1">
        <v>200010006867</v>
      </c>
      <c r="T255" s="1">
        <v>50</v>
      </c>
      <c r="U255" s="1">
        <v>1</v>
      </c>
      <c r="V255" s="1">
        <v>3</v>
      </c>
    </row>
    <row r="256" spans="1:22" x14ac:dyDescent="0.25">
      <c r="A256" s="3">
        <v>44777</v>
      </c>
      <c r="B256" s="4">
        <v>0.4934722222222222</v>
      </c>
      <c r="C256" s="1">
        <v>1688</v>
      </c>
      <c r="D256" s="1">
        <v>13002606</v>
      </c>
      <c r="E256" s="1">
        <v>13</v>
      </c>
      <c r="F256" s="1">
        <v>22589</v>
      </c>
      <c r="G256" s="1" t="s">
        <v>21</v>
      </c>
      <c r="H256" s="1">
        <v>15</v>
      </c>
      <c r="I256" s="1">
        <v>418134</v>
      </c>
      <c r="J256" s="14" t="s">
        <v>418</v>
      </c>
      <c r="K256" s="1" t="s">
        <v>29</v>
      </c>
      <c r="L256" s="1" t="s">
        <v>335</v>
      </c>
      <c r="M256" s="14">
        <v>1</v>
      </c>
      <c r="N256" s="2">
        <v>30.54</v>
      </c>
      <c r="O256" s="16">
        <v>36</v>
      </c>
      <c r="P256" s="14">
        <v>2</v>
      </c>
      <c r="Q256" s="14">
        <f t="shared" si="3"/>
        <v>34</v>
      </c>
      <c r="R256" s="1">
        <v>9</v>
      </c>
      <c r="S256" s="1">
        <v>200010006867</v>
      </c>
      <c r="T256" s="1">
        <v>50</v>
      </c>
      <c r="U256" s="1">
        <v>1</v>
      </c>
      <c r="V256" s="1">
        <v>4</v>
      </c>
    </row>
    <row r="257" spans="1:22" x14ac:dyDescent="0.25">
      <c r="A257" s="3">
        <v>44777</v>
      </c>
      <c r="B257" s="4">
        <v>0.4934722222222222</v>
      </c>
      <c r="C257" s="1">
        <v>1688</v>
      </c>
      <c r="D257" s="1">
        <v>13002606</v>
      </c>
      <c r="E257" s="1">
        <v>13</v>
      </c>
      <c r="F257" s="1">
        <v>22589</v>
      </c>
      <c r="G257" s="1" t="s">
        <v>21</v>
      </c>
      <c r="H257" s="1">
        <v>15</v>
      </c>
      <c r="I257" s="1">
        <v>418134</v>
      </c>
      <c r="J257" s="14" t="s">
        <v>418</v>
      </c>
      <c r="K257" s="1" t="s">
        <v>29</v>
      </c>
      <c r="L257" s="1" t="s">
        <v>335</v>
      </c>
      <c r="M257" s="14">
        <v>1</v>
      </c>
      <c r="N257" s="2">
        <v>30.54</v>
      </c>
      <c r="O257" s="16">
        <v>36</v>
      </c>
      <c r="P257" s="14">
        <v>2</v>
      </c>
      <c r="Q257" s="14">
        <f t="shared" si="3"/>
        <v>34</v>
      </c>
      <c r="R257" s="1">
        <v>9</v>
      </c>
      <c r="S257" s="1">
        <v>200010006867</v>
      </c>
      <c r="T257" s="1">
        <v>50</v>
      </c>
      <c r="U257" s="1">
        <v>1</v>
      </c>
      <c r="V257" s="1">
        <v>5</v>
      </c>
    </row>
    <row r="258" spans="1:22" x14ac:dyDescent="0.25">
      <c r="A258" s="3">
        <v>44777</v>
      </c>
      <c r="B258" s="4">
        <v>0.4934722222222222</v>
      </c>
      <c r="C258" s="1">
        <v>1688</v>
      </c>
      <c r="D258" s="1">
        <v>13002606</v>
      </c>
      <c r="E258" s="1">
        <v>13</v>
      </c>
      <c r="F258" s="1">
        <v>22589</v>
      </c>
      <c r="G258" s="1" t="s">
        <v>21</v>
      </c>
      <c r="H258" s="1">
        <v>15</v>
      </c>
      <c r="I258" s="1">
        <v>418134</v>
      </c>
      <c r="J258" s="14" t="s">
        <v>418</v>
      </c>
      <c r="K258" s="1" t="s">
        <v>29</v>
      </c>
      <c r="L258" s="1" t="s">
        <v>335</v>
      </c>
      <c r="M258" s="14">
        <v>1</v>
      </c>
      <c r="N258" s="2">
        <v>30.54</v>
      </c>
      <c r="O258" s="16">
        <v>36</v>
      </c>
      <c r="P258" s="14">
        <v>2</v>
      </c>
      <c r="Q258" s="14">
        <f t="shared" ref="Q258:Q321" si="4">M258*O258-P258</f>
        <v>34</v>
      </c>
      <c r="R258" s="1">
        <v>9</v>
      </c>
      <c r="S258" s="1">
        <v>200010006867</v>
      </c>
      <c r="T258" s="1">
        <v>50</v>
      </c>
      <c r="U258" s="1">
        <v>1</v>
      </c>
      <c r="V258" s="1">
        <v>6</v>
      </c>
    </row>
    <row r="259" spans="1:22" x14ac:dyDescent="0.25">
      <c r="A259" s="3">
        <v>44777</v>
      </c>
      <c r="B259" s="4">
        <v>0.4934722222222222</v>
      </c>
      <c r="C259" s="1">
        <v>1688</v>
      </c>
      <c r="D259" s="1">
        <v>13002606</v>
      </c>
      <c r="E259" s="1">
        <v>13</v>
      </c>
      <c r="F259" s="1">
        <v>22589</v>
      </c>
      <c r="G259" s="1" t="s">
        <v>21</v>
      </c>
      <c r="H259" s="1">
        <v>15</v>
      </c>
      <c r="I259" s="1">
        <v>418134</v>
      </c>
      <c r="J259" s="14" t="s">
        <v>418</v>
      </c>
      <c r="K259" s="1" t="s">
        <v>29</v>
      </c>
      <c r="L259" s="1" t="s">
        <v>335</v>
      </c>
      <c r="M259" s="14">
        <v>1</v>
      </c>
      <c r="N259" s="2">
        <v>30.54</v>
      </c>
      <c r="O259" s="16">
        <v>36</v>
      </c>
      <c r="P259" s="14">
        <v>2</v>
      </c>
      <c r="Q259" s="14">
        <f t="shared" si="4"/>
        <v>34</v>
      </c>
      <c r="R259" s="1">
        <v>9</v>
      </c>
      <c r="S259" s="1">
        <v>200010006867</v>
      </c>
      <c r="T259" s="1">
        <v>50</v>
      </c>
      <c r="U259" s="1">
        <v>1</v>
      </c>
      <c r="V259" s="1">
        <v>7</v>
      </c>
    </row>
    <row r="260" spans="1:22" x14ac:dyDescent="0.25">
      <c r="A260" s="3">
        <v>44777</v>
      </c>
      <c r="B260" s="4">
        <v>0.4934722222222222</v>
      </c>
      <c r="C260" s="1">
        <v>1688</v>
      </c>
      <c r="D260" s="1">
        <v>13002606</v>
      </c>
      <c r="E260" s="1">
        <v>13</v>
      </c>
      <c r="F260" s="1">
        <v>22589</v>
      </c>
      <c r="G260" s="1" t="s">
        <v>21</v>
      </c>
      <c r="H260" s="1">
        <v>15</v>
      </c>
      <c r="I260" s="1">
        <v>418134</v>
      </c>
      <c r="J260" s="14" t="s">
        <v>418</v>
      </c>
      <c r="K260" s="1" t="s">
        <v>29</v>
      </c>
      <c r="L260" s="1" t="s">
        <v>335</v>
      </c>
      <c r="M260" s="14">
        <v>1</v>
      </c>
      <c r="N260" s="2">
        <v>30.54</v>
      </c>
      <c r="O260" s="16">
        <v>36</v>
      </c>
      <c r="P260" s="14">
        <v>2</v>
      </c>
      <c r="Q260" s="14">
        <f t="shared" si="4"/>
        <v>34</v>
      </c>
      <c r="R260" s="1">
        <v>9</v>
      </c>
      <c r="S260" s="1">
        <v>200010006867</v>
      </c>
      <c r="T260" s="1">
        <v>50</v>
      </c>
      <c r="U260" s="1">
        <v>1</v>
      </c>
      <c r="V260" s="1">
        <v>8</v>
      </c>
    </row>
    <row r="261" spans="1:22" x14ac:dyDescent="0.25">
      <c r="A261" s="3">
        <v>44777</v>
      </c>
      <c r="B261" s="4">
        <v>0.4934722222222222</v>
      </c>
      <c r="C261" s="1">
        <v>1688</v>
      </c>
      <c r="D261" s="1">
        <v>13002606</v>
      </c>
      <c r="E261" s="1">
        <v>13</v>
      </c>
      <c r="F261" s="1">
        <v>22589</v>
      </c>
      <c r="G261" s="1" t="s">
        <v>21</v>
      </c>
      <c r="H261" s="1">
        <v>15</v>
      </c>
      <c r="I261" s="1">
        <v>418134</v>
      </c>
      <c r="J261" s="14" t="s">
        <v>418</v>
      </c>
      <c r="K261" s="1" t="s">
        <v>29</v>
      </c>
      <c r="L261" s="1" t="s">
        <v>335</v>
      </c>
      <c r="M261" s="14">
        <v>1</v>
      </c>
      <c r="N261" s="2">
        <v>30.54</v>
      </c>
      <c r="O261" s="16">
        <v>36</v>
      </c>
      <c r="P261" s="14">
        <v>2</v>
      </c>
      <c r="Q261" s="14">
        <f t="shared" si="4"/>
        <v>34</v>
      </c>
      <c r="R261" s="1">
        <v>9</v>
      </c>
      <c r="S261" s="1">
        <v>200010006867</v>
      </c>
      <c r="T261" s="1">
        <v>50</v>
      </c>
      <c r="U261" s="1">
        <v>1</v>
      </c>
      <c r="V261" s="1">
        <v>9</v>
      </c>
    </row>
    <row r="262" spans="1:22" x14ac:dyDescent="0.25">
      <c r="A262" s="3">
        <v>44777</v>
      </c>
      <c r="B262" s="4">
        <v>0.4934722222222222</v>
      </c>
      <c r="C262" s="1">
        <v>1688</v>
      </c>
      <c r="D262" s="1">
        <v>13002606</v>
      </c>
      <c r="E262" s="1">
        <v>13</v>
      </c>
      <c r="F262" s="1">
        <v>22589</v>
      </c>
      <c r="G262" s="1" t="s">
        <v>21</v>
      </c>
      <c r="H262" s="1">
        <v>15</v>
      </c>
      <c r="I262" s="1">
        <v>418134</v>
      </c>
      <c r="J262" s="14" t="s">
        <v>418</v>
      </c>
      <c r="K262" s="1" t="s">
        <v>29</v>
      </c>
      <c r="L262" s="1" t="s">
        <v>335</v>
      </c>
      <c r="M262" s="14">
        <v>1</v>
      </c>
      <c r="N262" s="2">
        <v>30.54</v>
      </c>
      <c r="O262" s="16">
        <v>36</v>
      </c>
      <c r="P262" s="14">
        <v>2</v>
      </c>
      <c r="Q262" s="14">
        <f t="shared" si="4"/>
        <v>34</v>
      </c>
      <c r="R262" s="1">
        <v>9</v>
      </c>
      <c r="S262" s="1">
        <v>200010006867</v>
      </c>
      <c r="T262" s="1">
        <v>50</v>
      </c>
      <c r="U262" s="1">
        <v>1</v>
      </c>
      <c r="V262" s="1">
        <v>10</v>
      </c>
    </row>
    <row r="263" spans="1:22" x14ac:dyDescent="0.25">
      <c r="A263" s="3">
        <v>44777</v>
      </c>
      <c r="B263" s="4">
        <v>0.4934722222222222</v>
      </c>
      <c r="C263" s="1">
        <v>1688</v>
      </c>
      <c r="D263" s="1">
        <v>13002606</v>
      </c>
      <c r="E263" s="1">
        <v>13</v>
      </c>
      <c r="F263" s="1">
        <v>22589</v>
      </c>
      <c r="G263" s="1" t="s">
        <v>21</v>
      </c>
      <c r="H263" s="1">
        <v>15</v>
      </c>
      <c r="I263" s="1">
        <v>418134</v>
      </c>
      <c r="J263" s="14" t="s">
        <v>418</v>
      </c>
      <c r="K263" s="1" t="s">
        <v>29</v>
      </c>
      <c r="L263" s="1" t="s">
        <v>335</v>
      </c>
      <c r="M263" s="14">
        <v>1</v>
      </c>
      <c r="N263" s="2">
        <v>30.54</v>
      </c>
      <c r="O263" s="16">
        <v>36</v>
      </c>
      <c r="P263" s="14">
        <v>2</v>
      </c>
      <c r="Q263" s="14">
        <f t="shared" si="4"/>
        <v>34</v>
      </c>
      <c r="R263" s="1">
        <v>9</v>
      </c>
      <c r="S263" s="1">
        <v>200010006867</v>
      </c>
      <c r="T263" s="1">
        <v>50</v>
      </c>
      <c r="U263" s="1">
        <v>1</v>
      </c>
      <c r="V263" s="1">
        <v>11</v>
      </c>
    </row>
    <row r="264" spans="1:22" x14ac:dyDescent="0.25">
      <c r="A264" s="3">
        <v>44777</v>
      </c>
      <c r="B264" s="4">
        <v>0.4934722222222222</v>
      </c>
      <c r="C264" s="1">
        <v>1688</v>
      </c>
      <c r="D264" s="1">
        <v>13002606</v>
      </c>
      <c r="E264" s="1">
        <v>13</v>
      </c>
      <c r="F264" s="1">
        <v>22589</v>
      </c>
      <c r="G264" s="1" t="s">
        <v>21</v>
      </c>
      <c r="H264" s="1">
        <v>15</v>
      </c>
      <c r="I264" s="1">
        <v>418134</v>
      </c>
      <c r="J264" s="14" t="s">
        <v>418</v>
      </c>
      <c r="K264" s="1" t="s">
        <v>29</v>
      </c>
      <c r="L264" s="1" t="s">
        <v>335</v>
      </c>
      <c r="M264" s="14">
        <v>1</v>
      </c>
      <c r="N264" s="2">
        <v>30.54</v>
      </c>
      <c r="O264" s="16">
        <v>36</v>
      </c>
      <c r="P264" s="14">
        <v>2</v>
      </c>
      <c r="Q264" s="14">
        <f t="shared" si="4"/>
        <v>34</v>
      </c>
      <c r="R264" s="1">
        <v>9</v>
      </c>
      <c r="S264" s="1">
        <v>200010006867</v>
      </c>
      <c r="T264" s="1">
        <v>50</v>
      </c>
      <c r="U264" s="1">
        <v>1</v>
      </c>
      <c r="V264" s="1">
        <v>12</v>
      </c>
    </row>
    <row r="265" spans="1:22" x14ac:dyDescent="0.25">
      <c r="A265" s="3">
        <v>44777</v>
      </c>
      <c r="B265" s="4">
        <v>0.61011574074074071</v>
      </c>
      <c r="C265" s="1">
        <v>1733</v>
      </c>
      <c r="D265" s="1">
        <v>13002606</v>
      </c>
      <c r="E265" s="1">
        <v>13</v>
      </c>
      <c r="F265" s="1">
        <v>22589</v>
      </c>
      <c r="G265" s="1" t="s">
        <v>21</v>
      </c>
      <c r="H265" s="1">
        <v>15</v>
      </c>
      <c r="I265" s="1">
        <v>418134</v>
      </c>
      <c r="J265" s="14" t="s">
        <v>418</v>
      </c>
      <c r="K265" s="1" t="s">
        <v>29</v>
      </c>
      <c r="L265" s="1" t="s">
        <v>335</v>
      </c>
      <c r="M265" s="14">
        <v>1</v>
      </c>
      <c r="N265" s="2">
        <v>30.54</v>
      </c>
      <c r="O265" s="16">
        <v>36</v>
      </c>
      <c r="P265" s="14">
        <v>2</v>
      </c>
      <c r="Q265" s="14">
        <f t="shared" si="4"/>
        <v>34</v>
      </c>
      <c r="R265" s="1">
        <v>9</v>
      </c>
      <c r="S265" s="1">
        <v>200010004764</v>
      </c>
      <c r="T265" s="1">
        <v>50</v>
      </c>
      <c r="U265" s="1">
        <v>1</v>
      </c>
      <c r="V265" s="1">
        <v>1</v>
      </c>
    </row>
    <row r="266" spans="1:22" x14ac:dyDescent="0.25">
      <c r="A266" s="3">
        <v>44778</v>
      </c>
      <c r="B266" s="4">
        <v>0.40408564814814812</v>
      </c>
      <c r="C266" s="1">
        <v>1804</v>
      </c>
      <c r="D266" s="1">
        <v>13002616</v>
      </c>
      <c r="E266" s="1">
        <v>13</v>
      </c>
      <c r="F266" s="1">
        <v>22589</v>
      </c>
      <c r="G266" s="1" t="s">
        <v>21</v>
      </c>
      <c r="H266" s="1">
        <v>15</v>
      </c>
      <c r="I266" s="1">
        <v>418134</v>
      </c>
      <c r="J266" s="14" t="s">
        <v>418</v>
      </c>
      <c r="K266" s="1" t="s">
        <v>29</v>
      </c>
      <c r="L266" s="1" t="s">
        <v>335</v>
      </c>
      <c r="M266" s="14">
        <v>1</v>
      </c>
      <c r="N266" s="2">
        <v>30.54</v>
      </c>
      <c r="O266" s="16">
        <v>36</v>
      </c>
      <c r="P266" s="14">
        <v>2</v>
      </c>
      <c r="Q266" s="14">
        <f t="shared" si="4"/>
        <v>34</v>
      </c>
      <c r="R266" s="1">
        <v>9</v>
      </c>
      <c r="S266" s="1">
        <v>200010002967</v>
      </c>
      <c r="T266" s="1">
        <v>50</v>
      </c>
      <c r="U266" s="1">
        <v>1</v>
      </c>
      <c r="V266" s="1">
        <v>1</v>
      </c>
    </row>
    <row r="267" spans="1:22" x14ac:dyDescent="0.25">
      <c r="A267" s="3">
        <v>44778</v>
      </c>
      <c r="B267" s="4">
        <v>0.64531249999999996</v>
      </c>
      <c r="C267" s="1">
        <v>1864</v>
      </c>
      <c r="D267" s="1">
        <v>13002616</v>
      </c>
      <c r="E267" s="1">
        <v>13</v>
      </c>
      <c r="F267" s="1">
        <v>22589</v>
      </c>
      <c r="G267" s="1" t="s">
        <v>21</v>
      </c>
      <c r="H267" s="1">
        <v>18</v>
      </c>
      <c r="I267" s="1">
        <v>418134</v>
      </c>
      <c r="J267" s="14" t="s">
        <v>418</v>
      </c>
      <c r="K267" s="1" t="s">
        <v>29</v>
      </c>
      <c r="L267" s="1" t="s">
        <v>335</v>
      </c>
      <c r="M267" s="14">
        <v>1</v>
      </c>
      <c r="N267" s="2">
        <v>30.54</v>
      </c>
      <c r="O267" s="16">
        <v>36</v>
      </c>
      <c r="P267" s="14">
        <v>0</v>
      </c>
      <c r="Q267" s="14">
        <f t="shared" si="4"/>
        <v>36</v>
      </c>
      <c r="R267" s="1" t="s">
        <v>25</v>
      </c>
      <c r="S267" s="1" t="s">
        <v>25</v>
      </c>
      <c r="T267" s="1">
        <v>50</v>
      </c>
      <c r="U267" s="1">
        <v>1</v>
      </c>
      <c r="V267" s="1">
        <v>1</v>
      </c>
    </row>
    <row r="268" spans="1:22" x14ac:dyDescent="0.25">
      <c r="A268" s="3">
        <v>44778</v>
      </c>
      <c r="B268" s="4">
        <v>0.64531249999999996</v>
      </c>
      <c r="C268" s="1">
        <v>1864</v>
      </c>
      <c r="D268" s="1">
        <v>13002616</v>
      </c>
      <c r="E268" s="1">
        <v>13</v>
      </c>
      <c r="F268" s="1">
        <v>22589</v>
      </c>
      <c r="G268" s="1" t="s">
        <v>21</v>
      </c>
      <c r="H268" s="1">
        <v>18</v>
      </c>
      <c r="I268" s="1">
        <v>418134</v>
      </c>
      <c r="J268" s="14" t="s">
        <v>418</v>
      </c>
      <c r="K268" s="1" t="s">
        <v>29</v>
      </c>
      <c r="L268" s="1" t="s">
        <v>335</v>
      </c>
      <c r="M268" s="14">
        <v>1</v>
      </c>
      <c r="N268" s="2">
        <v>30.54</v>
      </c>
      <c r="O268" s="16">
        <v>36</v>
      </c>
      <c r="P268" s="14">
        <v>0</v>
      </c>
      <c r="Q268" s="14">
        <f t="shared" si="4"/>
        <v>36</v>
      </c>
      <c r="R268" s="1" t="s">
        <v>25</v>
      </c>
      <c r="S268" s="1" t="s">
        <v>25</v>
      </c>
      <c r="T268" s="1">
        <v>50</v>
      </c>
      <c r="U268" s="1">
        <v>1</v>
      </c>
      <c r="V268" s="1">
        <v>2</v>
      </c>
    </row>
    <row r="269" spans="1:22" x14ac:dyDescent="0.25">
      <c r="A269" s="3">
        <v>44774</v>
      </c>
      <c r="B269" s="4">
        <v>0.43967592592592591</v>
      </c>
      <c r="C269" s="1">
        <v>1291</v>
      </c>
      <c r="D269" s="1">
        <v>13002561</v>
      </c>
      <c r="E269" s="1">
        <v>13</v>
      </c>
      <c r="F269" s="1">
        <v>22589</v>
      </c>
      <c r="G269" s="1" t="s">
        <v>21</v>
      </c>
      <c r="H269" s="1">
        <v>15</v>
      </c>
      <c r="I269" s="1">
        <v>269</v>
      </c>
      <c r="J269" s="14" t="s">
        <v>107</v>
      </c>
      <c r="K269" s="1" t="s">
        <v>29</v>
      </c>
      <c r="L269" s="1" t="s">
        <v>108</v>
      </c>
      <c r="M269" s="14">
        <v>1</v>
      </c>
      <c r="N269" s="2">
        <v>155.68</v>
      </c>
      <c r="O269" s="16">
        <v>195</v>
      </c>
      <c r="P269" s="14">
        <v>13</v>
      </c>
      <c r="Q269" s="14">
        <f t="shared" si="4"/>
        <v>182</v>
      </c>
      <c r="R269" s="1">
        <v>9</v>
      </c>
      <c r="S269" s="1">
        <v>200010004067</v>
      </c>
      <c r="T269" s="1">
        <v>29</v>
      </c>
      <c r="U269" s="1">
        <v>1</v>
      </c>
      <c r="V269" s="1">
        <v>2</v>
      </c>
    </row>
    <row r="270" spans="1:22" x14ac:dyDescent="0.25">
      <c r="A270" s="3">
        <v>44777</v>
      </c>
      <c r="B270" s="4">
        <v>0.60069444444444442</v>
      </c>
      <c r="C270" s="1">
        <v>1728</v>
      </c>
      <c r="D270" s="1">
        <v>13002606</v>
      </c>
      <c r="E270" s="1">
        <v>13</v>
      </c>
      <c r="F270" s="1">
        <v>22589</v>
      </c>
      <c r="G270" s="1" t="s">
        <v>21</v>
      </c>
      <c r="H270" s="1">
        <v>18</v>
      </c>
      <c r="I270" s="1">
        <v>269</v>
      </c>
      <c r="J270" s="14" t="s">
        <v>107</v>
      </c>
      <c r="K270" s="1" t="s">
        <v>29</v>
      </c>
      <c r="L270" s="1" t="s">
        <v>108</v>
      </c>
      <c r="M270" s="14">
        <v>1</v>
      </c>
      <c r="N270" s="2">
        <v>155.68</v>
      </c>
      <c r="O270" s="16">
        <v>195</v>
      </c>
      <c r="P270" s="14">
        <v>13</v>
      </c>
      <c r="Q270" s="14">
        <f t="shared" si="4"/>
        <v>182</v>
      </c>
      <c r="R270" s="1">
        <v>9</v>
      </c>
      <c r="S270" s="1">
        <v>200010022567</v>
      </c>
      <c r="T270" s="1">
        <v>50</v>
      </c>
      <c r="U270" s="1">
        <v>1</v>
      </c>
      <c r="V270" s="1">
        <v>1</v>
      </c>
    </row>
    <row r="271" spans="1:22" x14ac:dyDescent="0.25">
      <c r="A271" s="3">
        <v>44777</v>
      </c>
      <c r="B271" s="4">
        <v>0.60069444444444442</v>
      </c>
      <c r="C271" s="1">
        <v>1728</v>
      </c>
      <c r="D271" s="1">
        <v>13002606</v>
      </c>
      <c r="E271" s="1">
        <v>13</v>
      </c>
      <c r="F271" s="1">
        <v>22589</v>
      </c>
      <c r="G271" s="1" t="s">
        <v>21</v>
      </c>
      <c r="H271" s="1">
        <v>18</v>
      </c>
      <c r="I271" s="1">
        <v>269</v>
      </c>
      <c r="J271" s="14" t="s">
        <v>107</v>
      </c>
      <c r="K271" s="1" t="s">
        <v>29</v>
      </c>
      <c r="L271" s="1" t="s">
        <v>108</v>
      </c>
      <c r="M271" s="14">
        <v>1</v>
      </c>
      <c r="N271" s="2">
        <v>155.68</v>
      </c>
      <c r="O271" s="16">
        <v>195</v>
      </c>
      <c r="P271" s="14">
        <v>13</v>
      </c>
      <c r="Q271" s="14">
        <f t="shared" si="4"/>
        <v>182</v>
      </c>
      <c r="R271" s="1">
        <v>9</v>
      </c>
      <c r="S271" s="1">
        <v>200010022567</v>
      </c>
      <c r="T271" s="1">
        <v>50</v>
      </c>
      <c r="U271" s="1">
        <v>1</v>
      </c>
      <c r="V271" s="1">
        <v>2</v>
      </c>
    </row>
    <row r="272" spans="1:22" x14ac:dyDescent="0.25">
      <c r="A272" s="3">
        <v>44776</v>
      </c>
      <c r="B272" s="4">
        <v>0.70473379629629629</v>
      </c>
      <c r="C272" s="1">
        <v>1630</v>
      </c>
      <c r="D272" s="1">
        <v>13002595</v>
      </c>
      <c r="E272" s="1">
        <v>13</v>
      </c>
      <c r="F272" s="1">
        <v>22589</v>
      </c>
      <c r="G272" s="1" t="s">
        <v>21</v>
      </c>
      <c r="H272" s="1">
        <v>15</v>
      </c>
      <c r="I272" s="1">
        <v>14828</v>
      </c>
      <c r="J272" s="14" t="s">
        <v>885</v>
      </c>
      <c r="K272" s="1" t="s">
        <v>61</v>
      </c>
      <c r="L272" s="1" t="s">
        <v>886</v>
      </c>
      <c r="M272" s="14">
        <v>1</v>
      </c>
      <c r="N272" s="2">
        <v>73.040000000000006</v>
      </c>
      <c r="O272" s="16">
        <v>88</v>
      </c>
      <c r="P272" s="14">
        <v>6</v>
      </c>
      <c r="Q272" s="14">
        <f t="shared" si="4"/>
        <v>82</v>
      </c>
      <c r="R272" s="1">
        <v>9</v>
      </c>
      <c r="S272" s="1">
        <v>200010027867</v>
      </c>
      <c r="T272" s="1">
        <v>29</v>
      </c>
      <c r="U272" s="1">
        <v>1</v>
      </c>
      <c r="V272" s="1">
        <v>1</v>
      </c>
    </row>
    <row r="273" spans="1:22" x14ac:dyDescent="0.25">
      <c r="A273" s="3">
        <v>44778</v>
      </c>
      <c r="B273" s="4">
        <v>0.40689814814814818</v>
      </c>
      <c r="C273" s="1">
        <v>1806</v>
      </c>
      <c r="D273" s="1">
        <v>13002616</v>
      </c>
      <c r="E273" s="1">
        <v>13</v>
      </c>
      <c r="F273" s="1">
        <v>22589</v>
      </c>
      <c r="G273" s="1" t="s">
        <v>21</v>
      </c>
      <c r="H273" s="1">
        <v>18</v>
      </c>
      <c r="I273" s="1">
        <v>14828</v>
      </c>
      <c r="J273" s="14" t="s">
        <v>885</v>
      </c>
      <c r="K273" s="1" t="s">
        <v>61</v>
      </c>
      <c r="L273" s="1" t="s">
        <v>886</v>
      </c>
      <c r="M273" s="14">
        <v>1</v>
      </c>
      <c r="N273" s="2">
        <v>73.040000000000006</v>
      </c>
      <c r="O273" s="16">
        <v>88</v>
      </c>
      <c r="P273" s="14">
        <v>6</v>
      </c>
      <c r="Q273" s="14">
        <f t="shared" si="4"/>
        <v>82</v>
      </c>
      <c r="R273" s="1">
        <v>9</v>
      </c>
      <c r="S273" s="1">
        <v>200010026815</v>
      </c>
      <c r="T273" s="1">
        <v>50</v>
      </c>
      <c r="U273" s="1">
        <v>1</v>
      </c>
      <c r="V273" s="1">
        <v>1</v>
      </c>
    </row>
    <row r="274" spans="1:22" x14ac:dyDescent="0.25">
      <c r="A274" s="3">
        <v>44778</v>
      </c>
      <c r="B274" s="4">
        <v>0.40689814814814818</v>
      </c>
      <c r="C274" s="1">
        <v>1806</v>
      </c>
      <c r="D274" s="1">
        <v>13002616</v>
      </c>
      <c r="E274" s="1">
        <v>13</v>
      </c>
      <c r="F274" s="1">
        <v>22589</v>
      </c>
      <c r="G274" s="1" t="s">
        <v>21</v>
      </c>
      <c r="H274" s="1">
        <v>18</v>
      </c>
      <c r="I274" s="1">
        <v>14828</v>
      </c>
      <c r="J274" s="14" t="s">
        <v>885</v>
      </c>
      <c r="K274" s="1" t="s">
        <v>61</v>
      </c>
      <c r="L274" s="1" t="s">
        <v>886</v>
      </c>
      <c r="M274" s="14">
        <v>1</v>
      </c>
      <c r="N274" s="2">
        <v>73.040000000000006</v>
      </c>
      <c r="O274" s="16">
        <v>88</v>
      </c>
      <c r="P274" s="14">
        <v>6</v>
      </c>
      <c r="Q274" s="14">
        <f t="shared" si="4"/>
        <v>82</v>
      </c>
      <c r="R274" s="1">
        <v>9</v>
      </c>
      <c r="S274" s="1">
        <v>200010026815</v>
      </c>
      <c r="T274" s="1">
        <v>50</v>
      </c>
      <c r="U274" s="1">
        <v>1</v>
      </c>
      <c r="V274" s="1">
        <v>2</v>
      </c>
    </row>
    <row r="275" spans="1:22" x14ac:dyDescent="0.25">
      <c r="A275" s="3">
        <v>44778</v>
      </c>
      <c r="B275" s="4">
        <v>0.51026620370370368</v>
      </c>
      <c r="C275" s="1">
        <v>1832</v>
      </c>
      <c r="D275" s="1">
        <v>13002616</v>
      </c>
      <c r="E275" s="1">
        <v>13</v>
      </c>
      <c r="F275" s="1">
        <v>22589</v>
      </c>
      <c r="G275" s="1" t="s">
        <v>21</v>
      </c>
      <c r="H275" s="1">
        <v>15</v>
      </c>
      <c r="I275" s="1">
        <v>282116</v>
      </c>
      <c r="J275" s="14" t="s">
        <v>1128</v>
      </c>
      <c r="K275" s="1" t="s">
        <v>23</v>
      </c>
      <c r="L275" s="1" t="s">
        <v>39</v>
      </c>
      <c r="M275" s="14">
        <v>1</v>
      </c>
      <c r="N275" s="2">
        <v>320.02999999999997</v>
      </c>
      <c r="O275" s="16">
        <v>423</v>
      </c>
      <c r="P275" s="14">
        <v>29</v>
      </c>
      <c r="Q275" s="14">
        <f t="shared" si="4"/>
        <v>394</v>
      </c>
      <c r="R275" s="1">
        <v>9</v>
      </c>
      <c r="S275" s="1">
        <v>200010017048</v>
      </c>
      <c r="T275" s="1">
        <v>50</v>
      </c>
      <c r="U275" s="1">
        <v>1</v>
      </c>
      <c r="V275" s="1">
        <v>1</v>
      </c>
    </row>
    <row r="276" spans="1:22" x14ac:dyDescent="0.25">
      <c r="A276" s="3">
        <v>44776</v>
      </c>
      <c r="B276" s="4">
        <v>0.50604166666666661</v>
      </c>
      <c r="C276" s="1">
        <v>1575</v>
      </c>
      <c r="D276" s="1">
        <v>13002595</v>
      </c>
      <c r="E276" s="1">
        <v>13</v>
      </c>
      <c r="F276" s="1">
        <v>22589</v>
      </c>
      <c r="G276" s="1" t="s">
        <v>21</v>
      </c>
      <c r="H276" s="1">
        <v>18</v>
      </c>
      <c r="I276" s="1">
        <v>285448</v>
      </c>
      <c r="J276" s="14" t="s">
        <v>786</v>
      </c>
      <c r="K276" s="1" t="s">
        <v>466</v>
      </c>
      <c r="L276" s="1" t="s">
        <v>39</v>
      </c>
      <c r="M276" s="14">
        <v>1</v>
      </c>
      <c r="N276" s="2">
        <v>1032.3499999999999</v>
      </c>
      <c r="O276" s="16">
        <v>1081</v>
      </c>
      <c r="P276" s="14">
        <v>0</v>
      </c>
      <c r="Q276" s="14">
        <f t="shared" si="4"/>
        <v>1081</v>
      </c>
      <c r="R276" s="1" t="s">
        <v>25</v>
      </c>
      <c r="S276" s="1" t="s">
        <v>25</v>
      </c>
      <c r="T276" s="1">
        <v>29</v>
      </c>
      <c r="U276" s="1">
        <v>2</v>
      </c>
      <c r="V276" s="1">
        <v>2</v>
      </c>
    </row>
    <row r="277" spans="1:22" x14ac:dyDescent="0.25">
      <c r="A277" s="3">
        <v>44778</v>
      </c>
      <c r="B277" s="4">
        <v>0.49435185185185188</v>
      </c>
      <c r="C277" s="1">
        <v>1826</v>
      </c>
      <c r="D277" s="1">
        <v>13002616</v>
      </c>
      <c r="E277" s="1">
        <v>13</v>
      </c>
      <c r="F277" s="1">
        <v>22589</v>
      </c>
      <c r="G277" s="1" t="s">
        <v>21</v>
      </c>
      <c r="H277" s="1">
        <v>15</v>
      </c>
      <c r="I277" s="1">
        <v>36976</v>
      </c>
      <c r="J277" s="14" t="s">
        <v>1120</v>
      </c>
      <c r="K277" s="1" t="s">
        <v>51</v>
      </c>
      <c r="L277" s="1" t="s">
        <v>1121</v>
      </c>
      <c r="M277" s="14">
        <v>1</v>
      </c>
      <c r="N277" s="2">
        <v>695.74</v>
      </c>
      <c r="O277" s="16">
        <v>773</v>
      </c>
      <c r="P277" s="14">
        <v>23</v>
      </c>
      <c r="Q277" s="14">
        <f t="shared" si="4"/>
        <v>750</v>
      </c>
      <c r="R277" s="1">
        <v>9</v>
      </c>
      <c r="S277" s="1">
        <v>200010006302</v>
      </c>
      <c r="T277" s="1">
        <v>50</v>
      </c>
      <c r="U277" s="1">
        <v>1</v>
      </c>
      <c r="V277" s="1">
        <v>1</v>
      </c>
    </row>
    <row r="278" spans="1:22" x14ac:dyDescent="0.25">
      <c r="A278" s="3">
        <v>44778</v>
      </c>
      <c r="B278" s="4">
        <v>0.58143518518518522</v>
      </c>
      <c r="C278" s="1">
        <v>1848</v>
      </c>
      <c r="D278" s="1">
        <v>13002616</v>
      </c>
      <c r="E278" s="1">
        <v>13</v>
      </c>
      <c r="F278" s="1">
        <v>22589</v>
      </c>
      <c r="G278" s="1" t="s">
        <v>21</v>
      </c>
      <c r="H278" s="1">
        <v>18</v>
      </c>
      <c r="I278" s="1">
        <v>272</v>
      </c>
      <c r="J278" s="14" t="s">
        <v>1159</v>
      </c>
      <c r="K278" s="1" t="s">
        <v>117</v>
      </c>
      <c r="L278" s="1" t="s">
        <v>1160</v>
      </c>
      <c r="M278" s="14">
        <v>1</v>
      </c>
      <c r="N278" s="2">
        <v>127.23</v>
      </c>
      <c r="O278" s="16">
        <v>153</v>
      </c>
      <c r="P278" s="14">
        <v>7</v>
      </c>
      <c r="Q278" s="14">
        <f t="shared" si="4"/>
        <v>146</v>
      </c>
      <c r="R278" s="1">
        <v>9</v>
      </c>
      <c r="S278" s="1">
        <v>200010022547</v>
      </c>
      <c r="T278" s="1">
        <v>50</v>
      </c>
      <c r="U278" s="1">
        <v>1</v>
      </c>
      <c r="V278" s="1">
        <v>1</v>
      </c>
    </row>
    <row r="279" spans="1:22" x14ac:dyDescent="0.25">
      <c r="A279" s="3">
        <v>44778</v>
      </c>
      <c r="B279" s="4">
        <v>0.38285879629629632</v>
      </c>
      <c r="C279" s="1">
        <v>1791</v>
      </c>
      <c r="D279" s="1">
        <v>13002616</v>
      </c>
      <c r="E279" s="1">
        <v>13</v>
      </c>
      <c r="F279" s="1">
        <v>22589</v>
      </c>
      <c r="G279" s="1" t="s">
        <v>21</v>
      </c>
      <c r="H279" s="1">
        <v>15</v>
      </c>
      <c r="I279" s="1">
        <v>344527</v>
      </c>
      <c r="J279" s="14" t="s">
        <v>1088</v>
      </c>
      <c r="K279" s="1" t="s">
        <v>29</v>
      </c>
      <c r="L279" s="1" t="s">
        <v>862</v>
      </c>
      <c r="M279" s="14">
        <v>1</v>
      </c>
      <c r="N279" s="2">
        <v>54.35</v>
      </c>
      <c r="O279" s="16">
        <v>66</v>
      </c>
      <c r="P279" s="14">
        <v>3</v>
      </c>
      <c r="Q279" s="14">
        <f t="shared" si="4"/>
        <v>63</v>
      </c>
      <c r="R279" s="1">
        <v>9</v>
      </c>
      <c r="S279" s="1">
        <v>200010016190</v>
      </c>
      <c r="T279" s="1">
        <v>50</v>
      </c>
      <c r="U279" s="1">
        <v>1</v>
      </c>
      <c r="V279" s="1">
        <v>1</v>
      </c>
    </row>
    <row r="280" spans="1:22" x14ac:dyDescent="0.25">
      <c r="A280" s="3">
        <v>44774</v>
      </c>
      <c r="B280" s="4">
        <v>0.49380787037037038</v>
      </c>
      <c r="C280" s="1">
        <v>1314</v>
      </c>
      <c r="D280" s="1">
        <v>13002561</v>
      </c>
      <c r="E280" s="1">
        <v>13</v>
      </c>
      <c r="F280" s="1">
        <v>22589</v>
      </c>
      <c r="G280" s="1" t="s">
        <v>21</v>
      </c>
      <c r="H280" s="1">
        <v>15</v>
      </c>
      <c r="I280" s="1">
        <v>279</v>
      </c>
      <c r="J280" s="14" t="s">
        <v>194</v>
      </c>
      <c r="K280" s="1" t="s">
        <v>51</v>
      </c>
      <c r="L280" s="1" t="s">
        <v>195</v>
      </c>
      <c r="M280" s="14">
        <v>1</v>
      </c>
      <c r="N280" s="2">
        <v>77.959999999999994</v>
      </c>
      <c r="O280" s="16">
        <v>96</v>
      </c>
      <c r="P280" s="14">
        <v>4</v>
      </c>
      <c r="Q280" s="14">
        <f t="shared" si="4"/>
        <v>92</v>
      </c>
      <c r="R280" s="1">
        <v>9</v>
      </c>
      <c r="S280" s="1">
        <v>200010001041</v>
      </c>
      <c r="T280" s="1">
        <v>29</v>
      </c>
      <c r="U280" s="1">
        <v>1</v>
      </c>
      <c r="V280" s="1">
        <v>2</v>
      </c>
    </row>
    <row r="281" spans="1:22" x14ac:dyDescent="0.25">
      <c r="A281" s="3">
        <v>44774</v>
      </c>
      <c r="B281" s="4">
        <v>0.50760416666666663</v>
      </c>
      <c r="C281" s="1">
        <v>1320</v>
      </c>
      <c r="D281" s="1">
        <v>13002561</v>
      </c>
      <c r="E281" s="1">
        <v>13</v>
      </c>
      <c r="F281" s="1">
        <v>22589</v>
      </c>
      <c r="G281" s="1" t="s">
        <v>21</v>
      </c>
      <c r="H281" s="1">
        <v>15</v>
      </c>
      <c r="I281" s="1">
        <v>279</v>
      </c>
      <c r="J281" s="14" t="s">
        <v>194</v>
      </c>
      <c r="K281" s="1" t="s">
        <v>51</v>
      </c>
      <c r="L281" s="1" t="s">
        <v>195</v>
      </c>
      <c r="M281" s="14">
        <v>1</v>
      </c>
      <c r="N281" s="2">
        <v>77.959999999999994</v>
      </c>
      <c r="O281" s="16">
        <v>96</v>
      </c>
      <c r="P281" s="14">
        <v>4</v>
      </c>
      <c r="Q281" s="14">
        <f t="shared" si="4"/>
        <v>92</v>
      </c>
      <c r="R281" s="1">
        <v>9</v>
      </c>
      <c r="S281" s="1">
        <v>200010018337</v>
      </c>
      <c r="T281" s="1">
        <v>29</v>
      </c>
      <c r="U281" s="1">
        <v>1</v>
      </c>
      <c r="V281" s="1">
        <v>1</v>
      </c>
    </row>
    <row r="282" spans="1:22" x14ac:dyDescent="0.25">
      <c r="A282" s="3">
        <v>44774</v>
      </c>
      <c r="B282" s="4">
        <v>0.7107175925925926</v>
      </c>
      <c r="C282" s="1">
        <v>1382</v>
      </c>
      <c r="D282" s="1">
        <v>13002561</v>
      </c>
      <c r="E282" s="1">
        <v>13</v>
      </c>
      <c r="F282" s="1">
        <v>22589</v>
      </c>
      <c r="G282" s="1" t="s">
        <v>21</v>
      </c>
      <c r="H282" s="1">
        <v>18</v>
      </c>
      <c r="I282" s="1">
        <v>9426</v>
      </c>
      <c r="J282" s="14" t="s">
        <v>392</v>
      </c>
      <c r="K282" s="1" t="s">
        <v>51</v>
      </c>
      <c r="L282" s="1" t="s">
        <v>195</v>
      </c>
      <c r="M282" s="14">
        <v>1</v>
      </c>
      <c r="N282" s="2">
        <v>177.67</v>
      </c>
      <c r="O282" s="16">
        <v>215</v>
      </c>
      <c r="P282" s="14">
        <v>10</v>
      </c>
      <c r="Q282" s="14">
        <f t="shared" si="4"/>
        <v>205</v>
      </c>
      <c r="R282" s="1">
        <v>9</v>
      </c>
      <c r="S282" s="1">
        <v>200010017788</v>
      </c>
      <c r="T282" s="1">
        <v>29</v>
      </c>
      <c r="U282" s="1">
        <v>1</v>
      </c>
      <c r="V282" s="1">
        <v>2</v>
      </c>
    </row>
    <row r="283" spans="1:22" x14ac:dyDescent="0.25">
      <c r="A283" s="3">
        <v>44778</v>
      </c>
      <c r="B283" s="4">
        <v>0.39747685185185183</v>
      </c>
      <c r="C283" s="1">
        <v>1799</v>
      </c>
      <c r="D283" s="1">
        <v>13002616</v>
      </c>
      <c r="E283" s="1">
        <v>13</v>
      </c>
      <c r="F283" s="1">
        <v>22589</v>
      </c>
      <c r="G283" s="1" t="s">
        <v>21</v>
      </c>
      <c r="H283" s="1">
        <v>15</v>
      </c>
      <c r="I283" s="1">
        <v>9426</v>
      </c>
      <c r="J283" s="14" t="s">
        <v>392</v>
      </c>
      <c r="K283" s="1" t="s">
        <v>51</v>
      </c>
      <c r="L283" s="1" t="s">
        <v>195</v>
      </c>
      <c r="M283" s="14">
        <v>1</v>
      </c>
      <c r="N283" s="2">
        <v>177.67</v>
      </c>
      <c r="O283" s="16">
        <v>215</v>
      </c>
      <c r="P283" s="14">
        <v>10</v>
      </c>
      <c r="Q283" s="14">
        <f t="shared" si="4"/>
        <v>205</v>
      </c>
      <c r="R283" s="1">
        <v>9</v>
      </c>
      <c r="S283" s="1">
        <v>200010022565</v>
      </c>
      <c r="T283" s="1">
        <v>50</v>
      </c>
      <c r="U283" s="1">
        <v>1</v>
      </c>
      <c r="V283" s="1">
        <v>1</v>
      </c>
    </row>
    <row r="284" spans="1:22" x14ac:dyDescent="0.25">
      <c r="A284" s="3">
        <v>44778</v>
      </c>
      <c r="B284" s="4">
        <v>0.39747685185185183</v>
      </c>
      <c r="C284" s="1">
        <v>1799</v>
      </c>
      <c r="D284" s="1">
        <v>13002616</v>
      </c>
      <c r="E284" s="1">
        <v>13</v>
      </c>
      <c r="F284" s="1">
        <v>22589</v>
      </c>
      <c r="G284" s="1" t="s">
        <v>21</v>
      </c>
      <c r="H284" s="1">
        <v>15</v>
      </c>
      <c r="I284" s="1">
        <v>9426</v>
      </c>
      <c r="J284" s="14" t="s">
        <v>392</v>
      </c>
      <c r="K284" s="1" t="s">
        <v>51</v>
      </c>
      <c r="L284" s="1" t="s">
        <v>195</v>
      </c>
      <c r="M284" s="14">
        <v>1</v>
      </c>
      <c r="N284" s="2">
        <v>177.67</v>
      </c>
      <c r="O284" s="16">
        <v>215</v>
      </c>
      <c r="P284" s="14">
        <v>10</v>
      </c>
      <c r="Q284" s="14">
        <f t="shared" si="4"/>
        <v>205</v>
      </c>
      <c r="R284" s="1">
        <v>9</v>
      </c>
      <c r="S284" s="1">
        <v>200010022565</v>
      </c>
      <c r="T284" s="1">
        <v>50</v>
      </c>
      <c r="U284" s="1">
        <v>1</v>
      </c>
      <c r="V284" s="1">
        <v>2</v>
      </c>
    </row>
    <row r="285" spans="1:22" x14ac:dyDescent="0.25">
      <c r="A285" s="3">
        <v>44776</v>
      </c>
      <c r="B285" s="4">
        <v>0.50604166666666661</v>
      </c>
      <c r="C285" s="1">
        <v>1575</v>
      </c>
      <c r="D285" s="1">
        <v>13002595</v>
      </c>
      <c r="E285" s="1">
        <v>13</v>
      </c>
      <c r="F285" s="1">
        <v>22589</v>
      </c>
      <c r="G285" s="1" t="s">
        <v>21</v>
      </c>
      <c r="H285" s="1">
        <v>18</v>
      </c>
      <c r="I285" s="1">
        <v>381540</v>
      </c>
      <c r="J285" s="14" t="s">
        <v>788</v>
      </c>
      <c r="K285" s="1" t="s">
        <v>466</v>
      </c>
      <c r="L285" s="1" t="s">
        <v>789</v>
      </c>
      <c r="M285" s="14">
        <v>1</v>
      </c>
      <c r="N285" s="2">
        <v>3325.3</v>
      </c>
      <c r="O285" s="16">
        <v>3482</v>
      </c>
      <c r="P285" s="14">
        <v>0</v>
      </c>
      <c r="Q285" s="14">
        <f t="shared" si="4"/>
        <v>3482</v>
      </c>
      <c r="R285" s="1" t="s">
        <v>25</v>
      </c>
      <c r="S285" s="1" t="s">
        <v>25</v>
      </c>
      <c r="T285" s="1">
        <v>29</v>
      </c>
      <c r="U285" s="1">
        <v>2</v>
      </c>
      <c r="V285" s="1">
        <v>3</v>
      </c>
    </row>
    <row r="286" spans="1:22" x14ac:dyDescent="0.25">
      <c r="A286" s="3">
        <v>44777</v>
      </c>
      <c r="B286" s="4">
        <v>0.54883101851851857</v>
      </c>
      <c r="C286" s="1">
        <v>1715</v>
      </c>
      <c r="D286" s="1">
        <v>13002606</v>
      </c>
      <c r="E286" s="1">
        <v>13</v>
      </c>
      <c r="F286" s="1">
        <v>22589</v>
      </c>
      <c r="G286" s="1" t="s">
        <v>21</v>
      </c>
      <c r="H286" s="1">
        <v>18</v>
      </c>
      <c r="I286" s="1">
        <v>45763</v>
      </c>
      <c r="J286" s="14" t="s">
        <v>1005</v>
      </c>
      <c r="K286" s="1" t="s">
        <v>23</v>
      </c>
      <c r="L286" s="1" t="s">
        <v>137</v>
      </c>
      <c r="M286" s="14">
        <v>1</v>
      </c>
      <c r="N286" s="2">
        <v>566.89</v>
      </c>
      <c r="O286" s="16">
        <v>633</v>
      </c>
      <c r="P286" s="14">
        <v>18</v>
      </c>
      <c r="Q286" s="14">
        <f t="shared" si="4"/>
        <v>615</v>
      </c>
      <c r="R286" s="1">
        <v>9</v>
      </c>
      <c r="S286" s="1">
        <v>200010001580</v>
      </c>
      <c r="T286" s="1">
        <v>50</v>
      </c>
      <c r="U286" s="1">
        <v>1</v>
      </c>
      <c r="V286" s="1">
        <v>1</v>
      </c>
    </row>
    <row r="287" spans="1:22" x14ac:dyDescent="0.25">
      <c r="A287" s="3">
        <v>44775</v>
      </c>
      <c r="B287" s="4">
        <v>0.52812499999999996</v>
      </c>
      <c r="C287" s="1">
        <v>1466</v>
      </c>
      <c r="D287" s="1">
        <v>13002581</v>
      </c>
      <c r="E287" s="1">
        <v>13</v>
      </c>
      <c r="F287" s="1">
        <v>22589</v>
      </c>
      <c r="G287" s="1" t="s">
        <v>21</v>
      </c>
      <c r="H287" s="1">
        <v>15</v>
      </c>
      <c r="I287" s="1">
        <v>45613</v>
      </c>
      <c r="J287" s="14" t="s">
        <v>578</v>
      </c>
      <c r="K287" s="1" t="s">
        <v>51</v>
      </c>
      <c r="L287" s="1" t="s">
        <v>391</v>
      </c>
      <c r="M287" s="14">
        <v>1</v>
      </c>
      <c r="N287" s="2">
        <v>79.42</v>
      </c>
      <c r="O287" s="16">
        <v>102</v>
      </c>
      <c r="P287" s="14">
        <v>5</v>
      </c>
      <c r="Q287" s="14">
        <f t="shared" si="4"/>
        <v>97</v>
      </c>
      <c r="R287" s="1">
        <v>9</v>
      </c>
      <c r="S287" s="1">
        <v>200010000719</v>
      </c>
      <c r="T287" s="1">
        <v>29</v>
      </c>
      <c r="U287" s="1">
        <v>1</v>
      </c>
      <c r="V287" s="1">
        <v>1</v>
      </c>
    </row>
    <row r="288" spans="1:22" x14ac:dyDescent="0.25">
      <c r="A288" s="3">
        <v>44778</v>
      </c>
      <c r="B288" s="4">
        <v>0.73554398148148148</v>
      </c>
      <c r="C288" s="1">
        <v>1884</v>
      </c>
      <c r="D288" s="1">
        <v>13002616</v>
      </c>
      <c r="E288" s="1">
        <v>13</v>
      </c>
      <c r="F288" s="1">
        <v>22589</v>
      </c>
      <c r="G288" s="1" t="s">
        <v>21</v>
      </c>
      <c r="H288" s="1">
        <v>18</v>
      </c>
      <c r="I288" s="1">
        <v>283143</v>
      </c>
      <c r="J288" s="14" t="s">
        <v>1204</v>
      </c>
      <c r="K288" s="1" t="s">
        <v>23</v>
      </c>
      <c r="L288" s="1" t="s">
        <v>1205</v>
      </c>
      <c r="M288" s="14">
        <v>1</v>
      </c>
      <c r="N288" s="2">
        <v>1152.17</v>
      </c>
      <c r="O288" s="16">
        <v>1276</v>
      </c>
      <c r="P288" s="14">
        <v>63</v>
      </c>
      <c r="Q288" s="14">
        <f t="shared" si="4"/>
        <v>1213</v>
      </c>
      <c r="R288" s="1">
        <v>9</v>
      </c>
      <c r="S288" s="1">
        <v>200010019194</v>
      </c>
      <c r="T288" s="1">
        <v>50</v>
      </c>
      <c r="U288" s="1">
        <v>1</v>
      </c>
      <c r="V288" s="1">
        <v>1</v>
      </c>
    </row>
    <row r="289" spans="1:24" x14ac:dyDescent="0.25">
      <c r="A289" s="3">
        <v>44778</v>
      </c>
      <c r="B289" s="4">
        <v>0.58281249999999996</v>
      </c>
      <c r="C289" s="1">
        <v>1849</v>
      </c>
      <c r="D289" s="1">
        <v>13002616</v>
      </c>
      <c r="E289" s="1">
        <v>13</v>
      </c>
      <c r="F289" s="1">
        <v>22589</v>
      </c>
      <c r="G289" s="1" t="s">
        <v>21</v>
      </c>
      <c r="H289" s="1">
        <v>18</v>
      </c>
      <c r="I289" s="1">
        <v>301848</v>
      </c>
      <c r="J289" s="14" t="s">
        <v>1162</v>
      </c>
      <c r="K289" s="1" t="s">
        <v>141</v>
      </c>
      <c r="L289" s="1" t="s">
        <v>1163</v>
      </c>
      <c r="M289" s="14">
        <v>1</v>
      </c>
      <c r="N289" s="2">
        <v>35.82</v>
      </c>
      <c r="O289" s="16">
        <v>59</v>
      </c>
      <c r="P289" s="14">
        <v>5</v>
      </c>
      <c r="Q289" s="14">
        <f t="shared" si="4"/>
        <v>54</v>
      </c>
      <c r="R289" s="1">
        <v>9</v>
      </c>
      <c r="S289" s="1">
        <v>200010019633</v>
      </c>
      <c r="T289" s="1">
        <v>50</v>
      </c>
      <c r="U289" s="1">
        <v>1</v>
      </c>
      <c r="V289" s="1">
        <v>2</v>
      </c>
    </row>
    <row r="290" spans="1:24" x14ac:dyDescent="0.25">
      <c r="A290" s="3">
        <v>44774</v>
      </c>
      <c r="B290" s="4">
        <v>0.57680555555555557</v>
      </c>
      <c r="C290" s="1">
        <v>1348</v>
      </c>
      <c r="D290" s="1">
        <v>13002561</v>
      </c>
      <c r="E290" s="1">
        <v>13</v>
      </c>
      <c r="F290" s="1">
        <v>22589</v>
      </c>
      <c r="G290" s="1" t="s">
        <v>21</v>
      </c>
      <c r="H290" s="1">
        <v>15</v>
      </c>
      <c r="I290" s="1">
        <v>539074</v>
      </c>
      <c r="J290" s="14" t="s">
        <v>308</v>
      </c>
      <c r="K290" s="1" t="s">
        <v>23</v>
      </c>
      <c r="L290" s="1" t="s">
        <v>309</v>
      </c>
      <c r="M290" s="14">
        <v>1</v>
      </c>
      <c r="N290" s="2">
        <v>174.18</v>
      </c>
      <c r="O290" s="16">
        <v>270</v>
      </c>
      <c r="P290" s="14">
        <v>27</v>
      </c>
      <c r="Q290" s="14">
        <f t="shared" si="4"/>
        <v>243</v>
      </c>
      <c r="R290" s="1">
        <v>9</v>
      </c>
      <c r="S290" s="1">
        <v>200010021953</v>
      </c>
      <c r="T290" s="1">
        <v>29</v>
      </c>
      <c r="U290" s="1">
        <v>1</v>
      </c>
      <c r="V290" s="1">
        <v>4</v>
      </c>
    </row>
    <row r="291" spans="1:24" x14ac:dyDescent="0.25">
      <c r="A291" s="3">
        <v>44775</v>
      </c>
      <c r="B291" s="4">
        <v>0.74587962962962961</v>
      </c>
      <c r="C291" s="1">
        <v>1518</v>
      </c>
      <c r="D291" s="1">
        <v>13002581</v>
      </c>
      <c r="E291" s="1">
        <v>13</v>
      </c>
      <c r="F291" s="1">
        <v>22589</v>
      </c>
      <c r="G291" s="1" t="s">
        <v>21</v>
      </c>
      <c r="H291" s="1">
        <v>15</v>
      </c>
      <c r="I291" s="1">
        <v>397305</v>
      </c>
      <c r="J291" s="14" t="s">
        <v>671</v>
      </c>
      <c r="K291" s="1" t="s">
        <v>466</v>
      </c>
      <c r="L291" s="1" t="s">
        <v>672</v>
      </c>
      <c r="M291" s="14">
        <v>1</v>
      </c>
      <c r="N291" s="2">
        <v>132.72</v>
      </c>
      <c r="O291" s="16">
        <v>139</v>
      </c>
      <c r="P291" s="14">
        <v>0</v>
      </c>
      <c r="Q291" s="14">
        <f t="shared" si="4"/>
        <v>139</v>
      </c>
      <c r="R291" s="1" t="s">
        <v>25</v>
      </c>
      <c r="S291" s="1" t="s">
        <v>25</v>
      </c>
      <c r="T291" s="1">
        <v>29</v>
      </c>
      <c r="U291" s="1">
        <v>2</v>
      </c>
      <c r="V291" s="1">
        <v>7</v>
      </c>
    </row>
    <row r="292" spans="1:24" x14ac:dyDescent="0.25">
      <c r="A292" s="3">
        <v>44774</v>
      </c>
      <c r="B292" s="4">
        <v>0.81342592592592589</v>
      </c>
      <c r="C292" s="1">
        <v>1408</v>
      </c>
      <c r="D292" s="1">
        <v>13002561</v>
      </c>
      <c r="E292" s="1">
        <v>13</v>
      </c>
      <c r="F292" s="1">
        <v>22589</v>
      </c>
      <c r="G292" s="1" t="s">
        <v>21</v>
      </c>
      <c r="H292" s="1">
        <v>18</v>
      </c>
      <c r="I292" s="1">
        <v>5939</v>
      </c>
      <c r="J292" s="14" t="s">
        <v>465</v>
      </c>
      <c r="K292" s="1" t="s">
        <v>466</v>
      </c>
      <c r="L292" s="1" t="s">
        <v>175</v>
      </c>
      <c r="M292" s="14">
        <v>1</v>
      </c>
      <c r="N292" s="2">
        <v>1201.31</v>
      </c>
      <c r="O292" s="16">
        <v>1258</v>
      </c>
      <c r="P292" s="14">
        <v>0</v>
      </c>
      <c r="Q292" s="14">
        <f t="shared" si="4"/>
        <v>1258</v>
      </c>
      <c r="R292" s="1" t="s">
        <v>25</v>
      </c>
      <c r="S292" s="1" t="s">
        <v>25</v>
      </c>
      <c r="T292" s="1">
        <v>29</v>
      </c>
      <c r="U292" s="1">
        <v>2</v>
      </c>
      <c r="V292" s="1">
        <v>1</v>
      </c>
    </row>
    <row r="293" spans="1:24" x14ac:dyDescent="0.25">
      <c r="A293" s="3">
        <v>44777</v>
      </c>
      <c r="B293" s="4">
        <v>0.46196759259259257</v>
      </c>
      <c r="C293" s="1">
        <v>1677</v>
      </c>
      <c r="D293" s="1">
        <v>13002606</v>
      </c>
      <c r="E293" s="1">
        <v>13</v>
      </c>
      <c r="F293" s="1">
        <v>22589</v>
      </c>
      <c r="G293" s="1" t="s">
        <v>21</v>
      </c>
      <c r="H293" s="1">
        <v>18</v>
      </c>
      <c r="I293" s="1">
        <v>5939</v>
      </c>
      <c r="J293" s="14" t="s">
        <v>465</v>
      </c>
      <c r="K293" s="1" t="s">
        <v>51</v>
      </c>
      <c r="L293" s="1" t="s">
        <v>175</v>
      </c>
      <c r="M293" s="14">
        <v>1</v>
      </c>
      <c r="N293" s="2">
        <v>1070.22</v>
      </c>
      <c r="O293" s="16">
        <v>1338</v>
      </c>
      <c r="P293" s="14">
        <v>200</v>
      </c>
      <c r="Q293" s="14">
        <f t="shared" si="4"/>
        <v>1138</v>
      </c>
      <c r="R293" s="1">
        <v>11</v>
      </c>
      <c r="S293" s="1">
        <v>200010000010</v>
      </c>
      <c r="T293" s="1">
        <v>50</v>
      </c>
      <c r="U293" s="1">
        <v>1</v>
      </c>
      <c r="V293" s="1">
        <v>1</v>
      </c>
    </row>
    <row r="294" spans="1:24" x14ac:dyDescent="0.25">
      <c r="A294" s="3">
        <v>44776</v>
      </c>
      <c r="B294" s="4">
        <v>0.4768634259259259</v>
      </c>
      <c r="C294" s="1">
        <v>1566</v>
      </c>
      <c r="D294" s="1">
        <v>13002595</v>
      </c>
      <c r="E294" s="1">
        <v>13</v>
      </c>
      <c r="F294" s="1">
        <v>22589</v>
      </c>
      <c r="G294" s="1" t="s">
        <v>21</v>
      </c>
      <c r="H294" s="1">
        <v>15</v>
      </c>
      <c r="I294" s="1">
        <v>13670</v>
      </c>
      <c r="J294" s="14" t="s">
        <v>764</v>
      </c>
      <c r="K294" s="1" t="s">
        <v>34</v>
      </c>
      <c r="L294" s="1" t="s">
        <v>765</v>
      </c>
      <c r="M294" s="14">
        <v>1</v>
      </c>
      <c r="N294" s="2">
        <v>170.87</v>
      </c>
      <c r="O294" s="16">
        <v>206</v>
      </c>
      <c r="P294" s="14">
        <v>0</v>
      </c>
      <c r="Q294" s="14">
        <f t="shared" si="4"/>
        <v>206</v>
      </c>
      <c r="R294" s="1" t="s">
        <v>25</v>
      </c>
      <c r="S294" s="1" t="s">
        <v>25</v>
      </c>
      <c r="T294" s="1">
        <v>29</v>
      </c>
      <c r="U294" s="1">
        <v>1</v>
      </c>
      <c r="V294" s="1">
        <v>1</v>
      </c>
    </row>
    <row r="295" spans="1:24" x14ac:dyDescent="0.25">
      <c r="A295" s="3">
        <v>44776</v>
      </c>
      <c r="B295" s="4">
        <v>0.36964120370370368</v>
      </c>
      <c r="C295" s="1">
        <v>1543</v>
      </c>
      <c r="D295" s="1">
        <v>13002595</v>
      </c>
      <c r="E295" s="1">
        <v>13</v>
      </c>
      <c r="F295" s="1">
        <v>22589</v>
      </c>
      <c r="G295" s="1" t="s">
        <v>21</v>
      </c>
      <c r="H295" s="1">
        <v>18</v>
      </c>
      <c r="I295" s="1">
        <v>344614</v>
      </c>
      <c r="J295" s="14" t="s">
        <v>713</v>
      </c>
      <c r="K295" s="1" t="s">
        <v>51</v>
      </c>
      <c r="L295" s="1" t="s">
        <v>423</v>
      </c>
      <c r="M295" s="14">
        <v>1</v>
      </c>
      <c r="N295" s="2">
        <v>35.65</v>
      </c>
      <c r="O295" s="16">
        <v>43</v>
      </c>
      <c r="P295" s="14">
        <v>0</v>
      </c>
      <c r="Q295" s="14">
        <f t="shared" si="4"/>
        <v>43</v>
      </c>
      <c r="R295" s="1" t="s">
        <v>25</v>
      </c>
      <c r="S295" s="1" t="s">
        <v>25</v>
      </c>
      <c r="T295" s="1">
        <v>29</v>
      </c>
      <c r="U295" s="1">
        <v>1</v>
      </c>
      <c r="V295" s="1">
        <v>2</v>
      </c>
    </row>
    <row r="296" spans="1:24" x14ac:dyDescent="0.25">
      <c r="A296" s="3">
        <v>44776</v>
      </c>
      <c r="B296" s="4">
        <v>0.44354166666666667</v>
      </c>
      <c r="C296" s="1">
        <v>1557</v>
      </c>
      <c r="D296" s="1">
        <v>13002595</v>
      </c>
      <c r="E296" s="1">
        <v>13</v>
      </c>
      <c r="F296" s="1">
        <v>22589</v>
      </c>
      <c r="G296" s="1" t="s">
        <v>21</v>
      </c>
      <c r="H296" s="1">
        <v>15</v>
      </c>
      <c r="I296" s="1">
        <v>344752</v>
      </c>
      <c r="J296" s="14" t="s">
        <v>745</v>
      </c>
      <c r="K296" s="1" t="s">
        <v>64</v>
      </c>
      <c r="L296" s="1" t="s">
        <v>746</v>
      </c>
      <c r="M296" s="14">
        <v>1</v>
      </c>
      <c r="N296" s="2">
        <v>40.880000000000003</v>
      </c>
      <c r="O296" s="16">
        <v>66</v>
      </c>
      <c r="P296" s="14">
        <v>3</v>
      </c>
      <c r="Q296" s="14">
        <f t="shared" si="4"/>
        <v>63</v>
      </c>
      <c r="R296" s="1">
        <v>9</v>
      </c>
      <c r="S296" s="1">
        <v>200010020276</v>
      </c>
      <c r="T296" s="1">
        <v>29</v>
      </c>
      <c r="U296" s="1">
        <v>1</v>
      </c>
      <c r="V296" s="1">
        <v>1</v>
      </c>
    </row>
    <row r="297" spans="1:24" x14ac:dyDescent="0.25">
      <c r="A297" s="3">
        <v>44776</v>
      </c>
      <c r="B297" s="4">
        <v>0.48781249999999998</v>
      </c>
      <c r="C297" s="1">
        <v>1570</v>
      </c>
      <c r="D297" s="1">
        <v>13002595</v>
      </c>
      <c r="E297" s="1">
        <v>13</v>
      </c>
      <c r="F297" s="1">
        <v>22589</v>
      </c>
      <c r="G297" s="1" t="s">
        <v>21</v>
      </c>
      <c r="H297" s="1">
        <v>18</v>
      </c>
      <c r="I297" s="1">
        <v>344752</v>
      </c>
      <c r="J297" s="14" t="s">
        <v>745</v>
      </c>
      <c r="K297" s="1" t="s">
        <v>64</v>
      </c>
      <c r="L297" s="1" t="s">
        <v>746</v>
      </c>
      <c r="M297" s="14">
        <v>1</v>
      </c>
      <c r="N297" s="2">
        <v>40.880000000000003</v>
      </c>
      <c r="O297" s="16">
        <v>66</v>
      </c>
      <c r="P297" s="14">
        <v>3</v>
      </c>
      <c r="Q297" s="14">
        <f t="shared" si="4"/>
        <v>63</v>
      </c>
      <c r="R297" s="1">
        <v>9</v>
      </c>
      <c r="S297" s="1">
        <v>200010026823</v>
      </c>
      <c r="T297" s="1">
        <v>29</v>
      </c>
      <c r="U297" s="1">
        <v>1</v>
      </c>
      <c r="V297" s="1">
        <v>2</v>
      </c>
    </row>
    <row r="298" spans="1:24" x14ac:dyDescent="0.25">
      <c r="A298" s="3">
        <v>44776</v>
      </c>
      <c r="B298" s="4">
        <v>0.48781249999999998</v>
      </c>
      <c r="C298" s="1">
        <v>1570</v>
      </c>
      <c r="D298" s="1">
        <v>13002595</v>
      </c>
      <c r="E298" s="1">
        <v>13</v>
      </c>
      <c r="F298" s="1">
        <v>22589</v>
      </c>
      <c r="G298" s="1" t="s">
        <v>21</v>
      </c>
      <c r="H298" s="1">
        <v>18</v>
      </c>
      <c r="I298" s="1">
        <v>344752</v>
      </c>
      <c r="J298" s="14" t="s">
        <v>745</v>
      </c>
      <c r="K298" s="1" t="s">
        <v>64</v>
      </c>
      <c r="L298" s="1" t="s">
        <v>746</v>
      </c>
      <c r="M298" s="14">
        <v>1</v>
      </c>
      <c r="N298" s="2">
        <v>40.880000000000003</v>
      </c>
      <c r="O298" s="16">
        <v>66</v>
      </c>
      <c r="P298" s="14">
        <v>3</v>
      </c>
      <c r="Q298" s="14">
        <f t="shared" si="4"/>
        <v>63</v>
      </c>
      <c r="R298" s="1">
        <v>9</v>
      </c>
      <c r="S298" s="1">
        <v>200010026823</v>
      </c>
      <c r="T298" s="1">
        <v>29</v>
      </c>
      <c r="U298" s="1">
        <v>1</v>
      </c>
      <c r="V298" s="1">
        <v>3</v>
      </c>
    </row>
    <row r="299" spans="1:24" x14ac:dyDescent="0.25">
      <c r="A299" s="3">
        <v>44776</v>
      </c>
      <c r="B299" s="4">
        <v>0.60665509259259254</v>
      </c>
      <c r="C299" s="1">
        <v>1609</v>
      </c>
      <c r="D299" s="1">
        <v>13002595</v>
      </c>
      <c r="E299" s="1">
        <v>13</v>
      </c>
      <c r="F299" s="1">
        <v>22589</v>
      </c>
      <c r="G299" s="1" t="s">
        <v>21</v>
      </c>
      <c r="H299" s="1">
        <v>18</v>
      </c>
      <c r="I299" s="1">
        <v>344752</v>
      </c>
      <c r="J299" s="14" t="s">
        <v>745</v>
      </c>
      <c r="K299" s="1" t="s">
        <v>64</v>
      </c>
      <c r="L299" s="1" t="s">
        <v>746</v>
      </c>
      <c r="M299" s="14">
        <v>1</v>
      </c>
      <c r="N299" s="2">
        <v>40.880000000000003</v>
      </c>
      <c r="O299" s="16">
        <v>66</v>
      </c>
      <c r="P299" s="14">
        <v>0</v>
      </c>
      <c r="Q299" s="14">
        <f t="shared" si="4"/>
        <v>66</v>
      </c>
      <c r="R299" s="1" t="s">
        <v>25</v>
      </c>
      <c r="S299" s="1" t="s">
        <v>25</v>
      </c>
      <c r="T299" s="1">
        <v>29</v>
      </c>
      <c r="U299" s="1">
        <v>1</v>
      </c>
      <c r="V299" s="1">
        <v>2</v>
      </c>
    </row>
    <row r="300" spans="1:24" x14ac:dyDescent="0.25">
      <c r="A300" s="3">
        <v>44774</v>
      </c>
      <c r="B300" s="4">
        <v>0.44123842592592594</v>
      </c>
      <c r="C300" s="1">
        <v>1292</v>
      </c>
      <c r="D300" s="1">
        <v>13002561</v>
      </c>
      <c r="E300" s="1">
        <v>13</v>
      </c>
      <c r="F300" s="1">
        <v>22589</v>
      </c>
      <c r="G300" s="1" t="s">
        <v>21</v>
      </c>
      <c r="H300" s="1">
        <v>18</v>
      </c>
      <c r="I300" s="1">
        <v>304</v>
      </c>
      <c r="J300" s="14" t="s">
        <v>113</v>
      </c>
      <c r="K300" s="1" t="s">
        <v>29</v>
      </c>
      <c r="L300" s="1" t="s">
        <v>114</v>
      </c>
      <c r="M300" s="14">
        <v>1</v>
      </c>
      <c r="N300" s="2">
        <v>104.35</v>
      </c>
      <c r="O300" s="16">
        <v>125</v>
      </c>
      <c r="P300" s="14">
        <v>6</v>
      </c>
      <c r="Q300" s="14">
        <f t="shared" si="4"/>
        <v>119</v>
      </c>
      <c r="R300" s="1">
        <v>9</v>
      </c>
      <c r="S300" s="1">
        <v>200010020276</v>
      </c>
      <c r="T300" s="1">
        <v>29</v>
      </c>
      <c r="U300" s="1">
        <v>1</v>
      </c>
      <c r="V300" s="1">
        <v>1</v>
      </c>
    </row>
    <row r="301" spans="1:24" x14ac:dyDescent="0.25">
      <c r="A301" s="3">
        <v>44778</v>
      </c>
      <c r="B301" s="4">
        <v>0.64842592592592596</v>
      </c>
      <c r="C301" s="1">
        <v>1865</v>
      </c>
      <c r="D301" s="1">
        <v>13002616</v>
      </c>
      <c r="E301" s="1">
        <v>13</v>
      </c>
      <c r="F301" s="1">
        <v>22589</v>
      </c>
      <c r="G301" s="1" t="s">
        <v>21</v>
      </c>
      <c r="H301" s="1">
        <v>18</v>
      </c>
      <c r="I301" s="1">
        <v>304</v>
      </c>
      <c r="J301" s="14" t="s">
        <v>113</v>
      </c>
      <c r="K301" s="1" t="s">
        <v>23</v>
      </c>
      <c r="L301" s="1" t="s">
        <v>600</v>
      </c>
      <c r="M301" s="14">
        <v>1</v>
      </c>
      <c r="N301" s="2">
        <v>102.6</v>
      </c>
      <c r="O301" s="16">
        <v>124</v>
      </c>
      <c r="P301" s="14">
        <v>0</v>
      </c>
      <c r="Q301" s="14">
        <f t="shared" si="4"/>
        <v>124</v>
      </c>
      <c r="R301" s="1" t="s">
        <v>25</v>
      </c>
      <c r="S301" s="1" t="s">
        <v>25</v>
      </c>
      <c r="T301" s="1">
        <v>50</v>
      </c>
      <c r="U301" s="1">
        <v>1</v>
      </c>
      <c r="V301" s="1">
        <v>1</v>
      </c>
    </row>
    <row r="302" spans="1:24" x14ac:dyDescent="0.25">
      <c r="A302" s="3">
        <v>44775</v>
      </c>
      <c r="B302" s="4">
        <v>0.78771990740740738</v>
      </c>
      <c r="C302" s="1">
        <v>1527</v>
      </c>
      <c r="D302" s="1">
        <v>13002581</v>
      </c>
      <c r="E302" s="1">
        <v>13</v>
      </c>
      <c r="F302" s="1">
        <v>22589</v>
      </c>
      <c r="G302" s="1" t="s">
        <v>21</v>
      </c>
      <c r="H302" s="1">
        <v>18</v>
      </c>
      <c r="I302" s="1">
        <v>267627</v>
      </c>
      <c r="J302" s="14" t="s">
        <v>686</v>
      </c>
      <c r="K302" s="1" t="s">
        <v>51</v>
      </c>
      <c r="L302" s="1" t="s">
        <v>295</v>
      </c>
      <c r="M302" s="14">
        <v>1</v>
      </c>
      <c r="N302" s="2">
        <v>798.64</v>
      </c>
      <c r="O302" s="16">
        <v>935</v>
      </c>
      <c r="P302" s="14">
        <v>93</v>
      </c>
      <c r="Q302" s="14">
        <f t="shared" si="4"/>
        <v>842</v>
      </c>
      <c r="R302" s="1">
        <v>9</v>
      </c>
      <c r="S302" s="1">
        <v>200010020455</v>
      </c>
      <c r="T302" s="1">
        <v>29</v>
      </c>
      <c r="U302" s="1">
        <v>1</v>
      </c>
      <c r="V302" s="1">
        <v>3</v>
      </c>
    </row>
    <row r="303" spans="1:24" x14ac:dyDescent="0.25">
      <c r="A303" s="3">
        <v>44774</v>
      </c>
      <c r="B303" s="4">
        <v>0.5639467592592593</v>
      </c>
      <c r="C303" s="1">
        <v>1344</v>
      </c>
      <c r="D303" s="1">
        <v>13002561</v>
      </c>
      <c r="E303" s="1">
        <v>13</v>
      </c>
      <c r="F303" s="1">
        <v>22589</v>
      </c>
      <c r="G303" s="1" t="s">
        <v>21</v>
      </c>
      <c r="H303" s="1">
        <v>15</v>
      </c>
      <c r="I303" s="1">
        <v>255456</v>
      </c>
      <c r="J303" s="14" t="s">
        <v>294</v>
      </c>
      <c r="K303" s="1" t="s">
        <v>34</v>
      </c>
      <c r="L303" s="1" t="s">
        <v>295</v>
      </c>
      <c r="M303" s="14">
        <v>1</v>
      </c>
      <c r="N303" s="2">
        <v>503.92</v>
      </c>
      <c r="O303" s="16">
        <v>630</v>
      </c>
      <c r="P303" s="14">
        <v>44</v>
      </c>
      <c r="Q303" s="14">
        <f t="shared" si="4"/>
        <v>586</v>
      </c>
      <c r="R303" s="1">
        <v>9</v>
      </c>
      <c r="S303" s="1">
        <v>200010022491</v>
      </c>
      <c r="T303" s="1">
        <v>29</v>
      </c>
      <c r="U303" s="1">
        <v>1</v>
      </c>
      <c r="V303" s="1">
        <v>1</v>
      </c>
    </row>
    <row r="304" spans="1:24" x14ac:dyDescent="0.25">
      <c r="A304" s="3">
        <v>44774</v>
      </c>
      <c r="B304" s="4">
        <v>0.33770833333333333</v>
      </c>
      <c r="C304" s="1">
        <v>1272</v>
      </c>
      <c r="D304" s="1">
        <v>13002561</v>
      </c>
      <c r="E304" s="1">
        <v>13</v>
      </c>
      <c r="F304" s="1">
        <v>22589</v>
      </c>
      <c r="G304" s="1" t="s">
        <v>21</v>
      </c>
      <c r="H304" s="1">
        <v>18</v>
      </c>
      <c r="I304" s="1">
        <v>144734</v>
      </c>
      <c r="J304" s="14" t="s">
        <v>22</v>
      </c>
      <c r="K304" s="1" t="s">
        <v>23</v>
      </c>
      <c r="L304" s="1" t="s">
        <v>24</v>
      </c>
      <c r="M304" s="14">
        <v>1</v>
      </c>
      <c r="N304" s="2">
        <v>196.71</v>
      </c>
      <c r="O304" s="16">
        <v>270</v>
      </c>
      <c r="P304" s="14">
        <v>0</v>
      </c>
      <c r="Q304" s="14">
        <f t="shared" si="4"/>
        <v>270</v>
      </c>
      <c r="R304" s="1" t="s">
        <v>25</v>
      </c>
      <c r="S304" s="1" t="s">
        <v>25</v>
      </c>
      <c r="T304" s="1">
        <v>29</v>
      </c>
      <c r="U304" s="1">
        <v>1</v>
      </c>
      <c r="V304" s="1">
        <v>1</v>
      </c>
      <c r="W304" s="20">
        <f>MIN(A:A)</f>
        <v>44774</v>
      </c>
      <c r="X304" s="20">
        <f>MAX(A:A)</f>
        <v>44778</v>
      </c>
    </row>
    <row r="305" spans="1:22" x14ac:dyDescent="0.25">
      <c r="A305" s="3">
        <v>44776</v>
      </c>
      <c r="B305" s="4">
        <v>0.55040509259259263</v>
      </c>
      <c r="C305" s="1">
        <v>1594</v>
      </c>
      <c r="D305" s="1">
        <v>13002595</v>
      </c>
      <c r="E305" s="1">
        <v>13</v>
      </c>
      <c r="F305" s="1">
        <v>22589</v>
      </c>
      <c r="G305" s="1" t="s">
        <v>21</v>
      </c>
      <c r="H305" s="1">
        <v>15</v>
      </c>
      <c r="I305" s="1">
        <v>341339</v>
      </c>
      <c r="J305" s="14" t="s">
        <v>824</v>
      </c>
      <c r="K305" s="1" t="s">
        <v>117</v>
      </c>
      <c r="L305" s="1" t="s">
        <v>825</v>
      </c>
      <c r="M305" s="14">
        <v>1</v>
      </c>
      <c r="N305" s="2">
        <v>275</v>
      </c>
      <c r="O305" s="16">
        <v>372</v>
      </c>
      <c r="P305" s="14">
        <v>26</v>
      </c>
      <c r="Q305" s="14">
        <f t="shared" si="4"/>
        <v>346</v>
      </c>
      <c r="R305" s="1">
        <v>9</v>
      </c>
      <c r="S305" s="1">
        <v>200010020300</v>
      </c>
      <c r="T305" s="1">
        <v>29</v>
      </c>
      <c r="U305" s="1">
        <v>1</v>
      </c>
      <c r="V305" s="1">
        <v>1</v>
      </c>
    </row>
    <row r="306" spans="1:22" x14ac:dyDescent="0.25">
      <c r="A306" s="3">
        <v>44776</v>
      </c>
      <c r="B306" s="4">
        <v>0.75495370370370374</v>
      </c>
      <c r="C306" s="1">
        <v>1642</v>
      </c>
      <c r="D306" s="1">
        <v>13002595</v>
      </c>
      <c r="E306" s="1">
        <v>13</v>
      </c>
      <c r="F306" s="1">
        <v>22589</v>
      </c>
      <c r="G306" s="1" t="s">
        <v>21</v>
      </c>
      <c r="H306" s="1">
        <v>18</v>
      </c>
      <c r="I306" s="1">
        <v>322</v>
      </c>
      <c r="J306" s="14" t="s">
        <v>902</v>
      </c>
      <c r="K306" s="1" t="s">
        <v>45</v>
      </c>
      <c r="L306" s="1" t="s">
        <v>184</v>
      </c>
      <c r="M306" s="14">
        <v>1</v>
      </c>
      <c r="N306" s="2">
        <v>317.60000000000002</v>
      </c>
      <c r="O306" s="16">
        <v>420</v>
      </c>
      <c r="P306" s="14">
        <v>0</v>
      </c>
      <c r="Q306" s="14">
        <f t="shared" si="4"/>
        <v>420</v>
      </c>
      <c r="R306" s="1" t="s">
        <v>25</v>
      </c>
      <c r="S306" s="1" t="s">
        <v>25</v>
      </c>
      <c r="T306" s="1">
        <v>29</v>
      </c>
      <c r="U306" s="1">
        <v>1</v>
      </c>
      <c r="V306" s="1">
        <v>1</v>
      </c>
    </row>
    <row r="307" spans="1:22" x14ac:dyDescent="0.25">
      <c r="A307" s="3">
        <v>44778</v>
      </c>
      <c r="B307" s="4">
        <v>0.5245023148148148</v>
      </c>
      <c r="C307" s="1">
        <v>1837</v>
      </c>
      <c r="D307" s="1">
        <v>13002616</v>
      </c>
      <c r="E307" s="1">
        <v>13</v>
      </c>
      <c r="F307" s="1">
        <v>22589</v>
      </c>
      <c r="G307" s="1" t="s">
        <v>21</v>
      </c>
      <c r="H307" s="1">
        <v>18</v>
      </c>
      <c r="I307" s="1">
        <v>322</v>
      </c>
      <c r="J307" s="14" t="s">
        <v>902</v>
      </c>
      <c r="K307" s="1" t="s">
        <v>117</v>
      </c>
      <c r="L307" s="1" t="s">
        <v>1135</v>
      </c>
      <c r="M307" s="14">
        <v>1</v>
      </c>
      <c r="N307" s="2">
        <v>322.52999999999997</v>
      </c>
      <c r="O307" s="16">
        <v>426</v>
      </c>
      <c r="P307" s="14">
        <v>29</v>
      </c>
      <c r="Q307" s="14">
        <f t="shared" si="4"/>
        <v>397</v>
      </c>
      <c r="R307" s="1">
        <v>9</v>
      </c>
      <c r="S307" s="1">
        <v>200010015470</v>
      </c>
      <c r="T307" s="1">
        <v>50</v>
      </c>
      <c r="U307" s="1">
        <v>1</v>
      </c>
      <c r="V307" s="1">
        <v>1</v>
      </c>
    </row>
    <row r="308" spans="1:22" x14ac:dyDescent="0.25">
      <c r="A308" s="3">
        <v>44774</v>
      </c>
      <c r="B308" s="4">
        <v>0.45111111111111113</v>
      </c>
      <c r="C308" s="1">
        <v>1298</v>
      </c>
      <c r="D308" s="1">
        <v>13002561</v>
      </c>
      <c r="E308" s="1">
        <v>13</v>
      </c>
      <c r="F308" s="1">
        <v>22589</v>
      </c>
      <c r="G308" s="1" t="s">
        <v>21</v>
      </c>
      <c r="H308" s="1">
        <v>18</v>
      </c>
      <c r="I308" s="1">
        <v>100086</v>
      </c>
      <c r="J308" s="14" t="s">
        <v>147</v>
      </c>
      <c r="K308" s="1" t="s">
        <v>51</v>
      </c>
      <c r="L308" s="1" t="s">
        <v>148</v>
      </c>
      <c r="M308" s="14">
        <v>1</v>
      </c>
      <c r="N308" s="2">
        <v>198.75</v>
      </c>
      <c r="O308" s="16">
        <v>249</v>
      </c>
      <c r="P308" s="14">
        <v>0</v>
      </c>
      <c r="Q308" s="14">
        <f t="shared" si="4"/>
        <v>249</v>
      </c>
      <c r="R308" s="1" t="s">
        <v>25</v>
      </c>
      <c r="S308" s="1" t="s">
        <v>25</v>
      </c>
      <c r="T308" s="1">
        <v>29</v>
      </c>
      <c r="U308" s="1">
        <v>1</v>
      </c>
      <c r="V308" s="1">
        <v>2</v>
      </c>
    </row>
    <row r="309" spans="1:22" x14ac:dyDescent="0.25">
      <c r="A309" s="3">
        <v>44778</v>
      </c>
      <c r="B309" s="4">
        <v>0.58947916666666667</v>
      </c>
      <c r="C309" s="1">
        <v>1851</v>
      </c>
      <c r="D309" s="1">
        <v>13002616</v>
      </c>
      <c r="E309" s="1">
        <v>13</v>
      </c>
      <c r="F309" s="1">
        <v>22589</v>
      </c>
      <c r="G309" s="1" t="s">
        <v>21</v>
      </c>
      <c r="H309" s="1">
        <v>18</v>
      </c>
      <c r="I309" s="1">
        <v>193617</v>
      </c>
      <c r="J309" s="14" t="s">
        <v>1169</v>
      </c>
      <c r="K309" s="1" t="s">
        <v>61</v>
      </c>
      <c r="L309" s="1" t="s">
        <v>1065</v>
      </c>
      <c r="M309" s="14">
        <v>1</v>
      </c>
      <c r="N309" s="2">
        <v>251.35</v>
      </c>
      <c r="O309" s="16">
        <v>315</v>
      </c>
      <c r="P309" s="14">
        <v>0</v>
      </c>
      <c r="Q309" s="14">
        <f t="shared" si="4"/>
        <v>315</v>
      </c>
      <c r="R309" s="1" t="s">
        <v>25</v>
      </c>
      <c r="S309" s="1" t="s">
        <v>25</v>
      </c>
      <c r="T309" s="1">
        <v>50</v>
      </c>
      <c r="U309" s="1">
        <v>1</v>
      </c>
      <c r="V309" s="1">
        <v>1</v>
      </c>
    </row>
    <row r="310" spans="1:22" x14ac:dyDescent="0.25">
      <c r="A310" s="3">
        <v>44775</v>
      </c>
      <c r="B310" s="4">
        <v>0.58399305555555558</v>
      </c>
      <c r="C310" s="1">
        <v>1479</v>
      </c>
      <c r="D310" s="1">
        <v>13002581</v>
      </c>
      <c r="E310" s="1">
        <v>13</v>
      </c>
      <c r="F310" s="1">
        <v>22589</v>
      </c>
      <c r="G310" s="1" t="s">
        <v>21</v>
      </c>
      <c r="H310" s="1">
        <v>18</v>
      </c>
      <c r="I310" s="1">
        <v>192223</v>
      </c>
      <c r="J310" s="14" t="s">
        <v>611</v>
      </c>
      <c r="K310" s="1" t="s">
        <v>51</v>
      </c>
      <c r="L310" s="1" t="s">
        <v>612</v>
      </c>
      <c r="M310" s="14">
        <v>1</v>
      </c>
      <c r="N310" s="2">
        <v>214.43</v>
      </c>
      <c r="O310" s="16">
        <v>269</v>
      </c>
      <c r="P310" s="14">
        <v>0</v>
      </c>
      <c r="Q310" s="14">
        <f t="shared" si="4"/>
        <v>269</v>
      </c>
      <c r="R310" s="1" t="s">
        <v>25</v>
      </c>
      <c r="S310" s="1" t="s">
        <v>25</v>
      </c>
      <c r="T310" s="1">
        <v>29</v>
      </c>
      <c r="U310" s="1">
        <v>1</v>
      </c>
      <c r="V310" s="1">
        <v>1</v>
      </c>
    </row>
    <row r="311" spans="1:22" x14ac:dyDescent="0.25">
      <c r="A311" s="3">
        <v>44774</v>
      </c>
      <c r="B311" s="4">
        <v>0.41150462962962964</v>
      </c>
      <c r="C311" s="1">
        <v>1282</v>
      </c>
      <c r="D311" s="1">
        <v>13002561</v>
      </c>
      <c r="E311" s="1">
        <v>13</v>
      </c>
      <c r="F311" s="1">
        <v>22589</v>
      </c>
      <c r="G311" s="1" t="s">
        <v>21</v>
      </c>
      <c r="H311" s="1">
        <v>18</v>
      </c>
      <c r="I311" s="1">
        <v>67565</v>
      </c>
      <c r="J311" s="14" t="s">
        <v>60</v>
      </c>
      <c r="K311" s="1" t="s">
        <v>61</v>
      </c>
      <c r="L311" s="1" t="s">
        <v>62</v>
      </c>
      <c r="M311" s="14">
        <v>1</v>
      </c>
      <c r="N311" s="2">
        <v>3638.1</v>
      </c>
      <c r="O311" s="16">
        <v>4985</v>
      </c>
      <c r="P311" s="14">
        <v>498</v>
      </c>
      <c r="Q311" s="14">
        <f t="shared" si="4"/>
        <v>4487</v>
      </c>
      <c r="R311" s="1">
        <v>9</v>
      </c>
      <c r="S311" s="1">
        <v>200010004830</v>
      </c>
      <c r="T311" s="1">
        <v>29</v>
      </c>
      <c r="U311" s="1">
        <v>1</v>
      </c>
      <c r="V311" s="1">
        <v>1</v>
      </c>
    </row>
    <row r="312" spans="1:22" x14ac:dyDescent="0.25">
      <c r="A312" s="3">
        <v>44774</v>
      </c>
      <c r="B312" s="4">
        <v>0.46440972222222221</v>
      </c>
      <c r="C312" s="1">
        <v>1302</v>
      </c>
      <c r="D312" s="1">
        <v>13002561</v>
      </c>
      <c r="E312" s="1">
        <v>13</v>
      </c>
      <c r="F312" s="1">
        <v>22589</v>
      </c>
      <c r="G312" s="1" t="s">
        <v>21</v>
      </c>
      <c r="H312" s="1">
        <v>15</v>
      </c>
      <c r="I312" s="1">
        <v>30028</v>
      </c>
      <c r="J312" s="14" t="s">
        <v>166</v>
      </c>
      <c r="K312" s="1" t="s">
        <v>51</v>
      </c>
      <c r="L312" s="1" t="s">
        <v>167</v>
      </c>
      <c r="M312" s="14">
        <v>2</v>
      </c>
      <c r="N312" s="2">
        <v>10.01</v>
      </c>
      <c r="O312" s="16">
        <v>17</v>
      </c>
      <c r="P312" s="14">
        <v>3</v>
      </c>
      <c r="Q312" s="14">
        <f t="shared" si="4"/>
        <v>31</v>
      </c>
      <c r="R312" s="1">
        <v>9</v>
      </c>
      <c r="S312" s="1">
        <v>200010019633</v>
      </c>
      <c r="T312" s="1">
        <v>29</v>
      </c>
      <c r="U312" s="1">
        <v>1</v>
      </c>
      <c r="V312" s="1">
        <v>1</v>
      </c>
    </row>
    <row r="313" spans="1:22" x14ac:dyDescent="0.25">
      <c r="A313" s="3">
        <v>44774</v>
      </c>
      <c r="B313" s="4">
        <v>0.60392361111111115</v>
      </c>
      <c r="C313" s="1">
        <v>1356</v>
      </c>
      <c r="D313" s="1">
        <v>13002561</v>
      </c>
      <c r="E313" s="1">
        <v>13</v>
      </c>
      <c r="F313" s="1">
        <v>22589</v>
      </c>
      <c r="G313" s="1" t="s">
        <v>21</v>
      </c>
      <c r="H313" s="1">
        <v>18</v>
      </c>
      <c r="I313" s="1">
        <v>30028</v>
      </c>
      <c r="J313" s="14" t="s">
        <v>166</v>
      </c>
      <c r="K313" s="1" t="s">
        <v>51</v>
      </c>
      <c r="L313" s="1" t="s">
        <v>167</v>
      </c>
      <c r="M313" s="14">
        <v>1</v>
      </c>
      <c r="N313" s="2">
        <v>10.01</v>
      </c>
      <c r="O313" s="16">
        <v>17</v>
      </c>
      <c r="P313" s="14">
        <v>0</v>
      </c>
      <c r="Q313" s="14">
        <f t="shared" si="4"/>
        <v>17</v>
      </c>
      <c r="R313" s="1" t="s">
        <v>25</v>
      </c>
      <c r="S313" s="1" t="s">
        <v>25</v>
      </c>
      <c r="T313" s="1">
        <v>29</v>
      </c>
      <c r="U313" s="1">
        <v>1</v>
      </c>
      <c r="V313" s="1">
        <v>1</v>
      </c>
    </row>
    <row r="314" spans="1:22" x14ac:dyDescent="0.25">
      <c r="A314" s="3">
        <v>44775</v>
      </c>
      <c r="B314" s="4">
        <v>0.46228009259259262</v>
      </c>
      <c r="C314" s="1">
        <v>1440</v>
      </c>
      <c r="D314" s="1">
        <v>13002581</v>
      </c>
      <c r="E314" s="1">
        <v>13</v>
      </c>
      <c r="F314" s="1">
        <v>22589</v>
      </c>
      <c r="G314" s="1" t="s">
        <v>21</v>
      </c>
      <c r="H314" s="1">
        <v>18</v>
      </c>
      <c r="I314" s="1">
        <v>30028</v>
      </c>
      <c r="J314" s="14" t="s">
        <v>166</v>
      </c>
      <c r="K314" s="1" t="s">
        <v>51</v>
      </c>
      <c r="L314" s="1" t="s">
        <v>167</v>
      </c>
      <c r="M314" s="14">
        <v>2</v>
      </c>
      <c r="N314" s="2">
        <v>10.01</v>
      </c>
      <c r="O314" s="16">
        <v>17</v>
      </c>
      <c r="P314" s="14">
        <v>0</v>
      </c>
      <c r="Q314" s="14">
        <f t="shared" si="4"/>
        <v>34</v>
      </c>
      <c r="R314" s="1" t="s">
        <v>25</v>
      </c>
      <c r="S314" s="1" t="s">
        <v>25</v>
      </c>
      <c r="T314" s="1">
        <v>29</v>
      </c>
      <c r="U314" s="1">
        <v>1</v>
      </c>
      <c r="V314" s="1">
        <v>1</v>
      </c>
    </row>
    <row r="315" spans="1:22" x14ac:dyDescent="0.25">
      <c r="A315" s="3">
        <v>44775</v>
      </c>
      <c r="B315" s="4">
        <v>0.7406018518518519</v>
      </c>
      <c r="C315" s="1">
        <v>1516</v>
      </c>
      <c r="D315" s="1">
        <v>13002581</v>
      </c>
      <c r="E315" s="1">
        <v>13</v>
      </c>
      <c r="F315" s="1">
        <v>22589</v>
      </c>
      <c r="G315" s="1" t="s">
        <v>21</v>
      </c>
      <c r="H315" s="1">
        <v>15</v>
      </c>
      <c r="I315" s="1">
        <v>30028</v>
      </c>
      <c r="J315" s="14" t="s">
        <v>166</v>
      </c>
      <c r="K315" s="1" t="s">
        <v>51</v>
      </c>
      <c r="L315" s="1" t="s">
        <v>167</v>
      </c>
      <c r="M315" s="14">
        <v>1</v>
      </c>
      <c r="N315" s="2">
        <v>10.01</v>
      </c>
      <c r="O315" s="16">
        <v>17</v>
      </c>
      <c r="P315" s="14">
        <v>1</v>
      </c>
      <c r="Q315" s="14">
        <f t="shared" si="4"/>
        <v>16</v>
      </c>
      <c r="R315" s="1">
        <v>9</v>
      </c>
      <c r="S315" s="1">
        <v>200010018923</v>
      </c>
      <c r="T315" s="1">
        <v>29</v>
      </c>
      <c r="U315" s="1">
        <v>1</v>
      </c>
      <c r="V315" s="1">
        <v>1</v>
      </c>
    </row>
    <row r="316" spans="1:22" x14ac:dyDescent="0.25">
      <c r="A316" s="3">
        <v>44776</v>
      </c>
      <c r="B316" s="4">
        <v>0.55040509259259263</v>
      </c>
      <c r="C316" s="1">
        <v>1594</v>
      </c>
      <c r="D316" s="1">
        <v>13002595</v>
      </c>
      <c r="E316" s="1">
        <v>13</v>
      </c>
      <c r="F316" s="1">
        <v>22589</v>
      </c>
      <c r="G316" s="1" t="s">
        <v>21</v>
      </c>
      <c r="H316" s="1">
        <v>15</v>
      </c>
      <c r="I316" s="1">
        <v>30028</v>
      </c>
      <c r="J316" s="14" t="s">
        <v>166</v>
      </c>
      <c r="K316" s="1" t="s">
        <v>51</v>
      </c>
      <c r="L316" s="1" t="s">
        <v>167</v>
      </c>
      <c r="M316" s="14">
        <v>4</v>
      </c>
      <c r="N316" s="2">
        <v>10.01</v>
      </c>
      <c r="O316" s="16">
        <v>17</v>
      </c>
      <c r="P316" s="14">
        <v>6.68</v>
      </c>
      <c r="Q316" s="14">
        <f t="shared" si="4"/>
        <v>61.32</v>
      </c>
      <c r="R316" s="1">
        <v>9</v>
      </c>
      <c r="S316" s="1">
        <v>200010020300</v>
      </c>
      <c r="T316" s="1">
        <v>29</v>
      </c>
      <c r="U316" s="1">
        <v>1</v>
      </c>
      <c r="V316" s="1">
        <v>2</v>
      </c>
    </row>
    <row r="317" spans="1:22" x14ac:dyDescent="0.25">
      <c r="A317" s="3">
        <v>44776</v>
      </c>
      <c r="B317" s="4">
        <v>0.55040509259259263</v>
      </c>
      <c r="C317" s="1">
        <v>1594</v>
      </c>
      <c r="D317" s="1">
        <v>13002595</v>
      </c>
      <c r="E317" s="1">
        <v>13</v>
      </c>
      <c r="F317" s="1">
        <v>22589</v>
      </c>
      <c r="G317" s="1" t="s">
        <v>21</v>
      </c>
      <c r="H317" s="1">
        <v>15</v>
      </c>
      <c r="I317" s="1">
        <v>30028</v>
      </c>
      <c r="J317" s="14" t="s">
        <v>166</v>
      </c>
      <c r="K317" s="1" t="s">
        <v>51</v>
      </c>
      <c r="L317" s="1" t="s">
        <v>167</v>
      </c>
      <c r="M317" s="14">
        <v>2</v>
      </c>
      <c r="N317" s="2">
        <v>10.01</v>
      </c>
      <c r="O317" s="16">
        <v>17</v>
      </c>
      <c r="P317" s="14">
        <v>3.32</v>
      </c>
      <c r="Q317" s="14">
        <f t="shared" si="4"/>
        <v>30.68</v>
      </c>
      <c r="R317" s="1">
        <v>9</v>
      </c>
      <c r="S317" s="1">
        <v>200010020300</v>
      </c>
      <c r="T317" s="1">
        <v>29</v>
      </c>
      <c r="U317" s="1">
        <v>1</v>
      </c>
      <c r="V317" s="1">
        <v>3</v>
      </c>
    </row>
    <row r="318" spans="1:22" x14ac:dyDescent="0.25">
      <c r="A318" s="3">
        <v>44777</v>
      </c>
      <c r="B318" s="4">
        <v>0.77083333333333337</v>
      </c>
      <c r="C318" s="1">
        <v>1767</v>
      </c>
      <c r="D318" s="1">
        <v>13002606</v>
      </c>
      <c r="E318" s="1">
        <v>13</v>
      </c>
      <c r="F318" s="1">
        <v>22589</v>
      </c>
      <c r="G318" s="1" t="s">
        <v>21</v>
      </c>
      <c r="H318" s="1">
        <v>15</v>
      </c>
      <c r="I318" s="1">
        <v>30028</v>
      </c>
      <c r="J318" s="14" t="s">
        <v>166</v>
      </c>
      <c r="K318" s="1" t="s">
        <v>51</v>
      </c>
      <c r="L318" s="1" t="s">
        <v>167</v>
      </c>
      <c r="M318" s="14">
        <v>2</v>
      </c>
      <c r="N318" s="2">
        <v>10.01</v>
      </c>
      <c r="O318" s="16">
        <v>17</v>
      </c>
      <c r="P318" s="14">
        <v>3.34</v>
      </c>
      <c r="Q318" s="14">
        <f t="shared" si="4"/>
        <v>30.66</v>
      </c>
      <c r="R318" s="1">
        <v>9</v>
      </c>
      <c r="S318" s="1">
        <v>200010001749</v>
      </c>
      <c r="T318" s="1">
        <v>50</v>
      </c>
      <c r="U318" s="1">
        <v>1</v>
      </c>
      <c r="V318" s="1">
        <v>1</v>
      </c>
    </row>
    <row r="319" spans="1:22" x14ac:dyDescent="0.25">
      <c r="A319" s="3">
        <v>44777</v>
      </c>
      <c r="B319" s="4">
        <v>0.77083333333333337</v>
      </c>
      <c r="C319" s="1">
        <v>1767</v>
      </c>
      <c r="D319" s="1">
        <v>13002606</v>
      </c>
      <c r="E319" s="1">
        <v>13</v>
      </c>
      <c r="F319" s="1">
        <v>22589</v>
      </c>
      <c r="G319" s="1" t="s">
        <v>21</v>
      </c>
      <c r="H319" s="1">
        <v>15</v>
      </c>
      <c r="I319" s="1">
        <v>30028</v>
      </c>
      <c r="J319" s="14" t="s">
        <v>166</v>
      </c>
      <c r="K319" s="1" t="s">
        <v>51</v>
      </c>
      <c r="L319" s="1" t="s">
        <v>167</v>
      </c>
      <c r="M319" s="14">
        <v>1</v>
      </c>
      <c r="N319" s="2">
        <v>10.01</v>
      </c>
      <c r="O319" s="16">
        <v>17</v>
      </c>
      <c r="P319" s="14">
        <v>1.66</v>
      </c>
      <c r="Q319" s="14">
        <f t="shared" si="4"/>
        <v>15.34</v>
      </c>
      <c r="R319" s="1">
        <v>9</v>
      </c>
      <c r="S319" s="1">
        <v>200010001749</v>
      </c>
      <c r="T319" s="1">
        <v>50</v>
      </c>
      <c r="U319" s="1">
        <v>1</v>
      </c>
      <c r="V319" s="1">
        <v>2</v>
      </c>
    </row>
    <row r="320" spans="1:22" x14ac:dyDescent="0.25">
      <c r="A320" s="3">
        <v>44778</v>
      </c>
      <c r="B320" s="4">
        <v>0.43986111111111109</v>
      </c>
      <c r="C320" s="1">
        <v>1815</v>
      </c>
      <c r="D320" s="1">
        <v>13002616</v>
      </c>
      <c r="E320" s="1">
        <v>13</v>
      </c>
      <c r="F320" s="1">
        <v>22589</v>
      </c>
      <c r="G320" s="1" t="s">
        <v>21</v>
      </c>
      <c r="H320" s="1">
        <v>18</v>
      </c>
      <c r="I320" s="1">
        <v>30028</v>
      </c>
      <c r="J320" s="14" t="s">
        <v>166</v>
      </c>
      <c r="K320" s="1" t="s">
        <v>51</v>
      </c>
      <c r="L320" s="1" t="s">
        <v>167</v>
      </c>
      <c r="M320" s="14">
        <v>2</v>
      </c>
      <c r="N320" s="2">
        <v>10.01</v>
      </c>
      <c r="O320" s="16">
        <v>17</v>
      </c>
      <c r="P320" s="14">
        <v>3</v>
      </c>
      <c r="Q320" s="14">
        <f t="shared" si="4"/>
        <v>31</v>
      </c>
      <c r="R320" s="1">
        <v>9</v>
      </c>
      <c r="S320" s="1">
        <v>200010023919</v>
      </c>
      <c r="T320" s="1">
        <v>50</v>
      </c>
      <c r="U320" s="1">
        <v>1</v>
      </c>
      <c r="V320" s="1">
        <v>3</v>
      </c>
    </row>
    <row r="321" spans="1:22" x14ac:dyDescent="0.25">
      <c r="A321" s="3">
        <v>44778</v>
      </c>
      <c r="B321" s="4">
        <v>0.82623842592592589</v>
      </c>
      <c r="C321" s="1">
        <v>1902</v>
      </c>
      <c r="D321" s="1">
        <v>13002616</v>
      </c>
      <c r="E321" s="1">
        <v>13</v>
      </c>
      <c r="F321" s="1">
        <v>22589</v>
      </c>
      <c r="G321" s="1" t="s">
        <v>21</v>
      </c>
      <c r="H321" s="1">
        <v>15</v>
      </c>
      <c r="I321" s="1">
        <v>30090</v>
      </c>
      <c r="J321" s="14" t="s">
        <v>1229</v>
      </c>
      <c r="K321" s="1" t="s">
        <v>51</v>
      </c>
      <c r="L321" s="1" t="s">
        <v>167</v>
      </c>
      <c r="M321" s="14">
        <v>1</v>
      </c>
      <c r="N321" s="2">
        <v>18.5</v>
      </c>
      <c r="O321" s="16">
        <v>30</v>
      </c>
      <c r="P321" s="14">
        <v>3</v>
      </c>
      <c r="Q321" s="14">
        <f t="shared" si="4"/>
        <v>27</v>
      </c>
      <c r="R321" s="1">
        <v>9</v>
      </c>
      <c r="S321" s="1">
        <v>200010016190</v>
      </c>
      <c r="T321" s="1">
        <v>50</v>
      </c>
      <c r="U321" s="1">
        <v>1</v>
      </c>
      <c r="V321" s="1">
        <v>1</v>
      </c>
    </row>
    <row r="322" spans="1:22" x14ac:dyDescent="0.25">
      <c r="A322" s="3">
        <v>44776</v>
      </c>
      <c r="B322" s="4">
        <v>0.50604166666666661</v>
      </c>
      <c r="C322" s="1">
        <v>1575</v>
      </c>
      <c r="D322" s="1">
        <v>13002595</v>
      </c>
      <c r="E322" s="1">
        <v>13</v>
      </c>
      <c r="F322" s="1">
        <v>22589</v>
      </c>
      <c r="G322" s="1" t="s">
        <v>21</v>
      </c>
      <c r="H322" s="1">
        <v>18</v>
      </c>
      <c r="I322" s="1">
        <v>430942</v>
      </c>
      <c r="J322" s="14" t="s">
        <v>783</v>
      </c>
      <c r="K322" s="1" t="s">
        <v>466</v>
      </c>
      <c r="L322" s="1" t="s">
        <v>104</v>
      </c>
      <c r="M322" s="14">
        <v>1</v>
      </c>
      <c r="N322" s="2">
        <v>67.760000000000005</v>
      </c>
      <c r="O322" s="16">
        <v>71</v>
      </c>
      <c r="P322" s="14">
        <v>0</v>
      </c>
      <c r="Q322" s="14">
        <f t="shared" ref="Q322:Q385" si="5">M322*O322-P322</f>
        <v>71</v>
      </c>
      <c r="R322" s="1" t="s">
        <v>25</v>
      </c>
      <c r="S322" s="1" t="s">
        <v>25</v>
      </c>
      <c r="T322" s="1">
        <v>29</v>
      </c>
      <c r="U322" s="1">
        <v>2</v>
      </c>
      <c r="V322" s="1">
        <v>4</v>
      </c>
    </row>
    <row r="323" spans="1:22" x14ac:dyDescent="0.25">
      <c r="A323" s="3">
        <v>44776</v>
      </c>
      <c r="B323" s="4">
        <v>0.50604166666666661</v>
      </c>
      <c r="C323" s="1">
        <v>1575</v>
      </c>
      <c r="D323" s="1">
        <v>13002595</v>
      </c>
      <c r="E323" s="1">
        <v>13</v>
      </c>
      <c r="F323" s="1">
        <v>22589</v>
      </c>
      <c r="G323" s="1" t="s">
        <v>21</v>
      </c>
      <c r="H323" s="1">
        <v>18</v>
      </c>
      <c r="I323" s="1">
        <v>430942</v>
      </c>
      <c r="J323" s="14" t="s">
        <v>783</v>
      </c>
      <c r="K323" s="1" t="s">
        <v>466</v>
      </c>
      <c r="L323" s="1" t="s">
        <v>104</v>
      </c>
      <c r="M323" s="14">
        <v>1</v>
      </c>
      <c r="N323" s="2">
        <v>67.760000000000005</v>
      </c>
      <c r="O323" s="16">
        <v>71</v>
      </c>
      <c r="P323" s="14">
        <v>0</v>
      </c>
      <c r="Q323" s="14">
        <f t="shared" si="5"/>
        <v>71</v>
      </c>
      <c r="R323" s="1" t="s">
        <v>25</v>
      </c>
      <c r="S323" s="1" t="s">
        <v>25</v>
      </c>
      <c r="T323" s="1">
        <v>29</v>
      </c>
      <c r="U323" s="1">
        <v>2</v>
      </c>
      <c r="V323" s="1">
        <v>5</v>
      </c>
    </row>
    <row r="324" spans="1:22" x14ac:dyDescent="0.25">
      <c r="A324" s="3">
        <v>44776</v>
      </c>
      <c r="B324" s="4">
        <v>0.50604166666666661</v>
      </c>
      <c r="C324" s="1">
        <v>1575</v>
      </c>
      <c r="D324" s="1">
        <v>13002595</v>
      </c>
      <c r="E324" s="1">
        <v>13</v>
      </c>
      <c r="F324" s="1">
        <v>22589</v>
      </c>
      <c r="G324" s="1" t="s">
        <v>21</v>
      </c>
      <c r="H324" s="1">
        <v>18</v>
      </c>
      <c r="I324" s="1">
        <v>430942</v>
      </c>
      <c r="J324" s="14" t="s">
        <v>783</v>
      </c>
      <c r="K324" s="1" t="s">
        <v>466</v>
      </c>
      <c r="L324" s="1" t="s">
        <v>104</v>
      </c>
      <c r="M324" s="14">
        <v>1</v>
      </c>
      <c r="N324" s="2">
        <v>67.760000000000005</v>
      </c>
      <c r="O324" s="16">
        <v>71</v>
      </c>
      <c r="P324" s="14">
        <v>0</v>
      </c>
      <c r="Q324" s="14">
        <f t="shared" si="5"/>
        <v>71</v>
      </c>
      <c r="R324" s="1" t="s">
        <v>25</v>
      </c>
      <c r="S324" s="1" t="s">
        <v>25</v>
      </c>
      <c r="T324" s="1">
        <v>29</v>
      </c>
      <c r="U324" s="1">
        <v>2</v>
      </c>
      <c r="V324" s="1">
        <v>6</v>
      </c>
    </row>
    <row r="325" spans="1:22" x14ac:dyDescent="0.25">
      <c r="A325" s="3">
        <v>44777</v>
      </c>
      <c r="B325" s="4">
        <v>0.49130787037037038</v>
      </c>
      <c r="C325" s="1">
        <v>1687</v>
      </c>
      <c r="D325" s="1">
        <v>13002606</v>
      </c>
      <c r="E325" s="1">
        <v>13</v>
      </c>
      <c r="F325" s="1">
        <v>22589</v>
      </c>
      <c r="G325" s="1" t="s">
        <v>21</v>
      </c>
      <c r="H325" s="1">
        <v>15</v>
      </c>
      <c r="I325" s="1">
        <v>84599</v>
      </c>
      <c r="J325" s="14" t="s">
        <v>965</v>
      </c>
      <c r="K325" s="1" t="s">
        <v>117</v>
      </c>
      <c r="L325" s="1" t="s">
        <v>175</v>
      </c>
      <c r="M325" s="14">
        <v>1</v>
      </c>
      <c r="N325" s="2">
        <v>95.95</v>
      </c>
      <c r="O325" s="16">
        <v>137</v>
      </c>
      <c r="P325" s="14">
        <v>0</v>
      </c>
      <c r="Q325" s="14">
        <f t="shared" si="5"/>
        <v>137</v>
      </c>
      <c r="R325" s="1" t="s">
        <v>25</v>
      </c>
      <c r="S325" s="1" t="s">
        <v>25</v>
      </c>
      <c r="T325" s="1">
        <v>50</v>
      </c>
      <c r="U325" s="1">
        <v>1</v>
      </c>
      <c r="V325" s="1">
        <v>1</v>
      </c>
    </row>
    <row r="326" spans="1:22" x14ac:dyDescent="0.25">
      <c r="A326" s="3">
        <v>44778</v>
      </c>
      <c r="B326" s="4">
        <v>0.66655092592592591</v>
      </c>
      <c r="C326" s="1">
        <v>1871</v>
      </c>
      <c r="D326" s="1">
        <v>13002616</v>
      </c>
      <c r="E326" s="1">
        <v>13</v>
      </c>
      <c r="F326" s="1">
        <v>22589</v>
      </c>
      <c r="G326" s="1" t="s">
        <v>21</v>
      </c>
      <c r="H326" s="1">
        <v>18</v>
      </c>
      <c r="I326" s="1">
        <v>262515</v>
      </c>
      <c r="J326" s="14" t="s">
        <v>1193</v>
      </c>
      <c r="K326" s="1" t="s">
        <v>51</v>
      </c>
      <c r="L326" s="1" t="s">
        <v>633</v>
      </c>
      <c r="M326" s="14">
        <v>1</v>
      </c>
      <c r="N326" s="2">
        <v>113.63</v>
      </c>
      <c r="O326" s="16">
        <v>137</v>
      </c>
      <c r="P326" s="14">
        <v>0</v>
      </c>
      <c r="Q326" s="14">
        <f t="shared" si="5"/>
        <v>137</v>
      </c>
      <c r="R326" s="1" t="s">
        <v>25</v>
      </c>
      <c r="S326" s="1" t="s">
        <v>25</v>
      </c>
      <c r="T326" s="1">
        <v>50</v>
      </c>
      <c r="U326" s="1">
        <v>1</v>
      </c>
      <c r="V326" s="1">
        <v>1</v>
      </c>
    </row>
    <row r="327" spans="1:22" x14ac:dyDescent="0.25">
      <c r="A327" s="3">
        <v>44778</v>
      </c>
      <c r="B327" s="4">
        <v>0.34400462962962963</v>
      </c>
      <c r="C327" s="1">
        <v>1785</v>
      </c>
      <c r="D327" s="1">
        <v>13002616</v>
      </c>
      <c r="E327" s="1">
        <v>13</v>
      </c>
      <c r="F327" s="1">
        <v>22589</v>
      </c>
      <c r="G327" s="1" t="s">
        <v>21</v>
      </c>
      <c r="H327" s="1">
        <v>15</v>
      </c>
      <c r="I327" s="1">
        <v>1501</v>
      </c>
      <c r="J327" s="14" t="s">
        <v>1080</v>
      </c>
      <c r="K327" s="1" t="s">
        <v>51</v>
      </c>
      <c r="L327" s="1" t="s">
        <v>175</v>
      </c>
      <c r="M327" s="14">
        <v>1</v>
      </c>
      <c r="N327" s="2">
        <v>22.23</v>
      </c>
      <c r="O327" s="16">
        <v>28</v>
      </c>
      <c r="P327" s="14">
        <v>2</v>
      </c>
      <c r="Q327" s="14">
        <f t="shared" si="5"/>
        <v>26</v>
      </c>
      <c r="R327" s="1">
        <v>27</v>
      </c>
      <c r="S327" s="1">
        <v>200010000015</v>
      </c>
      <c r="T327" s="1">
        <v>50</v>
      </c>
      <c r="U327" s="1">
        <v>1</v>
      </c>
      <c r="V327" s="1">
        <v>2</v>
      </c>
    </row>
    <row r="328" spans="1:22" x14ac:dyDescent="0.25">
      <c r="A328" s="3">
        <v>44778</v>
      </c>
      <c r="B328" s="4">
        <v>0.34400462962962963</v>
      </c>
      <c r="C328" s="1">
        <v>1785</v>
      </c>
      <c r="D328" s="1">
        <v>13002616</v>
      </c>
      <c r="E328" s="1">
        <v>13</v>
      </c>
      <c r="F328" s="1">
        <v>22589</v>
      </c>
      <c r="G328" s="1" t="s">
        <v>21</v>
      </c>
      <c r="H328" s="1">
        <v>15</v>
      </c>
      <c r="I328" s="1">
        <v>1501</v>
      </c>
      <c r="J328" s="14" t="s">
        <v>1080</v>
      </c>
      <c r="K328" s="1" t="s">
        <v>51</v>
      </c>
      <c r="L328" s="1" t="s">
        <v>175</v>
      </c>
      <c r="M328" s="14">
        <v>1</v>
      </c>
      <c r="N328" s="2">
        <v>22.23</v>
      </c>
      <c r="O328" s="16">
        <v>28</v>
      </c>
      <c r="P328" s="14">
        <v>2</v>
      </c>
      <c r="Q328" s="14">
        <f t="shared" si="5"/>
        <v>26</v>
      </c>
      <c r="R328" s="1">
        <v>27</v>
      </c>
      <c r="S328" s="1">
        <v>200010000015</v>
      </c>
      <c r="T328" s="1">
        <v>50</v>
      </c>
      <c r="U328" s="1">
        <v>1</v>
      </c>
      <c r="V328" s="1">
        <v>3</v>
      </c>
    </row>
    <row r="329" spans="1:22" x14ac:dyDescent="0.25">
      <c r="A329" s="3">
        <v>44776</v>
      </c>
      <c r="B329" s="4">
        <v>0.75740740740740742</v>
      </c>
      <c r="C329" s="1">
        <v>1643</v>
      </c>
      <c r="D329" s="1">
        <v>13002595</v>
      </c>
      <c r="E329" s="1">
        <v>13</v>
      </c>
      <c r="F329" s="1">
        <v>22589</v>
      </c>
      <c r="G329" s="1" t="s">
        <v>21</v>
      </c>
      <c r="H329" s="1">
        <v>15</v>
      </c>
      <c r="I329" s="1">
        <v>3318</v>
      </c>
      <c r="J329" s="14" t="s">
        <v>903</v>
      </c>
      <c r="K329" s="1" t="s">
        <v>117</v>
      </c>
      <c r="L329" s="1" t="s">
        <v>230</v>
      </c>
      <c r="M329" s="14">
        <v>2</v>
      </c>
      <c r="N329" s="2">
        <v>29.87</v>
      </c>
      <c r="O329" s="16">
        <v>46</v>
      </c>
      <c r="P329" s="14">
        <v>32</v>
      </c>
      <c r="Q329" s="14">
        <f t="shared" si="5"/>
        <v>60</v>
      </c>
      <c r="R329" s="1">
        <v>939</v>
      </c>
      <c r="S329" s="1">
        <v>200000000042</v>
      </c>
      <c r="T329" s="1">
        <v>29</v>
      </c>
      <c r="U329" s="1">
        <v>1</v>
      </c>
      <c r="V329" s="1">
        <v>1</v>
      </c>
    </row>
    <row r="330" spans="1:22" x14ac:dyDescent="0.25">
      <c r="A330" s="3">
        <v>44777</v>
      </c>
      <c r="B330" s="4">
        <v>0.37998842592592591</v>
      </c>
      <c r="C330" s="1">
        <v>1667</v>
      </c>
      <c r="D330" s="1">
        <v>13002606</v>
      </c>
      <c r="E330" s="1">
        <v>13</v>
      </c>
      <c r="F330" s="1">
        <v>22589</v>
      </c>
      <c r="G330" s="1" t="s">
        <v>21</v>
      </c>
      <c r="H330" s="1">
        <v>15</v>
      </c>
      <c r="I330" s="1">
        <v>164991</v>
      </c>
      <c r="J330" s="14" t="s">
        <v>933</v>
      </c>
      <c r="K330" s="1" t="s">
        <v>23</v>
      </c>
      <c r="L330" s="1" t="s">
        <v>547</v>
      </c>
      <c r="M330" s="14">
        <v>1</v>
      </c>
      <c r="N330" s="2">
        <v>506.31</v>
      </c>
      <c r="O330" s="16">
        <v>654</v>
      </c>
      <c r="P330" s="14">
        <v>45</v>
      </c>
      <c r="Q330" s="14">
        <f t="shared" si="5"/>
        <v>609</v>
      </c>
      <c r="R330" s="1">
        <v>9</v>
      </c>
      <c r="S330" s="1">
        <v>200010006097</v>
      </c>
      <c r="T330" s="1">
        <v>50</v>
      </c>
      <c r="U330" s="1">
        <v>1</v>
      </c>
      <c r="V330" s="1">
        <v>2</v>
      </c>
    </row>
    <row r="331" spans="1:22" x14ac:dyDescent="0.25">
      <c r="A331" s="3">
        <v>44774</v>
      </c>
      <c r="B331" s="4">
        <v>0.51023148148148145</v>
      </c>
      <c r="C331" s="1">
        <v>1322</v>
      </c>
      <c r="D331" s="1">
        <v>13002561</v>
      </c>
      <c r="E331" s="1">
        <v>13</v>
      </c>
      <c r="F331" s="1">
        <v>22589</v>
      </c>
      <c r="G331" s="1" t="s">
        <v>21</v>
      </c>
      <c r="H331" s="1">
        <v>18</v>
      </c>
      <c r="I331" s="1">
        <v>388404</v>
      </c>
      <c r="J331" s="14" t="s">
        <v>227</v>
      </c>
      <c r="K331" s="1" t="s">
        <v>61</v>
      </c>
      <c r="L331" s="1" t="s">
        <v>228</v>
      </c>
      <c r="M331" s="14">
        <v>1</v>
      </c>
      <c r="N331" s="2">
        <v>56.21</v>
      </c>
      <c r="O331" s="16">
        <v>80</v>
      </c>
      <c r="P331" s="14">
        <v>0</v>
      </c>
      <c r="Q331" s="14">
        <f t="shared" si="5"/>
        <v>80</v>
      </c>
      <c r="R331" s="1" t="s">
        <v>25</v>
      </c>
      <c r="S331" s="1" t="s">
        <v>25</v>
      </c>
      <c r="T331" s="1">
        <v>29</v>
      </c>
      <c r="U331" s="1">
        <v>1</v>
      </c>
      <c r="V331" s="1">
        <v>1</v>
      </c>
    </row>
    <row r="332" spans="1:22" x14ac:dyDescent="0.25">
      <c r="A332" s="3">
        <v>44774</v>
      </c>
      <c r="B332" s="4">
        <v>0.56592592592592594</v>
      </c>
      <c r="C332" s="1">
        <v>1345</v>
      </c>
      <c r="D332" s="1">
        <v>13002561</v>
      </c>
      <c r="E332" s="1">
        <v>13</v>
      </c>
      <c r="F332" s="1">
        <v>22589</v>
      </c>
      <c r="G332" s="1" t="s">
        <v>21</v>
      </c>
      <c r="H332" s="1">
        <v>15</v>
      </c>
      <c r="I332" s="1">
        <v>290470</v>
      </c>
      <c r="J332" s="14" t="s">
        <v>296</v>
      </c>
      <c r="K332" s="1" t="s">
        <v>51</v>
      </c>
      <c r="L332" s="1" t="s">
        <v>297</v>
      </c>
      <c r="M332" s="14">
        <v>1</v>
      </c>
      <c r="N332" s="2">
        <v>373.44</v>
      </c>
      <c r="O332" s="16">
        <v>493</v>
      </c>
      <c r="P332" s="14">
        <v>34</v>
      </c>
      <c r="Q332" s="14">
        <f t="shared" si="5"/>
        <v>459</v>
      </c>
      <c r="R332" s="1">
        <v>9</v>
      </c>
      <c r="S332" s="1">
        <v>200010001829</v>
      </c>
      <c r="T332" s="1">
        <v>29</v>
      </c>
      <c r="U332" s="1">
        <v>1</v>
      </c>
      <c r="V332" s="1">
        <v>1</v>
      </c>
    </row>
    <row r="333" spans="1:22" x14ac:dyDescent="0.25">
      <c r="A333" s="3">
        <v>44776</v>
      </c>
      <c r="B333" s="4">
        <v>0.56773148148148145</v>
      </c>
      <c r="C333" s="1">
        <v>1599</v>
      </c>
      <c r="D333" s="1">
        <v>13002595</v>
      </c>
      <c r="E333" s="1">
        <v>13</v>
      </c>
      <c r="F333" s="1">
        <v>22589</v>
      </c>
      <c r="G333" s="1" t="s">
        <v>21</v>
      </c>
      <c r="H333" s="1">
        <v>18</v>
      </c>
      <c r="I333" s="1">
        <v>290470</v>
      </c>
      <c r="J333" s="14" t="s">
        <v>296</v>
      </c>
      <c r="K333" s="1" t="s">
        <v>51</v>
      </c>
      <c r="L333" s="1" t="s">
        <v>297</v>
      </c>
      <c r="M333" s="14">
        <v>1</v>
      </c>
      <c r="N333" s="2">
        <v>373.44</v>
      </c>
      <c r="O333" s="16">
        <v>493</v>
      </c>
      <c r="P333" s="14">
        <v>0</v>
      </c>
      <c r="Q333" s="14">
        <f t="shared" si="5"/>
        <v>493</v>
      </c>
      <c r="R333" s="1" t="s">
        <v>25</v>
      </c>
      <c r="S333" s="1" t="s">
        <v>25</v>
      </c>
      <c r="T333" s="1">
        <v>29</v>
      </c>
      <c r="U333" s="1">
        <v>1</v>
      </c>
      <c r="V333" s="1">
        <v>1</v>
      </c>
    </row>
    <row r="334" spans="1:22" x14ac:dyDescent="0.25">
      <c r="A334" s="3">
        <v>44776</v>
      </c>
      <c r="B334" s="4">
        <v>0.58453703703703708</v>
      </c>
      <c r="C334" s="1">
        <v>1607</v>
      </c>
      <c r="D334" s="1">
        <v>13002595</v>
      </c>
      <c r="E334" s="1">
        <v>13</v>
      </c>
      <c r="F334" s="1">
        <v>22589</v>
      </c>
      <c r="G334" s="1" t="s">
        <v>21</v>
      </c>
      <c r="H334" s="1">
        <v>15</v>
      </c>
      <c r="I334" s="1">
        <v>290468</v>
      </c>
      <c r="J334" s="14" t="s">
        <v>850</v>
      </c>
      <c r="K334" s="1" t="s">
        <v>51</v>
      </c>
      <c r="L334" s="1" t="s">
        <v>297</v>
      </c>
      <c r="M334" s="14">
        <v>1</v>
      </c>
      <c r="N334" s="2">
        <v>267.45</v>
      </c>
      <c r="O334" s="16">
        <v>362</v>
      </c>
      <c r="P334" s="14">
        <v>25</v>
      </c>
      <c r="Q334" s="14">
        <f t="shared" si="5"/>
        <v>337</v>
      </c>
      <c r="R334" s="1">
        <v>9</v>
      </c>
      <c r="S334" s="1">
        <v>200010016178</v>
      </c>
      <c r="T334" s="1">
        <v>29</v>
      </c>
      <c r="U334" s="1">
        <v>1</v>
      </c>
      <c r="V334" s="1">
        <v>1</v>
      </c>
    </row>
    <row r="335" spans="1:22" x14ac:dyDescent="0.25">
      <c r="A335" s="3">
        <v>44775</v>
      </c>
      <c r="B335" s="4">
        <v>0.41692129629629632</v>
      </c>
      <c r="C335" s="1">
        <v>1431</v>
      </c>
      <c r="D335" s="1">
        <v>13002581</v>
      </c>
      <c r="E335" s="1">
        <v>13</v>
      </c>
      <c r="F335" s="1">
        <v>22589</v>
      </c>
      <c r="G335" s="1" t="s">
        <v>21</v>
      </c>
      <c r="H335" s="1">
        <v>15</v>
      </c>
      <c r="I335" s="1">
        <v>12822</v>
      </c>
      <c r="J335" s="14" t="s">
        <v>513</v>
      </c>
      <c r="K335" s="1" t="s">
        <v>23</v>
      </c>
      <c r="L335" s="1" t="s">
        <v>175</v>
      </c>
      <c r="M335" s="14">
        <v>1</v>
      </c>
      <c r="N335" s="2">
        <v>187.98</v>
      </c>
      <c r="O335" s="16">
        <v>258</v>
      </c>
      <c r="P335" s="14">
        <v>18</v>
      </c>
      <c r="Q335" s="14">
        <f t="shared" si="5"/>
        <v>240</v>
      </c>
      <c r="R335" s="1">
        <v>9</v>
      </c>
      <c r="S335" s="1">
        <v>200010018003</v>
      </c>
      <c r="T335" s="1">
        <v>29</v>
      </c>
      <c r="U335" s="1">
        <v>1</v>
      </c>
      <c r="V335" s="1">
        <v>1</v>
      </c>
    </row>
    <row r="336" spans="1:22" x14ac:dyDescent="0.25">
      <c r="A336" s="3">
        <v>44776</v>
      </c>
      <c r="B336" s="4">
        <v>0.53388888888888886</v>
      </c>
      <c r="C336" s="1">
        <v>1587</v>
      </c>
      <c r="D336" s="1">
        <v>13002595</v>
      </c>
      <c r="E336" s="1">
        <v>13</v>
      </c>
      <c r="F336" s="1">
        <v>22589</v>
      </c>
      <c r="G336" s="1" t="s">
        <v>21</v>
      </c>
      <c r="H336" s="1">
        <v>15</v>
      </c>
      <c r="I336" s="1">
        <v>12822</v>
      </c>
      <c r="J336" s="14" t="s">
        <v>513</v>
      </c>
      <c r="K336" s="1" t="s">
        <v>23</v>
      </c>
      <c r="L336" s="1" t="s">
        <v>175</v>
      </c>
      <c r="M336" s="14">
        <v>1</v>
      </c>
      <c r="N336" s="2">
        <v>187.98</v>
      </c>
      <c r="O336" s="16">
        <v>258</v>
      </c>
      <c r="P336" s="14">
        <v>0</v>
      </c>
      <c r="Q336" s="14">
        <f t="shared" si="5"/>
        <v>258</v>
      </c>
      <c r="R336" s="1" t="s">
        <v>25</v>
      </c>
      <c r="S336" s="1" t="s">
        <v>25</v>
      </c>
      <c r="T336" s="1">
        <v>29</v>
      </c>
      <c r="U336" s="1">
        <v>1</v>
      </c>
      <c r="V336" s="1">
        <v>1</v>
      </c>
    </row>
    <row r="337" spans="1:22" x14ac:dyDescent="0.25">
      <c r="A337" s="3">
        <v>44774</v>
      </c>
      <c r="B337" s="4">
        <v>0.53057870370370375</v>
      </c>
      <c r="C337" s="1">
        <v>1329</v>
      </c>
      <c r="D337" s="1">
        <v>13002561</v>
      </c>
      <c r="E337" s="1">
        <v>13</v>
      </c>
      <c r="F337" s="1">
        <v>22589</v>
      </c>
      <c r="G337" s="1" t="s">
        <v>21</v>
      </c>
      <c r="H337" s="1">
        <v>18</v>
      </c>
      <c r="I337" s="1">
        <v>348748</v>
      </c>
      <c r="J337" s="14" t="s">
        <v>260</v>
      </c>
      <c r="K337" s="1" t="s">
        <v>29</v>
      </c>
      <c r="L337" s="1" t="s">
        <v>261</v>
      </c>
      <c r="M337" s="14">
        <v>1</v>
      </c>
      <c r="N337" s="2">
        <v>56.03</v>
      </c>
      <c r="O337" s="16">
        <v>70</v>
      </c>
      <c r="P337" s="14">
        <v>3</v>
      </c>
      <c r="Q337" s="14">
        <f t="shared" si="5"/>
        <v>67</v>
      </c>
      <c r="R337" s="1">
        <v>9</v>
      </c>
      <c r="S337" s="1">
        <v>200010004402</v>
      </c>
      <c r="T337" s="1">
        <v>29</v>
      </c>
      <c r="U337" s="1">
        <v>1</v>
      </c>
      <c r="V337" s="1">
        <v>2</v>
      </c>
    </row>
    <row r="338" spans="1:22" x14ac:dyDescent="0.25">
      <c r="A338" s="3">
        <v>44775</v>
      </c>
      <c r="B338" s="4">
        <v>0.41692129629629632</v>
      </c>
      <c r="C338" s="1">
        <v>1431</v>
      </c>
      <c r="D338" s="1">
        <v>13002581</v>
      </c>
      <c r="E338" s="1">
        <v>13</v>
      </c>
      <c r="F338" s="1">
        <v>22589</v>
      </c>
      <c r="G338" s="1" t="s">
        <v>21</v>
      </c>
      <c r="H338" s="1">
        <v>15</v>
      </c>
      <c r="I338" s="1">
        <v>348748</v>
      </c>
      <c r="J338" s="14" t="s">
        <v>260</v>
      </c>
      <c r="K338" s="1" t="s">
        <v>29</v>
      </c>
      <c r="L338" s="1" t="s">
        <v>261</v>
      </c>
      <c r="M338" s="14">
        <v>1</v>
      </c>
      <c r="N338" s="2">
        <v>56.03</v>
      </c>
      <c r="O338" s="16">
        <v>70</v>
      </c>
      <c r="P338" s="14">
        <v>3</v>
      </c>
      <c r="Q338" s="14">
        <f t="shared" si="5"/>
        <v>67</v>
      </c>
      <c r="R338" s="1">
        <v>9</v>
      </c>
      <c r="S338" s="1">
        <v>200010018003</v>
      </c>
      <c r="T338" s="1">
        <v>29</v>
      </c>
      <c r="U338" s="1">
        <v>1</v>
      </c>
      <c r="V338" s="1">
        <v>2</v>
      </c>
    </row>
    <row r="339" spans="1:22" x14ac:dyDescent="0.25">
      <c r="A339" s="3">
        <v>44776</v>
      </c>
      <c r="B339" s="4">
        <v>0.56376157407407412</v>
      </c>
      <c r="C339" s="1">
        <v>1598</v>
      </c>
      <c r="D339" s="1">
        <v>13002595</v>
      </c>
      <c r="E339" s="1">
        <v>13</v>
      </c>
      <c r="F339" s="1">
        <v>22589</v>
      </c>
      <c r="G339" s="1" t="s">
        <v>21</v>
      </c>
      <c r="H339" s="1">
        <v>15</v>
      </c>
      <c r="I339" s="1">
        <v>348748</v>
      </c>
      <c r="J339" s="14" t="s">
        <v>260</v>
      </c>
      <c r="K339" s="1" t="s">
        <v>29</v>
      </c>
      <c r="L339" s="1" t="s">
        <v>261</v>
      </c>
      <c r="M339" s="14">
        <v>1</v>
      </c>
      <c r="N339" s="2">
        <v>56.03</v>
      </c>
      <c r="O339" s="16">
        <v>70</v>
      </c>
      <c r="P339" s="14">
        <v>3</v>
      </c>
      <c r="Q339" s="14">
        <f t="shared" si="5"/>
        <v>67</v>
      </c>
      <c r="R339" s="1">
        <v>9</v>
      </c>
      <c r="S339" s="1">
        <v>200010001803</v>
      </c>
      <c r="T339" s="1">
        <v>29</v>
      </c>
      <c r="U339" s="1">
        <v>1</v>
      </c>
      <c r="V339" s="1">
        <v>1</v>
      </c>
    </row>
    <row r="340" spans="1:22" x14ac:dyDescent="0.25">
      <c r="A340" s="3">
        <v>44778</v>
      </c>
      <c r="B340" s="4">
        <v>0.41627314814814814</v>
      </c>
      <c r="C340" s="1">
        <v>1809</v>
      </c>
      <c r="D340" s="1">
        <v>13002616</v>
      </c>
      <c r="E340" s="1">
        <v>13</v>
      </c>
      <c r="F340" s="1">
        <v>22589</v>
      </c>
      <c r="G340" s="1" t="s">
        <v>21</v>
      </c>
      <c r="H340" s="1">
        <v>15</v>
      </c>
      <c r="I340" s="1">
        <v>348748</v>
      </c>
      <c r="J340" s="14" t="s">
        <v>260</v>
      </c>
      <c r="K340" s="1" t="s">
        <v>29</v>
      </c>
      <c r="L340" s="1" t="s">
        <v>261</v>
      </c>
      <c r="M340" s="14">
        <v>1</v>
      </c>
      <c r="N340" s="2">
        <v>56.03</v>
      </c>
      <c r="O340" s="16">
        <v>70</v>
      </c>
      <c r="P340" s="14">
        <v>0</v>
      </c>
      <c r="Q340" s="14">
        <f t="shared" si="5"/>
        <v>70</v>
      </c>
      <c r="R340" s="1" t="s">
        <v>25</v>
      </c>
      <c r="S340" s="1" t="s">
        <v>25</v>
      </c>
      <c r="T340" s="1">
        <v>50</v>
      </c>
      <c r="U340" s="1">
        <v>1</v>
      </c>
      <c r="V340" s="1">
        <v>1</v>
      </c>
    </row>
    <row r="341" spans="1:22" x14ac:dyDescent="0.25">
      <c r="A341" s="3">
        <v>44778</v>
      </c>
      <c r="B341" s="4">
        <v>0.48697916666666669</v>
      </c>
      <c r="C341" s="1">
        <v>1823</v>
      </c>
      <c r="D341" s="1">
        <v>13002616</v>
      </c>
      <c r="E341" s="1">
        <v>13</v>
      </c>
      <c r="F341" s="1">
        <v>22589</v>
      </c>
      <c r="G341" s="1" t="s">
        <v>21</v>
      </c>
      <c r="H341" s="1">
        <v>15</v>
      </c>
      <c r="I341" s="1">
        <v>348748</v>
      </c>
      <c r="J341" s="14" t="s">
        <v>260</v>
      </c>
      <c r="K341" s="1" t="s">
        <v>29</v>
      </c>
      <c r="L341" s="1" t="s">
        <v>261</v>
      </c>
      <c r="M341" s="14">
        <v>1</v>
      </c>
      <c r="N341" s="2">
        <v>56.03</v>
      </c>
      <c r="O341" s="16">
        <v>70</v>
      </c>
      <c r="P341" s="14">
        <v>3</v>
      </c>
      <c r="Q341" s="14">
        <f t="shared" si="5"/>
        <v>67</v>
      </c>
      <c r="R341" s="1">
        <v>9</v>
      </c>
      <c r="S341" s="1">
        <v>200010009407</v>
      </c>
      <c r="T341" s="1">
        <v>50</v>
      </c>
      <c r="U341" s="1">
        <v>1</v>
      </c>
      <c r="V341" s="1">
        <v>1</v>
      </c>
    </row>
    <row r="342" spans="1:22" x14ac:dyDescent="0.25">
      <c r="A342" s="3">
        <v>44776</v>
      </c>
      <c r="B342" s="4">
        <v>0.52491898148148153</v>
      </c>
      <c r="C342" s="1">
        <v>1584</v>
      </c>
      <c r="D342" s="1">
        <v>13002595</v>
      </c>
      <c r="E342" s="1">
        <v>13</v>
      </c>
      <c r="F342" s="1">
        <v>22589</v>
      </c>
      <c r="G342" s="1" t="s">
        <v>21</v>
      </c>
      <c r="H342" s="1">
        <v>15</v>
      </c>
      <c r="I342" s="1">
        <v>74749</v>
      </c>
      <c r="J342" s="14" t="s">
        <v>807</v>
      </c>
      <c r="K342" s="1" t="s">
        <v>61</v>
      </c>
      <c r="L342" s="1" t="s">
        <v>261</v>
      </c>
      <c r="M342" s="14">
        <v>1</v>
      </c>
      <c r="N342" s="2">
        <v>29.48</v>
      </c>
      <c r="O342" s="16">
        <v>33</v>
      </c>
      <c r="P342" s="14">
        <v>1</v>
      </c>
      <c r="Q342" s="14">
        <f t="shared" si="5"/>
        <v>32</v>
      </c>
      <c r="R342" s="1">
        <v>9</v>
      </c>
      <c r="S342" s="1">
        <v>200010010278</v>
      </c>
      <c r="T342" s="1">
        <v>29</v>
      </c>
      <c r="U342" s="1">
        <v>1</v>
      </c>
      <c r="V342" s="1">
        <v>2</v>
      </c>
    </row>
    <row r="343" spans="1:22" x14ac:dyDescent="0.25">
      <c r="A343" s="3">
        <v>44776</v>
      </c>
      <c r="B343" s="4">
        <v>0.55238425925925927</v>
      </c>
      <c r="C343" s="1">
        <v>1595</v>
      </c>
      <c r="D343" s="1">
        <v>13002595</v>
      </c>
      <c r="E343" s="1">
        <v>13</v>
      </c>
      <c r="F343" s="1">
        <v>22589</v>
      </c>
      <c r="G343" s="1" t="s">
        <v>21</v>
      </c>
      <c r="H343" s="1">
        <v>18</v>
      </c>
      <c r="I343" s="1">
        <v>74749</v>
      </c>
      <c r="J343" s="14" t="s">
        <v>807</v>
      </c>
      <c r="K343" s="1" t="s">
        <v>61</v>
      </c>
      <c r="L343" s="1" t="s">
        <v>261</v>
      </c>
      <c r="M343" s="14">
        <v>1</v>
      </c>
      <c r="N343" s="2">
        <v>29.48</v>
      </c>
      <c r="O343" s="16">
        <v>33</v>
      </c>
      <c r="P343" s="14">
        <v>0</v>
      </c>
      <c r="Q343" s="14">
        <f t="shared" si="5"/>
        <v>33</v>
      </c>
      <c r="R343" s="1" t="s">
        <v>25</v>
      </c>
      <c r="S343" s="1" t="s">
        <v>25</v>
      </c>
      <c r="T343" s="1">
        <v>29</v>
      </c>
      <c r="U343" s="1">
        <v>1</v>
      </c>
      <c r="V343" s="1">
        <v>1</v>
      </c>
    </row>
    <row r="344" spans="1:22" x14ac:dyDescent="0.25">
      <c r="A344" s="3">
        <v>44777</v>
      </c>
      <c r="B344" s="4">
        <v>0.61011574074074071</v>
      </c>
      <c r="C344" s="1">
        <v>1733</v>
      </c>
      <c r="D344" s="1">
        <v>13002606</v>
      </c>
      <c r="E344" s="1">
        <v>13</v>
      </c>
      <c r="F344" s="1">
        <v>22589</v>
      </c>
      <c r="G344" s="1" t="s">
        <v>21</v>
      </c>
      <c r="H344" s="1">
        <v>15</v>
      </c>
      <c r="I344" s="1">
        <v>74749</v>
      </c>
      <c r="J344" s="14" t="s">
        <v>807</v>
      </c>
      <c r="K344" s="1" t="s">
        <v>61</v>
      </c>
      <c r="L344" s="1" t="s">
        <v>261</v>
      </c>
      <c r="M344" s="14">
        <v>1</v>
      </c>
      <c r="N344" s="2">
        <v>29.48</v>
      </c>
      <c r="O344" s="16">
        <v>33</v>
      </c>
      <c r="P344" s="14">
        <v>1</v>
      </c>
      <c r="Q344" s="14">
        <f t="shared" si="5"/>
        <v>32</v>
      </c>
      <c r="R344" s="1">
        <v>9</v>
      </c>
      <c r="S344" s="1">
        <v>200010004764</v>
      </c>
      <c r="T344" s="1">
        <v>50</v>
      </c>
      <c r="U344" s="1">
        <v>1</v>
      </c>
      <c r="V344" s="1">
        <v>2</v>
      </c>
    </row>
    <row r="345" spans="1:22" x14ac:dyDescent="0.25">
      <c r="A345" s="3">
        <v>44778</v>
      </c>
      <c r="B345" s="4">
        <v>0.57835648148148144</v>
      </c>
      <c r="C345" s="1">
        <v>1847</v>
      </c>
      <c r="D345" s="1">
        <v>13002616</v>
      </c>
      <c r="E345" s="1">
        <v>13</v>
      </c>
      <c r="F345" s="1">
        <v>22589</v>
      </c>
      <c r="G345" s="1" t="s">
        <v>21</v>
      </c>
      <c r="H345" s="1">
        <v>15</v>
      </c>
      <c r="I345" s="1">
        <v>74749</v>
      </c>
      <c r="J345" s="14" t="s">
        <v>807</v>
      </c>
      <c r="K345" s="1" t="s">
        <v>29</v>
      </c>
      <c r="L345" s="1" t="s">
        <v>261</v>
      </c>
      <c r="M345" s="14">
        <v>1</v>
      </c>
      <c r="N345" s="2">
        <v>29.78</v>
      </c>
      <c r="O345" s="16">
        <v>34</v>
      </c>
      <c r="P345" s="14">
        <v>0</v>
      </c>
      <c r="Q345" s="14">
        <f t="shared" si="5"/>
        <v>34</v>
      </c>
      <c r="R345" s="1" t="s">
        <v>25</v>
      </c>
      <c r="S345" s="1" t="s">
        <v>25</v>
      </c>
      <c r="T345" s="1">
        <v>50</v>
      </c>
      <c r="U345" s="1">
        <v>1</v>
      </c>
      <c r="V345" s="1">
        <v>1</v>
      </c>
    </row>
    <row r="346" spans="1:22" x14ac:dyDescent="0.25">
      <c r="A346" s="3">
        <v>44775</v>
      </c>
      <c r="B346" s="4">
        <v>0.49315972222222221</v>
      </c>
      <c r="C346" s="1">
        <v>1450</v>
      </c>
      <c r="D346" s="1">
        <v>13002581</v>
      </c>
      <c r="E346" s="1">
        <v>13</v>
      </c>
      <c r="F346" s="1">
        <v>22589</v>
      </c>
      <c r="G346" s="1" t="s">
        <v>21</v>
      </c>
      <c r="H346" s="1">
        <v>15</v>
      </c>
      <c r="I346" s="1">
        <v>256548</v>
      </c>
      <c r="J346" s="14" t="s">
        <v>546</v>
      </c>
      <c r="K346" s="1" t="s">
        <v>117</v>
      </c>
      <c r="L346" s="1" t="s">
        <v>547</v>
      </c>
      <c r="M346" s="14">
        <v>1</v>
      </c>
      <c r="N346" s="2">
        <v>174.32</v>
      </c>
      <c r="O346" s="16">
        <v>231</v>
      </c>
      <c r="P346" s="14">
        <v>23</v>
      </c>
      <c r="Q346" s="14">
        <f t="shared" si="5"/>
        <v>208</v>
      </c>
      <c r="R346" s="1">
        <v>9</v>
      </c>
      <c r="S346" s="1">
        <v>200010019550</v>
      </c>
      <c r="T346" s="1">
        <v>29</v>
      </c>
      <c r="U346" s="1">
        <v>1</v>
      </c>
      <c r="V346" s="1">
        <v>2</v>
      </c>
    </row>
    <row r="347" spans="1:22" x14ac:dyDescent="0.25">
      <c r="A347" s="3">
        <v>44777</v>
      </c>
      <c r="B347" s="4">
        <v>0.60266203703703702</v>
      </c>
      <c r="C347" s="1">
        <v>1730</v>
      </c>
      <c r="D347" s="1">
        <v>13002606</v>
      </c>
      <c r="E347" s="1">
        <v>13</v>
      </c>
      <c r="F347" s="1">
        <v>22589</v>
      </c>
      <c r="G347" s="1" t="s">
        <v>21</v>
      </c>
      <c r="H347" s="1">
        <v>18</v>
      </c>
      <c r="I347" s="1">
        <v>339713</v>
      </c>
      <c r="J347" s="14" t="s">
        <v>1023</v>
      </c>
      <c r="K347" s="1" t="s">
        <v>51</v>
      </c>
      <c r="L347" s="1" t="s">
        <v>547</v>
      </c>
      <c r="M347" s="14">
        <v>1</v>
      </c>
      <c r="N347" s="2">
        <v>279.86</v>
      </c>
      <c r="O347" s="16">
        <v>426</v>
      </c>
      <c r="P347" s="14">
        <v>42</v>
      </c>
      <c r="Q347" s="14">
        <f t="shared" si="5"/>
        <v>384</v>
      </c>
      <c r="R347" s="1">
        <v>9</v>
      </c>
      <c r="S347" s="1">
        <v>200010023898</v>
      </c>
      <c r="T347" s="1">
        <v>50</v>
      </c>
      <c r="U347" s="1">
        <v>1</v>
      </c>
      <c r="V347" s="1">
        <v>1</v>
      </c>
    </row>
    <row r="348" spans="1:22" x14ac:dyDescent="0.25">
      <c r="A348" s="3">
        <v>44776</v>
      </c>
      <c r="B348" s="4">
        <v>0.79831018518518515</v>
      </c>
      <c r="C348" s="1">
        <v>1652</v>
      </c>
      <c r="D348" s="1">
        <v>13002595</v>
      </c>
      <c r="E348" s="1">
        <v>13</v>
      </c>
      <c r="F348" s="1">
        <v>22589</v>
      </c>
      <c r="G348" s="1" t="s">
        <v>21</v>
      </c>
      <c r="H348" s="1">
        <v>15</v>
      </c>
      <c r="I348" s="1">
        <v>338798</v>
      </c>
      <c r="J348" s="14" t="s">
        <v>919</v>
      </c>
      <c r="K348" s="1" t="s">
        <v>29</v>
      </c>
      <c r="L348" s="1" t="s">
        <v>123</v>
      </c>
      <c r="M348" s="14">
        <v>1</v>
      </c>
      <c r="N348" s="2">
        <v>40.21</v>
      </c>
      <c r="O348" s="16">
        <v>51.66</v>
      </c>
      <c r="P348" s="14">
        <v>0</v>
      </c>
      <c r="Q348" s="14">
        <f t="shared" si="5"/>
        <v>51.66</v>
      </c>
      <c r="R348" s="1" t="s">
        <v>25</v>
      </c>
      <c r="S348" s="1" t="s">
        <v>25</v>
      </c>
      <c r="T348" s="1">
        <v>29</v>
      </c>
      <c r="U348" s="1">
        <v>1</v>
      </c>
      <c r="V348" s="1">
        <v>3</v>
      </c>
    </row>
    <row r="349" spans="1:22" x14ac:dyDescent="0.25">
      <c r="A349" s="3">
        <v>44778</v>
      </c>
      <c r="B349" s="4">
        <v>0.48305555555555557</v>
      </c>
      <c r="C349" s="1">
        <v>1821</v>
      </c>
      <c r="D349" s="1">
        <v>13002616</v>
      </c>
      <c r="E349" s="1">
        <v>13</v>
      </c>
      <c r="F349" s="1">
        <v>22589</v>
      </c>
      <c r="G349" s="1" t="s">
        <v>21</v>
      </c>
      <c r="H349" s="1">
        <v>15</v>
      </c>
      <c r="I349" s="1">
        <v>338798</v>
      </c>
      <c r="J349" s="14" t="s">
        <v>919</v>
      </c>
      <c r="K349" s="1" t="s">
        <v>29</v>
      </c>
      <c r="L349" s="1" t="s">
        <v>123</v>
      </c>
      <c r="M349" s="14">
        <v>1</v>
      </c>
      <c r="N349" s="2">
        <v>46.62</v>
      </c>
      <c r="O349" s="16">
        <v>57</v>
      </c>
      <c r="P349" s="14">
        <v>0</v>
      </c>
      <c r="Q349" s="14">
        <f t="shared" si="5"/>
        <v>57</v>
      </c>
      <c r="R349" s="1" t="s">
        <v>25</v>
      </c>
      <c r="S349" s="1" t="s">
        <v>25</v>
      </c>
      <c r="T349" s="1">
        <v>50</v>
      </c>
      <c r="U349" s="1">
        <v>1</v>
      </c>
      <c r="V349" s="1">
        <v>1</v>
      </c>
    </row>
    <row r="350" spans="1:22" x14ac:dyDescent="0.25">
      <c r="A350" s="3">
        <v>44775</v>
      </c>
      <c r="B350" s="4">
        <v>0.73601851851851852</v>
      </c>
      <c r="C350" s="1">
        <v>1514</v>
      </c>
      <c r="D350" s="1">
        <v>13002581</v>
      </c>
      <c r="E350" s="1">
        <v>13</v>
      </c>
      <c r="F350" s="1">
        <v>22589</v>
      </c>
      <c r="G350" s="1" t="s">
        <v>21</v>
      </c>
      <c r="H350" s="1">
        <v>18</v>
      </c>
      <c r="I350" s="1">
        <v>344902</v>
      </c>
      <c r="J350" s="14" t="s">
        <v>665</v>
      </c>
      <c r="K350" s="1" t="s">
        <v>51</v>
      </c>
      <c r="L350" s="1" t="s">
        <v>666</v>
      </c>
      <c r="M350" s="14">
        <v>7.1428400000000003E-2</v>
      </c>
      <c r="N350" s="2">
        <v>657.93</v>
      </c>
      <c r="O350" s="16">
        <v>724</v>
      </c>
      <c r="P350" s="14">
        <v>0</v>
      </c>
      <c r="Q350" s="14">
        <f t="shared" si="5"/>
        <v>51.714161600000004</v>
      </c>
      <c r="R350" s="1" t="s">
        <v>25</v>
      </c>
      <c r="S350" s="1" t="s">
        <v>25</v>
      </c>
      <c r="T350" s="1">
        <v>29</v>
      </c>
      <c r="U350" s="1">
        <v>1</v>
      </c>
      <c r="V350" s="1">
        <v>1</v>
      </c>
    </row>
    <row r="351" spans="1:22" x14ac:dyDescent="0.25">
      <c r="A351" s="3">
        <v>44774</v>
      </c>
      <c r="B351" s="4">
        <v>0.60569444444444442</v>
      </c>
      <c r="C351" s="1">
        <v>1358</v>
      </c>
      <c r="D351" s="1">
        <v>13002561</v>
      </c>
      <c r="E351" s="1">
        <v>13</v>
      </c>
      <c r="F351" s="1">
        <v>22589</v>
      </c>
      <c r="G351" s="1" t="s">
        <v>21</v>
      </c>
      <c r="H351" s="1">
        <v>15</v>
      </c>
      <c r="I351" s="1">
        <v>342845</v>
      </c>
      <c r="J351" s="14" t="s">
        <v>336</v>
      </c>
      <c r="K351" s="1" t="s">
        <v>29</v>
      </c>
      <c r="L351" s="1" t="s">
        <v>157</v>
      </c>
      <c r="M351" s="14">
        <v>1</v>
      </c>
      <c r="N351" s="2">
        <v>591.49</v>
      </c>
      <c r="O351" s="16">
        <v>657</v>
      </c>
      <c r="P351" s="14">
        <v>19</v>
      </c>
      <c r="Q351" s="14">
        <f t="shared" si="5"/>
        <v>638</v>
      </c>
      <c r="R351" s="1">
        <v>9</v>
      </c>
      <c r="S351" s="1">
        <v>200010018011</v>
      </c>
      <c r="T351" s="1">
        <v>29</v>
      </c>
      <c r="U351" s="1">
        <v>1</v>
      </c>
      <c r="V351" s="1">
        <v>1</v>
      </c>
    </row>
    <row r="352" spans="1:22" x14ac:dyDescent="0.25">
      <c r="A352" s="3">
        <v>44774</v>
      </c>
      <c r="B352" s="4">
        <v>0.60569444444444442</v>
      </c>
      <c r="C352" s="1">
        <v>1358</v>
      </c>
      <c r="D352" s="1">
        <v>13002561</v>
      </c>
      <c r="E352" s="1">
        <v>13</v>
      </c>
      <c r="F352" s="1">
        <v>22589</v>
      </c>
      <c r="G352" s="1" t="s">
        <v>21</v>
      </c>
      <c r="H352" s="1">
        <v>15</v>
      </c>
      <c r="I352" s="1">
        <v>342845</v>
      </c>
      <c r="J352" s="14" t="s">
        <v>336</v>
      </c>
      <c r="K352" s="1" t="s">
        <v>29</v>
      </c>
      <c r="L352" s="1" t="s">
        <v>157</v>
      </c>
      <c r="M352" s="14">
        <v>1</v>
      </c>
      <c r="N352" s="2">
        <v>591.49</v>
      </c>
      <c r="O352" s="16">
        <v>657</v>
      </c>
      <c r="P352" s="14">
        <v>19</v>
      </c>
      <c r="Q352" s="14">
        <f t="shared" si="5"/>
        <v>638</v>
      </c>
      <c r="R352" s="1">
        <v>9</v>
      </c>
      <c r="S352" s="1">
        <v>200010018011</v>
      </c>
      <c r="T352" s="1">
        <v>29</v>
      </c>
      <c r="U352" s="1">
        <v>1</v>
      </c>
      <c r="V352" s="1">
        <v>2</v>
      </c>
    </row>
    <row r="353" spans="1:22" x14ac:dyDescent="0.25">
      <c r="A353" s="3">
        <v>44776</v>
      </c>
      <c r="B353" s="4">
        <v>0.50773148148148151</v>
      </c>
      <c r="C353" s="1">
        <v>1577</v>
      </c>
      <c r="D353" s="1">
        <v>13002595</v>
      </c>
      <c r="E353" s="1">
        <v>13</v>
      </c>
      <c r="F353" s="1">
        <v>22589</v>
      </c>
      <c r="G353" s="1" t="s">
        <v>21</v>
      </c>
      <c r="H353" s="1">
        <v>18</v>
      </c>
      <c r="I353" s="1">
        <v>379</v>
      </c>
      <c r="J353" s="14" t="s">
        <v>792</v>
      </c>
      <c r="K353" s="1" t="s">
        <v>141</v>
      </c>
      <c r="L353" s="1" t="s">
        <v>793</v>
      </c>
      <c r="M353" s="14">
        <v>1</v>
      </c>
      <c r="N353" s="2">
        <v>15.62</v>
      </c>
      <c r="O353" s="16">
        <v>26</v>
      </c>
      <c r="P353" s="14">
        <v>0</v>
      </c>
      <c r="Q353" s="14">
        <f t="shared" si="5"/>
        <v>26</v>
      </c>
      <c r="R353" s="1" t="s">
        <v>25</v>
      </c>
      <c r="S353" s="1" t="s">
        <v>25</v>
      </c>
      <c r="T353" s="1">
        <v>29</v>
      </c>
      <c r="U353" s="1">
        <v>1</v>
      </c>
      <c r="V353" s="1">
        <v>1</v>
      </c>
    </row>
    <row r="354" spans="1:22" x14ac:dyDescent="0.25">
      <c r="A354" s="3">
        <v>44775</v>
      </c>
      <c r="B354" s="4">
        <v>0.57376157407407402</v>
      </c>
      <c r="C354" s="1">
        <v>1477</v>
      </c>
      <c r="D354" s="1">
        <v>13002581</v>
      </c>
      <c r="E354" s="1">
        <v>13</v>
      </c>
      <c r="F354" s="1">
        <v>22589</v>
      </c>
      <c r="G354" s="1" t="s">
        <v>21</v>
      </c>
      <c r="H354" s="1">
        <v>18</v>
      </c>
      <c r="I354" s="1">
        <v>198198</v>
      </c>
      <c r="J354" s="14" t="s">
        <v>601</v>
      </c>
      <c r="K354" s="1" t="s">
        <v>29</v>
      </c>
      <c r="L354" s="1" t="s">
        <v>129</v>
      </c>
      <c r="M354" s="14">
        <v>1</v>
      </c>
      <c r="N354" s="2">
        <v>330.01</v>
      </c>
      <c r="O354" s="16">
        <v>436</v>
      </c>
      <c r="P354" s="14">
        <v>0</v>
      </c>
      <c r="Q354" s="14">
        <f t="shared" si="5"/>
        <v>436</v>
      </c>
      <c r="R354" s="1" t="s">
        <v>25</v>
      </c>
      <c r="S354" s="1" t="s">
        <v>25</v>
      </c>
      <c r="T354" s="1">
        <v>29</v>
      </c>
      <c r="U354" s="1">
        <v>1</v>
      </c>
      <c r="V354" s="1">
        <v>2</v>
      </c>
    </row>
    <row r="355" spans="1:22" x14ac:dyDescent="0.25">
      <c r="A355" s="3">
        <v>44775</v>
      </c>
      <c r="B355" s="4">
        <v>0.58020833333333333</v>
      </c>
      <c r="C355" s="1">
        <v>1478</v>
      </c>
      <c r="D355" s="1">
        <v>13002581</v>
      </c>
      <c r="E355" s="1">
        <v>13</v>
      </c>
      <c r="F355" s="1">
        <v>22589</v>
      </c>
      <c r="G355" s="1" t="s">
        <v>21</v>
      </c>
      <c r="H355" s="1">
        <v>15</v>
      </c>
      <c r="I355" s="1">
        <v>103081</v>
      </c>
      <c r="J355" s="14" t="s">
        <v>608</v>
      </c>
      <c r="K355" s="1" t="s">
        <v>61</v>
      </c>
      <c r="L355" s="1" t="s">
        <v>609</v>
      </c>
      <c r="M355" s="14">
        <v>1</v>
      </c>
      <c r="N355" s="2">
        <v>308.99</v>
      </c>
      <c r="O355" s="16">
        <v>408</v>
      </c>
      <c r="P355" s="14">
        <v>28</v>
      </c>
      <c r="Q355" s="14">
        <f t="shared" si="5"/>
        <v>380</v>
      </c>
      <c r="R355" s="1">
        <v>9</v>
      </c>
      <c r="S355" s="1">
        <v>200010017757</v>
      </c>
      <c r="T355" s="1">
        <v>29</v>
      </c>
      <c r="U355" s="1">
        <v>1</v>
      </c>
      <c r="V355" s="1">
        <v>3</v>
      </c>
    </row>
    <row r="356" spans="1:22" x14ac:dyDescent="0.25">
      <c r="A356" s="3">
        <v>44777</v>
      </c>
      <c r="B356" s="4">
        <v>0.69444444444444442</v>
      </c>
      <c r="C356" s="1">
        <v>1752</v>
      </c>
      <c r="D356" s="1">
        <v>13002606</v>
      </c>
      <c r="E356" s="1">
        <v>13</v>
      </c>
      <c r="F356" s="1">
        <v>22589</v>
      </c>
      <c r="G356" s="1" t="s">
        <v>21</v>
      </c>
      <c r="H356" s="1">
        <v>18</v>
      </c>
      <c r="I356" s="1">
        <v>100510</v>
      </c>
      <c r="J356" s="14" t="s">
        <v>1051</v>
      </c>
      <c r="K356" s="1" t="s">
        <v>51</v>
      </c>
      <c r="L356" s="1" t="s">
        <v>129</v>
      </c>
      <c r="M356" s="14">
        <v>1</v>
      </c>
      <c r="N356" s="2">
        <v>350.97</v>
      </c>
      <c r="O356" s="16">
        <v>404</v>
      </c>
      <c r="P356" s="14">
        <v>0</v>
      </c>
      <c r="Q356" s="14">
        <f t="shared" si="5"/>
        <v>404</v>
      </c>
      <c r="R356" s="1" t="s">
        <v>25</v>
      </c>
      <c r="S356" s="1" t="s">
        <v>25</v>
      </c>
      <c r="T356" s="1">
        <v>50</v>
      </c>
      <c r="U356" s="1">
        <v>1</v>
      </c>
      <c r="V356" s="1">
        <v>1</v>
      </c>
    </row>
    <row r="357" spans="1:22" x14ac:dyDescent="0.25">
      <c r="A357" s="3">
        <v>44778</v>
      </c>
      <c r="B357" s="4">
        <v>0.5577199074074074</v>
      </c>
      <c r="C357" s="1">
        <v>1844</v>
      </c>
      <c r="D357" s="1">
        <v>13002616</v>
      </c>
      <c r="E357" s="1">
        <v>13</v>
      </c>
      <c r="F357" s="1">
        <v>22589</v>
      </c>
      <c r="G357" s="1" t="s">
        <v>21</v>
      </c>
      <c r="H357" s="1">
        <v>18</v>
      </c>
      <c r="I357" s="1">
        <v>189320</v>
      </c>
      <c r="J357" s="14" t="s">
        <v>1153</v>
      </c>
      <c r="K357" s="1" t="s">
        <v>51</v>
      </c>
      <c r="L357" s="1" t="s">
        <v>1154</v>
      </c>
      <c r="M357" s="14">
        <v>1</v>
      </c>
      <c r="N357" s="2">
        <v>439.12</v>
      </c>
      <c r="O357" s="16">
        <v>580</v>
      </c>
      <c r="P357" s="14">
        <v>0</v>
      </c>
      <c r="Q357" s="14">
        <f t="shared" si="5"/>
        <v>580</v>
      </c>
      <c r="R357" s="1" t="s">
        <v>25</v>
      </c>
      <c r="S357" s="1" t="s">
        <v>25</v>
      </c>
      <c r="T357" s="1">
        <v>50</v>
      </c>
      <c r="U357" s="1">
        <v>1</v>
      </c>
      <c r="V357" s="1">
        <v>2</v>
      </c>
    </row>
    <row r="358" spans="1:22" x14ac:dyDescent="0.25">
      <c r="A358" s="3">
        <v>44778</v>
      </c>
      <c r="B358" s="4">
        <v>0.74305555555555558</v>
      </c>
      <c r="C358" s="1">
        <v>1885</v>
      </c>
      <c r="D358" s="1">
        <v>13002616</v>
      </c>
      <c r="E358" s="1">
        <v>13</v>
      </c>
      <c r="F358" s="1">
        <v>22589</v>
      </c>
      <c r="G358" s="1" t="s">
        <v>21</v>
      </c>
      <c r="H358" s="1">
        <v>15</v>
      </c>
      <c r="I358" s="1">
        <v>189320</v>
      </c>
      <c r="J358" s="14" t="s">
        <v>1153</v>
      </c>
      <c r="K358" s="1" t="s">
        <v>51</v>
      </c>
      <c r="L358" s="1" t="s">
        <v>1154</v>
      </c>
      <c r="M358" s="14">
        <v>1</v>
      </c>
      <c r="N358" s="2">
        <v>439.12</v>
      </c>
      <c r="O358" s="16">
        <v>580</v>
      </c>
      <c r="P358" s="14">
        <v>40</v>
      </c>
      <c r="Q358" s="14">
        <f t="shared" si="5"/>
        <v>540</v>
      </c>
      <c r="R358" s="1">
        <v>9</v>
      </c>
      <c r="S358" s="1">
        <v>200010000727</v>
      </c>
      <c r="T358" s="1">
        <v>50</v>
      </c>
      <c r="U358" s="1">
        <v>1</v>
      </c>
      <c r="V358" s="1">
        <v>1</v>
      </c>
    </row>
    <row r="359" spans="1:22" x14ac:dyDescent="0.25">
      <c r="A359" s="3">
        <v>44774</v>
      </c>
      <c r="B359" s="4">
        <v>0.43896990740740743</v>
      </c>
      <c r="C359" s="1">
        <v>1290</v>
      </c>
      <c r="D359" s="1">
        <v>13002561</v>
      </c>
      <c r="E359" s="1">
        <v>13</v>
      </c>
      <c r="F359" s="1">
        <v>22589</v>
      </c>
      <c r="G359" s="1" t="s">
        <v>21</v>
      </c>
      <c r="H359" s="1">
        <v>15</v>
      </c>
      <c r="I359" s="1">
        <v>460183</v>
      </c>
      <c r="J359" s="14" t="s">
        <v>103</v>
      </c>
      <c r="K359" s="1" t="s">
        <v>45</v>
      </c>
      <c r="L359" s="1" t="s">
        <v>104</v>
      </c>
      <c r="M359" s="14">
        <v>1</v>
      </c>
      <c r="N359" s="2">
        <v>64.709999999999994</v>
      </c>
      <c r="O359" s="16">
        <v>102</v>
      </c>
      <c r="P359" s="14">
        <v>10</v>
      </c>
      <c r="Q359" s="14">
        <f t="shared" si="5"/>
        <v>92</v>
      </c>
      <c r="R359" s="1">
        <v>9</v>
      </c>
      <c r="S359" s="1">
        <v>200010000065</v>
      </c>
      <c r="T359" s="1">
        <v>29</v>
      </c>
      <c r="U359" s="1">
        <v>1</v>
      </c>
      <c r="V359" s="1">
        <v>2</v>
      </c>
    </row>
    <row r="360" spans="1:22" x14ac:dyDescent="0.25">
      <c r="A360" s="3">
        <v>44774</v>
      </c>
      <c r="B360" s="4">
        <v>0.52379629629629632</v>
      </c>
      <c r="C360" s="1">
        <v>1327</v>
      </c>
      <c r="D360" s="1">
        <v>13002561</v>
      </c>
      <c r="E360" s="1">
        <v>13</v>
      </c>
      <c r="F360" s="1">
        <v>22589</v>
      </c>
      <c r="G360" s="1" t="s">
        <v>21</v>
      </c>
      <c r="H360" s="1">
        <v>18</v>
      </c>
      <c r="I360" s="1">
        <v>172819</v>
      </c>
      <c r="J360" s="14" t="s">
        <v>245</v>
      </c>
      <c r="K360" s="1" t="s">
        <v>34</v>
      </c>
      <c r="L360" s="1" t="s">
        <v>246</v>
      </c>
      <c r="M360" s="14">
        <v>1</v>
      </c>
      <c r="N360" s="2">
        <v>350.47</v>
      </c>
      <c r="O360" s="16">
        <v>463</v>
      </c>
      <c r="P360" s="14">
        <v>0</v>
      </c>
      <c r="Q360" s="14">
        <f t="shared" si="5"/>
        <v>463</v>
      </c>
      <c r="R360" s="1" t="s">
        <v>25</v>
      </c>
      <c r="S360" s="1" t="s">
        <v>25</v>
      </c>
      <c r="T360" s="1">
        <v>29</v>
      </c>
      <c r="U360" s="1">
        <v>1</v>
      </c>
      <c r="V360" s="1">
        <v>3</v>
      </c>
    </row>
    <row r="361" spans="1:22" x14ac:dyDescent="0.25">
      <c r="A361" s="3">
        <v>44774</v>
      </c>
      <c r="B361" s="4">
        <v>0.44415509259259262</v>
      </c>
      <c r="C361" s="1">
        <v>1295</v>
      </c>
      <c r="D361" s="1">
        <v>13002561</v>
      </c>
      <c r="E361" s="1">
        <v>13</v>
      </c>
      <c r="F361" s="1">
        <v>22589</v>
      </c>
      <c r="G361" s="1" t="s">
        <v>21</v>
      </c>
      <c r="H361" s="1">
        <v>15</v>
      </c>
      <c r="I361" s="1">
        <v>157466</v>
      </c>
      <c r="J361" s="14" t="s">
        <v>124</v>
      </c>
      <c r="K361" s="1" t="s">
        <v>29</v>
      </c>
      <c r="L361" s="1" t="s">
        <v>125</v>
      </c>
      <c r="M361" s="14">
        <v>1</v>
      </c>
      <c r="N361" s="2">
        <v>169.99</v>
      </c>
      <c r="O361" s="16">
        <v>233</v>
      </c>
      <c r="P361" s="14">
        <v>16</v>
      </c>
      <c r="Q361" s="14">
        <f t="shared" si="5"/>
        <v>217</v>
      </c>
      <c r="R361" s="1">
        <v>9</v>
      </c>
      <c r="S361" s="1">
        <v>200010013040</v>
      </c>
      <c r="T361" s="1">
        <v>29</v>
      </c>
      <c r="U361" s="1">
        <v>1</v>
      </c>
      <c r="V361" s="1">
        <v>1</v>
      </c>
    </row>
    <row r="362" spans="1:22" x14ac:dyDescent="0.25">
      <c r="A362" s="3">
        <v>44776</v>
      </c>
      <c r="B362" s="4">
        <v>0.56773148148148145</v>
      </c>
      <c r="C362" s="1">
        <v>1599</v>
      </c>
      <c r="D362" s="1">
        <v>13002595</v>
      </c>
      <c r="E362" s="1">
        <v>13</v>
      </c>
      <c r="F362" s="1">
        <v>22589</v>
      </c>
      <c r="G362" s="1" t="s">
        <v>21</v>
      </c>
      <c r="H362" s="1">
        <v>18</v>
      </c>
      <c r="I362" s="1">
        <v>157498</v>
      </c>
      <c r="J362" s="14" t="s">
        <v>833</v>
      </c>
      <c r="K362" s="1" t="s">
        <v>34</v>
      </c>
      <c r="L362" s="1" t="s">
        <v>125</v>
      </c>
      <c r="M362" s="14">
        <v>1</v>
      </c>
      <c r="N362" s="2">
        <v>161.84</v>
      </c>
      <c r="O362" s="16">
        <v>222</v>
      </c>
      <c r="P362" s="14">
        <v>0</v>
      </c>
      <c r="Q362" s="14">
        <f t="shared" si="5"/>
        <v>222</v>
      </c>
      <c r="R362" s="1" t="s">
        <v>25</v>
      </c>
      <c r="S362" s="1" t="s">
        <v>25</v>
      </c>
      <c r="T362" s="1">
        <v>29</v>
      </c>
      <c r="U362" s="1">
        <v>1</v>
      </c>
      <c r="V362" s="1">
        <v>2</v>
      </c>
    </row>
    <row r="363" spans="1:22" x14ac:dyDescent="0.25">
      <c r="A363" s="3">
        <v>44778</v>
      </c>
      <c r="B363" s="4">
        <v>0.41531249999999997</v>
      </c>
      <c r="C363" s="1">
        <v>1808</v>
      </c>
      <c r="D363" s="1">
        <v>13002616</v>
      </c>
      <c r="E363" s="1">
        <v>13</v>
      </c>
      <c r="F363" s="1">
        <v>22589</v>
      </c>
      <c r="G363" s="1" t="s">
        <v>21</v>
      </c>
      <c r="H363" s="1">
        <v>18</v>
      </c>
      <c r="I363" s="1">
        <v>168881</v>
      </c>
      <c r="J363" s="14" t="s">
        <v>1099</v>
      </c>
      <c r="K363" s="1" t="s">
        <v>117</v>
      </c>
      <c r="L363" s="1" t="s">
        <v>1100</v>
      </c>
      <c r="M363" s="14">
        <v>1</v>
      </c>
      <c r="N363" s="2">
        <v>466.26</v>
      </c>
      <c r="O363" s="16">
        <v>653</v>
      </c>
      <c r="P363" s="14">
        <v>91</v>
      </c>
      <c r="Q363" s="14">
        <f t="shared" si="5"/>
        <v>562</v>
      </c>
      <c r="R363" s="1">
        <v>925</v>
      </c>
      <c r="S363" s="1">
        <v>200000000492</v>
      </c>
      <c r="T363" s="1">
        <v>50</v>
      </c>
      <c r="U363" s="1">
        <v>1</v>
      </c>
      <c r="V363" s="1">
        <v>1</v>
      </c>
    </row>
    <row r="364" spans="1:22" x14ac:dyDescent="0.25">
      <c r="A364" s="3">
        <v>44774</v>
      </c>
      <c r="B364" s="4">
        <v>0.44861111111111113</v>
      </c>
      <c r="C364" s="1">
        <v>1297</v>
      </c>
      <c r="D364" s="1">
        <v>13002561</v>
      </c>
      <c r="E364" s="1">
        <v>13</v>
      </c>
      <c r="F364" s="1">
        <v>22589</v>
      </c>
      <c r="G364" s="1" t="s">
        <v>21</v>
      </c>
      <c r="H364" s="1">
        <v>15</v>
      </c>
      <c r="I364" s="1">
        <v>512333</v>
      </c>
      <c r="J364" s="14" t="s">
        <v>138</v>
      </c>
      <c r="K364" s="1" t="s">
        <v>61</v>
      </c>
      <c r="L364" s="1" t="s">
        <v>139</v>
      </c>
      <c r="M364" s="14">
        <v>1</v>
      </c>
      <c r="N364" s="2">
        <v>115.28</v>
      </c>
      <c r="O364" s="16">
        <v>158</v>
      </c>
      <c r="P364" s="14">
        <v>0</v>
      </c>
      <c r="Q364" s="14">
        <f t="shared" si="5"/>
        <v>158</v>
      </c>
      <c r="R364" s="1" t="s">
        <v>25</v>
      </c>
      <c r="S364" s="1" t="s">
        <v>25</v>
      </c>
      <c r="T364" s="1">
        <v>29</v>
      </c>
      <c r="U364" s="1">
        <v>1</v>
      </c>
      <c r="V364" s="1">
        <v>1</v>
      </c>
    </row>
    <row r="365" spans="1:22" x14ac:dyDescent="0.25">
      <c r="A365" s="3">
        <v>44775</v>
      </c>
      <c r="B365" s="4">
        <v>0.73109953703703701</v>
      </c>
      <c r="C365" s="1">
        <v>1512</v>
      </c>
      <c r="D365" s="1">
        <v>13002581</v>
      </c>
      <c r="E365" s="1">
        <v>13</v>
      </c>
      <c r="F365" s="1">
        <v>22589</v>
      </c>
      <c r="G365" s="1" t="s">
        <v>21</v>
      </c>
      <c r="H365" s="1">
        <v>18</v>
      </c>
      <c r="I365" s="1">
        <v>512333</v>
      </c>
      <c r="J365" s="14" t="s">
        <v>138</v>
      </c>
      <c r="K365" s="1" t="s">
        <v>61</v>
      </c>
      <c r="L365" s="1" t="s">
        <v>139</v>
      </c>
      <c r="M365" s="14">
        <v>1</v>
      </c>
      <c r="N365" s="2">
        <v>115.28</v>
      </c>
      <c r="O365" s="16">
        <v>158</v>
      </c>
      <c r="P365" s="14">
        <v>8</v>
      </c>
      <c r="Q365" s="14">
        <f t="shared" si="5"/>
        <v>150</v>
      </c>
      <c r="R365" s="1">
        <v>925</v>
      </c>
      <c r="S365" s="1">
        <v>200000000492</v>
      </c>
      <c r="T365" s="1">
        <v>29</v>
      </c>
      <c r="U365" s="1">
        <v>1</v>
      </c>
      <c r="V365" s="1">
        <v>1</v>
      </c>
    </row>
    <row r="366" spans="1:22" x14ac:dyDescent="0.25">
      <c r="A366" s="3">
        <v>44778</v>
      </c>
      <c r="B366" s="4">
        <v>0.58674768518518516</v>
      </c>
      <c r="C366" s="1">
        <v>1850</v>
      </c>
      <c r="D366" s="1">
        <v>13002616</v>
      </c>
      <c r="E366" s="1">
        <v>13</v>
      </c>
      <c r="F366" s="1">
        <v>22589</v>
      </c>
      <c r="G366" s="1" t="s">
        <v>21</v>
      </c>
      <c r="H366" s="1">
        <v>15</v>
      </c>
      <c r="I366" s="1">
        <v>512333</v>
      </c>
      <c r="J366" s="14" t="s">
        <v>138</v>
      </c>
      <c r="K366" s="1" t="s">
        <v>61</v>
      </c>
      <c r="L366" s="1" t="s">
        <v>139</v>
      </c>
      <c r="M366" s="14">
        <v>1</v>
      </c>
      <c r="N366" s="2">
        <v>115.28</v>
      </c>
      <c r="O366" s="16">
        <v>158</v>
      </c>
      <c r="P366" s="14">
        <v>0</v>
      </c>
      <c r="Q366" s="14">
        <f t="shared" si="5"/>
        <v>158</v>
      </c>
      <c r="R366" s="1" t="s">
        <v>25</v>
      </c>
      <c r="S366" s="1" t="s">
        <v>25</v>
      </c>
      <c r="T366" s="1">
        <v>50</v>
      </c>
      <c r="U366" s="1">
        <v>1</v>
      </c>
      <c r="V366" s="1">
        <v>1</v>
      </c>
    </row>
    <row r="367" spans="1:22" x14ac:dyDescent="0.25">
      <c r="A367" s="3">
        <v>44776</v>
      </c>
      <c r="B367" s="4">
        <v>0.48996527777777776</v>
      </c>
      <c r="C367" s="1">
        <v>1571</v>
      </c>
      <c r="D367" s="1">
        <v>13002595</v>
      </c>
      <c r="E367" s="1">
        <v>13</v>
      </c>
      <c r="F367" s="1">
        <v>22589</v>
      </c>
      <c r="G367" s="1" t="s">
        <v>21</v>
      </c>
      <c r="H367" s="1">
        <v>18</v>
      </c>
      <c r="I367" s="1">
        <v>394</v>
      </c>
      <c r="J367" s="14" t="s">
        <v>774</v>
      </c>
      <c r="K367" s="1" t="s">
        <v>34</v>
      </c>
      <c r="L367" s="1" t="s">
        <v>775</v>
      </c>
      <c r="M367" s="14">
        <v>1</v>
      </c>
      <c r="N367" s="2">
        <v>66.739999999999995</v>
      </c>
      <c r="O367" s="16">
        <v>83</v>
      </c>
      <c r="P367" s="14">
        <v>4</v>
      </c>
      <c r="Q367" s="14">
        <f t="shared" si="5"/>
        <v>79</v>
      </c>
      <c r="R367" s="1">
        <v>941</v>
      </c>
      <c r="S367" s="1">
        <v>200000000044</v>
      </c>
      <c r="T367" s="1">
        <v>29</v>
      </c>
      <c r="U367" s="1">
        <v>1</v>
      </c>
      <c r="V367" s="1">
        <v>1</v>
      </c>
    </row>
    <row r="368" spans="1:22" x14ac:dyDescent="0.25">
      <c r="A368" s="3">
        <v>44776</v>
      </c>
      <c r="B368" s="4">
        <v>0.48996527777777776</v>
      </c>
      <c r="C368" s="1">
        <v>1571</v>
      </c>
      <c r="D368" s="1">
        <v>13002595</v>
      </c>
      <c r="E368" s="1">
        <v>13</v>
      </c>
      <c r="F368" s="1">
        <v>22589</v>
      </c>
      <c r="G368" s="1" t="s">
        <v>21</v>
      </c>
      <c r="H368" s="1">
        <v>18</v>
      </c>
      <c r="I368" s="1">
        <v>395</v>
      </c>
      <c r="J368" s="14" t="s">
        <v>776</v>
      </c>
      <c r="K368" s="1" t="s">
        <v>34</v>
      </c>
      <c r="L368" s="1" t="s">
        <v>775</v>
      </c>
      <c r="M368" s="14">
        <v>1</v>
      </c>
      <c r="N368" s="2">
        <v>61.75</v>
      </c>
      <c r="O368" s="16">
        <v>77</v>
      </c>
      <c r="P368" s="14">
        <v>3</v>
      </c>
      <c r="Q368" s="14">
        <f t="shared" si="5"/>
        <v>74</v>
      </c>
      <c r="R368" s="1">
        <v>941</v>
      </c>
      <c r="S368" s="1">
        <v>200000000044</v>
      </c>
      <c r="T368" s="1">
        <v>29</v>
      </c>
      <c r="U368" s="1">
        <v>1</v>
      </c>
      <c r="V368" s="1">
        <v>2</v>
      </c>
    </row>
    <row r="369" spans="1:22" x14ac:dyDescent="0.25">
      <c r="A369" s="3">
        <v>44776</v>
      </c>
      <c r="B369" s="4">
        <v>0.65454861111111107</v>
      </c>
      <c r="C369" s="1">
        <v>1620</v>
      </c>
      <c r="D369" s="1">
        <v>13002595</v>
      </c>
      <c r="E369" s="1">
        <v>13</v>
      </c>
      <c r="F369" s="1">
        <v>22589</v>
      </c>
      <c r="G369" s="1" t="s">
        <v>21</v>
      </c>
      <c r="H369" s="1">
        <v>15</v>
      </c>
      <c r="I369" s="1">
        <v>438633</v>
      </c>
      <c r="J369" s="14" t="s">
        <v>872</v>
      </c>
      <c r="K369" s="1" t="s">
        <v>117</v>
      </c>
      <c r="L369" s="1" t="s">
        <v>27</v>
      </c>
      <c r="M369" s="14">
        <v>1</v>
      </c>
      <c r="N369" s="2">
        <v>129.74</v>
      </c>
      <c r="O369" s="16">
        <v>178</v>
      </c>
      <c r="P369" s="14">
        <v>12</v>
      </c>
      <c r="Q369" s="14">
        <f t="shared" si="5"/>
        <v>166</v>
      </c>
      <c r="R369" s="1">
        <v>9</v>
      </c>
      <c r="S369" s="1">
        <v>200010001659</v>
      </c>
      <c r="T369" s="1">
        <v>29</v>
      </c>
      <c r="U369" s="1">
        <v>1</v>
      </c>
      <c r="V369" s="1">
        <v>1</v>
      </c>
    </row>
    <row r="370" spans="1:22" x14ac:dyDescent="0.25">
      <c r="A370" s="3">
        <v>44777</v>
      </c>
      <c r="B370" s="4">
        <v>0.6865162037037037</v>
      </c>
      <c r="C370" s="1">
        <v>1749</v>
      </c>
      <c r="D370" s="1">
        <v>13002606</v>
      </c>
      <c r="E370" s="1">
        <v>13</v>
      </c>
      <c r="F370" s="1">
        <v>22589</v>
      </c>
      <c r="G370" s="1" t="s">
        <v>21</v>
      </c>
      <c r="H370" s="1">
        <v>18</v>
      </c>
      <c r="I370" s="1">
        <v>310794</v>
      </c>
      <c r="J370" s="14" t="s">
        <v>1044</v>
      </c>
      <c r="K370" s="1" t="s">
        <v>23</v>
      </c>
      <c r="L370" s="1" t="s">
        <v>65</v>
      </c>
      <c r="M370" s="14">
        <v>1</v>
      </c>
      <c r="N370" s="2">
        <v>108.99</v>
      </c>
      <c r="O370" s="16">
        <v>150</v>
      </c>
      <c r="P370" s="14">
        <v>0</v>
      </c>
      <c r="Q370" s="14">
        <f t="shared" si="5"/>
        <v>150</v>
      </c>
      <c r="R370" s="1" t="s">
        <v>25</v>
      </c>
      <c r="S370" s="1" t="s">
        <v>25</v>
      </c>
      <c r="T370" s="1">
        <v>50</v>
      </c>
      <c r="U370" s="1">
        <v>1</v>
      </c>
      <c r="V370" s="1">
        <v>1</v>
      </c>
    </row>
    <row r="371" spans="1:22" x14ac:dyDescent="0.25">
      <c r="A371" s="3">
        <v>44774</v>
      </c>
      <c r="B371" s="4">
        <v>0.74442129629629628</v>
      </c>
      <c r="C371" s="1">
        <v>1393</v>
      </c>
      <c r="D371" s="1">
        <v>13002561</v>
      </c>
      <c r="E371" s="1">
        <v>13</v>
      </c>
      <c r="F371" s="1">
        <v>22589</v>
      </c>
      <c r="G371" s="1" t="s">
        <v>21</v>
      </c>
      <c r="H371" s="1">
        <v>18</v>
      </c>
      <c r="I371" s="1">
        <v>32969</v>
      </c>
      <c r="J371" s="14" t="s">
        <v>424</v>
      </c>
      <c r="K371" s="1" t="s">
        <v>64</v>
      </c>
      <c r="L371" s="1" t="s">
        <v>425</v>
      </c>
      <c r="M371" s="14">
        <v>0.2</v>
      </c>
      <c r="N371" s="2">
        <v>169.54</v>
      </c>
      <c r="O371" s="16">
        <v>204.36</v>
      </c>
      <c r="P371" s="14">
        <v>1.87</v>
      </c>
      <c r="Q371" s="14">
        <f t="shared" si="5"/>
        <v>39.00200000000001</v>
      </c>
      <c r="R371" s="1">
        <v>9</v>
      </c>
      <c r="S371" s="1">
        <v>200010021967</v>
      </c>
      <c r="T371" s="1">
        <v>29</v>
      </c>
      <c r="U371" s="1">
        <v>1</v>
      </c>
      <c r="V371" s="1">
        <v>2</v>
      </c>
    </row>
    <row r="372" spans="1:22" x14ac:dyDescent="0.25">
      <c r="A372" s="3">
        <v>44776</v>
      </c>
      <c r="B372" s="4">
        <v>0.43421296296296297</v>
      </c>
      <c r="C372" s="1">
        <v>1553</v>
      </c>
      <c r="D372" s="1">
        <v>13002595</v>
      </c>
      <c r="E372" s="1">
        <v>13</v>
      </c>
      <c r="F372" s="1">
        <v>22589</v>
      </c>
      <c r="G372" s="1" t="s">
        <v>21</v>
      </c>
      <c r="H372" s="1">
        <v>18</v>
      </c>
      <c r="I372" s="1">
        <v>348751</v>
      </c>
      <c r="J372" s="14" t="s">
        <v>735</v>
      </c>
      <c r="K372" s="1" t="s">
        <v>23</v>
      </c>
      <c r="L372" s="1" t="s">
        <v>137</v>
      </c>
      <c r="M372" s="14">
        <v>1</v>
      </c>
      <c r="N372" s="2">
        <v>304.82</v>
      </c>
      <c r="O372" s="16">
        <v>364</v>
      </c>
      <c r="P372" s="14">
        <v>0</v>
      </c>
      <c r="Q372" s="14">
        <f t="shared" si="5"/>
        <v>364</v>
      </c>
      <c r="R372" s="1" t="s">
        <v>25</v>
      </c>
      <c r="S372" s="1" t="s">
        <v>25</v>
      </c>
      <c r="T372" s="1">
        <v>29</v>
      </c>
      <c r="U372" s="1">
        <v>1</v>
      </c>
      <c r="V372" s="1">
        <v>1</v>
      </c>
    </row>
    <row r="373" spans="1:22" x14ac:dyDescent="0.25">
      <c r="A373" s="3">
        <v>44775</v>
      </c>
      <c r="B373" s="4">
        <v>0.79583333333333328</v>
      </c>
      <c r="C373" s="1">
        <v>1530</v>
      </c>
      <c r="D373" s="1">
        <v>13002581</v>
      </c>
      <c r="E373" s="1">
        <v>13</v>
      </c>
      <c r="F373" s="1">
        <v>22589</v>
      </c>
      <c r="G373" s="1" t="s">
        <v>21</v>
      </c>
      <c r="H373" s="1">
        <v>15</v>
      </c>
      <c r="I373" s="1">
        <v>69230</v>
      </c>
      <c r="J373" s="14" t="s">
        <v>698</v>
      </c>
      <c r="K373" s="1" t="s">
        <v>23</v>
      </c>
      <c r="L373" s="1" t="s">
        <v>175</v>
      </c>
      <c r="M373" s="14">
        <v>1</v>
      </c>
      <c r="N373" s="2">
        <v>569.76</v>
      </c>
      <c r="O373" s="16">
        <v>781</v>
      </c>
      <c r="P373" s="14">
        <v>78</v>
      </c>
      <c r="Q373" s="14">
        <f t="shared" si="5"/>
        <v>703</v>
      </c>
      <c r="R373" s="1">
        <v>939</v>
      </c>
      <c r="S373" s="1">
        <v>200000000042</v>
      </c>
      <c r="T373" s="1">
        <v>29</v>
      </c>
      <c r="U373" s="1">
        <v>1</v>
      </c>
      <c r="V373" s="1">
        <v>1</v>
      </c>
    </row>
    <row r="374" spans="1:22" x14ac:dyDescent="0.25">
      <c r="A374" s="3">
        <v>44775</v>
      </c>
      <c r="B374" s="4">
        <v>0.54039351851851847</v>
      </c>
      <c r="C374" s="1">
        <v>1470</v>
      </c>
      <c r="D374" s="1">
        <v>13002581</v>
      </c>
      <c r="E374" s="1">
        <v>13</v>
      </c>
      <c r="F374" s="1">
        <v>22589</v>
      </c>
      <c r="G374" s="1" t="s">
        <v>21</v>
      </c>
      <c r="H374" s="1">
        <v>18</v>
      </c>
      <c r="I374" s="1">
        <v>3101</v>
      </c>
      <c r="J374" s="14" t="s">
        <v>588</v>
      </c>
      <c r="K374" s="1" t="s">
        <v>51</v>
      </c>
      <c r="L374" s="1" t="s">
        <v>589</v>
      </c>
      <c r="M374" s="14">
        <v>1</v>
      </c>
      <c r="N374" s="2">
        <v>566.32000000000005</v>
      </c>
      <c r="O374" s="16">
        <v>731</v>
      </c>
      <c r="P374" s="14">
        <v>51</v>
      </c>
      <c r="Q374" s="14">
        <f t="shared" si="5"/>
        <v>680</v>
      </c>
      <c r="R374" s="1">
        <v>9</v>
      </c>
      <c r="S374" s="1">
        <v>200010017048</v>
      </c>
      <c r="T374" s="1">
        <v>29</v>
      </c>
      <c r="U374" s="1">
        <v>1</v>
      </c>
      <c r="V374" s="1">
        <v>3</v>
      </c>
    </row>
    <row r="375" spans="1:22" x14ac:dyDescent="0.25">
      <c r="A375" s="3">
        <v>44774</v>
      </c>
      <c r="B375" s="4">
        <v>0.73450231481481476</v>
      </c>
      <c r="C375" s="1">
        <v>1388</v>
      </c>
      <c r="D375" s="1">
        <v>13002561</v>
      </c>
      <c r="E375" s="1">
        <v>13</v>
      </c>
      <c r="F375" s="1">
        <v>22589</v>
      </c>
      <c r="G375" s="1" t="s">
        <v>21</v>
      </c>
      <c r="H375" s="1">
        <v>15</v>
      </c>
      <c r="I375" s="1">
        <v>151073</v>
      </c>
      <c r="J375" s="14" t="s">
        <v>409</v>
      </c>
      <c r="K375" s="1" t="s">
        <v>117</v>
      </c>
      <c r="L375" s="1" t="s">
        <v>410</v>
      </c>
      <c r="M375" s="14">
        <v>1</v>
      </c>
      <c r="N375" s="2">
        <v>265.95999999999998</v>
      </c>
      <c r="O375" s="16">
        <v>418</v>
      </c>
      <c r="P375" s="14">
        <v>41</v>
      </c>
      <c r="Q375" s="14">
        <f t="shared" si="5"/>
        <v>377</v>
      </c>
      <c r="R375" s="1">
        <v>9</v>
      </c>
      <c r="S375" s="1">
        <v>200010016544</v>
      </c>
      <c r="T375" s="1">
        <v>29</v>
      </c>
      <c r="U375" s="1">
        <v>1</v>
      </c>
      <c r="V375" s="1">
        <v>1</v>
      </c>
    </row>
    <row r="376" spans="1:22" x14ac:dyDescent="0.25">
      <c r="A376" s="3">
        <v>44776</v>
      </c>
      <c r="B376" s="4">
        <v>0.46812500000000001</v>
      </c>
      <c r="C376" s="1">
        <v>1564</v>
      </c>
      <c r="D376" s="1">
        <v>13002595</v>
      </c>
      <c r="E376" s="1">
        <v>13</v>
      </c>
      <c r="F376" s="1">
        <v>22589</v>
      </c>
      <c r="G376" s="1" t="s">
        <v>21</v>
      </c>
      <c r="H376" s="1">
        <v>18</v>
      </c>
      <c r="I376" s="1">
        <v>338370</v>
      </c>
      <c r="J376" s="14" t="s">
        <v>762</v>
      </c>
      <c r="K376" s="1" t="s">
        <v>61</v>
      </c>
      <c r="L376" s="1" t="s">
        <v>276</v>
      </c>
      <c r="M376" s="14">
        <v>1</v>
      </c>
      <c r="N376" s="2">
        <v>2609.1999999999998</v>
      </c>
      <c r="O376" s="16">
        <v>3053</v>
      </c>
      <c r="P376" s="14">
        <v>305</v>
      </c>
      <c r="Q376" s="14">
        <f t="shared" si="5"/>
        <v>2748</v>
      </c>
      <c r="R376" s="1">
        <v>9</v>
      </c>
      <c r="S376" s="1">
        <v>200010013081</v>
      </c>
      <c r="T376" s="1">
        <v>29</v>
      </c>
      <c r="U376" s="1">
        <v>1</v>
      </c>
      <c r="V376" s="1">
        <v>2</v>
      </c>
    </row>
    <row r="377" spans="1:22" x14ac:dyDescent="0.25">
      <c r="A377" s="3">
        <v>44776</v>
      </c>
      <c r="B377" s="4">
        <v>0.50604166666666661</v>
      </c>
      <c r="C377" s="1">
        <v>1575</v>
      </c>
      <c r="D377" s="1">
        <v>13002595</v>
      </c>
      <c r="E377" s="1">
        <v>13</v>
      </c>
      <c r="F377" s="1">
        <v>22589</v>
      </c>
      <c r="G377" s="1" t="s">
        <v>21</v>
      </c>
      <c r="H377" s="1">
        <v>18</v>
      </c>
      <c r="I377" s="1">
        <v>338370</v>
      </c>
      <c r="J377" s="14" t="s">
        <v>762</v>
      </c>
      <c r="K377" s="1" t="s">
        <v>466</v>
      </c>
      <c r="L377" s="1" t="s">
        <v>276</v>
      </c>
      <c r="M377" s="14">
        <v>1</v>
      </c>
      <c r="N377" s="2">
        <v>2814.35</v>
      </c>
      <c r="O377" s="16">
        <v>2947</v>
      </c>
      <c r="P377" s="14">
        <v>0</v>
      </c>
      <c r="Q377" s="14">
        <f t="shared" si="5"/>
        <v>2947</v>
      </c>
      <c r="R377" s="1" t="s">
        <v>25</v>
      </c>
      <c r="S377" s="1" t="s">
        <v>25</v>
      </c>
      <c r="T377" s="1">
        <v>29</v>
      </c>
      <c r="U377" s="1">
        <v>2</v>
      </c>
      <c r="V377" s="1">
        <v>7</v>
      </c>
    </row>
    <row r="378" spans="1:22" x14ac:dyDescent="0.25">
      <c r="A378" s="3">
        <v>44776</v>
      </c>
      <c r="B378" s="4">
        <v>0.50604166666666661</v>
      </c>
      <c r="C378" s="1">
        <v>1575</v>
      </c>
      <c r="D378" s="1">
        <v>13002595</v>
      </c>
      <c r="E378" s="1">
        <v>13</v>
      </c>
      <c r="F378" s="1">
        <v>22589</v>
      </c>
      <c r="G378" s="1" t="s">
        <v>21</v>
      </c>
      <c r="H378" s="1">
        <v>18</v>
      </c>
      <c r="I378" s="1">
        <v>338370</v>
      </c>
      <c r="J378" s="14" t="s">
        <v>762</v>
      </c>
      <c r="K378" s="1" t="s">
        <v>466</v>
      </c>
      <c r="L378" s="1" t="s">
        <v>276</v>
      </c>
      <c r="M378" s="14">
        <v>1</v>
      </c>
      <c r="N378" s="2">
        <v>2814.35</v>
      </c>
      <c r="O378" s="16">
        <v>2947</v>
      </c>
      <c r="P378" s="14">
        <v>0</v>
      </c>
      <c r="Q378" s="14">
        <f t="shared" si="5"/>
        <v>2947</v>
      </c>
      <c r="R378" s="1" t="s">
        <v>25</v>
      </c>
      <c r="S378" s="1" t="s">
        <v>25</v>
      </c>
      <c r="T378" s="1">
        <v>29</v>
      </c>
      <c r="U378" s="1">
        <v>2</v>
      </c>
      <c r="V378" s="1">
        <v>8</v>
      </c>
    </row>
    <row r="379" spans="1:22" x14ac:dyDescent="0.25">
      <c r="A379" s="3">
        <v>44777</v>
      </c>
      <c r="B379" s="4">
        <v>0.79398148148148151</v>
      </c>
      <c r="C379" s="1">
        <v>1772</v>
      </c>
      <c r="D379" s="1">
        <v>13002606</v>
      </c>
      <c r="E379" s="1">
        <v>13</v>
      </c>
      <c r="F379" s="1">
        <v>22589</v>
      </c>
      <c r="G379" s="1" t="s">
        <v>21</v>
      </c>
      <c r="H379" s="1">
        <v>15</v>
      </c>
      <c r="I379" s="1">
        <v>338370</v>
      </c>
      <c r="J379" s="14" t="s">
        <v>762</v>
      </c>
      <c r="K379" s="1" t="s">
        <v>23</v>
      </c>
      <c r="L379" s="1" t="s">
        <v>276</v>
      </c>
      <c r="M379" s="14">
        <v>1</v>
      </c>
      <c r="N379" s="2">
        <v>2564.6</v>
      </c>
      <c r="O379" s="16">
        <v>3001</v>
      </c>
      <c r="P379" s="14">
        <v>300</v>
      </c>
      <c r="Q379" s="14">
        <f t="shared" si="5"/>
        <v>2701</v>
      </c>
      <c r="R379" s="1">
        <v>30</v>
      </c>
      <c r="S379" s="1">
        <v>200000000024</v>
      </c>
      <c r="T379" s="1">
        <v>50</v>
      </c>
      <c r="U379" s="1">
        <v>1</v>
      </c>
      <c r="V379" s="1">
        <v>1</v>
      </c>
    </row>
    <row r="380" spans="1:22" x14ac:dyDescent="0.25">
      <c r="A380" s="3">
        <v>44774</v>
      </c>
      <c r="B380" s="4">
        <v>0.48420138888888886</v>
      </c>
      <c r="C380" s="1">
        <v>1310</v>
      </c>
      <c r="D380" s="1">
        <v>13002561</v>
      </c>
      <c r="E380" s="1">
        <v>13</v>
      </c>
      <c r="F380" s="1">
        <v>22589</v>
      </c>
      <c r="G380" s="1" t="s">
        <v>21</v>
      </c>
      <c r="H380" s="1">
        <v>18</v>
      </c>
      <c r="I380" s="1">
        <v>1877</v>
      </c>
      <c r="J380" s="14" t="s">
        <v>181</v>
      </c>
      <c r="K380" s="1" t="s">
        <v>34</v>
      </c>
      <c r="L380" s="1" t="s">
        <v>182</v>
      </c>
      <c r="M380" s="14">
        <v>1</v>
      </c>
      <c r="N380" s="2">
        <v>831.06</v>
      </c>
      <c r="O380" s="16">
        <v>1039</v>
      </c>
      <c r="P380" s="14">
        <v>0</v>
      </c>
      <c r="Q380" s="14">
        <f t="shared" si="5"/>
        <v>1039</v>
      </c>
      <c r="R380" s="1" t="s">
        <v>25</v>
      </c>
      <c r="S380" s="1" t="s">
        <v>25</v>
      </c>
      <c r="T380" s="1">
        <v>29</v>
      </c>
      <c r="U380" s="1">
        <v>1</v>
      </c>
      <c r="V380" s="1">
        <v>1</v>
      </c>
    </row>
    <row r="381" spans="1:22" x14ac:dyDescent="0.25">
      <c r="A381" s="3">
        <v>44776</v>
      </c>
      <c r="B381" s="4">
        <v>0.58226851851851846</v>
      </c>
      <c r="C381" s="1">
        <v>1606</v>
      </c>
      <c r="D381" s="1">
        <v>13002595</v>
      </c>
      <c r="E381" s="1">
        <v>13</v>
      </c>
      <c r="F381" s="1">
        <v>22589</v>
      </c>
      <c r="G381" s="1" t="s">
        <v>21</v>
      </c>
      <c r="H381" s="1">
        <v>18</v>
      </c>
      <c r="I381" s="1">
        <v>493753</v>
      </c>
      <c r="J381" s="14" t="s">
        <v>848</v>
      </c>
      <c r="K381" s="1" t="s">
        <v>51</v>
      </c>
      <c r="L381" s="1" t="s">
        <v>849</v>
      </c>
      <c r="M381" s="14">
        <v>1</v>
      </c>
      <c r="N381" s="2">
        <v>488.41</v>
      </c>
      <c r="O381" s="16">
        <v>562</v>
      </c>
      <c r="P381" s="14">
        <v>56</v>
      </c>
      <c r="Q381" s="14">
        <f t="shared" si="5"/>
        <v>506</v>
      </c>
      <c r="R381" s="1">
        <v>9</v>
      </c>
      <c r="S381" s="1">
        <v>200010020729</v>
      </c>
      <c r="T381" s="1">
        <v>29</v>
      </c>
      <c r="U381" s="1">
        <v>1</v>
      </c>
      <c r="V381" s="1">
        <v>3</v>
      </c>
    </row>
    <row r="382" spans="1:22" x14ac:dyDescent="0.25">
      <c r="A382" s="3">
        <v>44777</v>
      </c>
      <c r="B382" s="4">
        <v>0.53268518518518515</v>
      </c>
      <c r="C382" s="1">
        <v>1707</v>
      </c>
      <c r="D382" s="1">
        <v>13002606</v>
      </c>
      <c r="E382" s="1">
        <v>13</v>
      </c>
      <c r="F382" s="1">
        <v>22589</v>
      </c>
      <c r="G382" s="1" t="s">
        <v>21</v>
      </c>
      <c r="H382" s="1">
        <v>15</v>
      </c>
      <c r="I382" s="1">
        <v>493753</v>
      </c>
      <c r="J382" s="14" t="s">
        <v>848</v>
      </c>
      <c r="K382" s="1" t="s">
        <v>45</v>
      </c>
      <c r="L382" s="1" t="s">
        <v>849</v>
      </c>
      <c r="M382" s="14">
        <v>1</v>
      </c>
      <c r="N382" s="2">
        <v>479.59</v>
      </c>
      <c r="O382" s="16">
        <v>552</v>
      </c>
      <c r="P382" s="14">
        <v>55</v>
      </c>
      <c r="Q382" s="14">
        <f t="shared" si="5"/>
        <v>497</v>
      </c>
      <c r="R382" s="1">
        <v>9</v>
      </c>
      <c r="S382" s="1">
        <v>200010001054</v>
      </c>
      <c r="T382" s="1">
        <v>50</v>
      </c>
      <c r="U382" s="1">
        <v>1</v>
      </c>
      <c r="V382" s="1">
        <v>1</v>
      </c>
    </row>
    <row r="383" spans="1:22" x14ac:dyDescent="0.25">
      <c r="A383" s="3">
        <v>44774</v>
      </c>
      <c r="B383" s="4">
        <v>0.66326388888888888</v>
      </c>
      <c r="C383" s="1">
        <v>1369</v>
      </c>
      <c r="D383" s="1">
        <v>13002561</v>
      </c>
      <c r="E383" s="1">
        <v>13</v>
      </c>
      <c r="F383" s="1">
        <v>22589</v>
      </c>
      <c r="G383" s="1" t="s">
        <v>21</v>
      </c>
      <c r="H383" s="1">
        <v>18</v>
      </c>
      <c r="I383" s="1">
        <v>130465</v>
      </c>
      <c r="J383" s="14" t="s">
        <v>364</v>
      </c>
      <c r="K383" s="1" t="s">
        <v>23</v>
      </c>
      <c r="L383" s="1" t="s">
        <v>276</v>
      </c>
      <c r="M383" s="14">
        <v>1</v>
      </c>
      <c r="N383" s="2">
        <v>178.97</v>
      </c>
      <c r="O383" s="16">
        <v>203</v>
      </c>
      <c r="P383" s="14">
        <v>10</v>
      </c>
      <c r="Q383" s="14">
        <f t="shared" si="5"/>
        <v>193</v>
      </c>
      <c r="R383" s="1">
        <v>9</v>
      </c>
      <c r="S383" s="1">
        <v>200010004645</v>
      </c>
      <c r="T383" s="1">
        <v>29</v>
      </c>
      <c r="U383" s="1">
        <v>1</v>
      </c>
      <c r="V383" s="1">
        <v>1</v>
      </c>
    </row>
    <row r="384" spans="1:22" x14ac:dyDescent="0.25">
      <c r="A384" s="3">
        <v>44774</v>
      </c>
      <c r="B384" s="4">
        <v>0.66326388888888888</v>
      </c>
      <c r="C384" s="1">
        <v>1369</v>
      </c>
      <c r="D384" s="1">
        <v>13002561</v>
      </c>
      <c r="E384" s="1">
        <v>13</v>
      </c>
      <c r="F384" s="1">
        <v>22589</v>
      </c>
      <c r="G384" s="1" t="s">
        <v>21</v>
      </c>
      <c r="H384" s="1">
        <v>18</v>
      </c>
      <c r="I384" s="1">
        <v>130465</v>
      </c>
      <c r="J384" s="14" t="s">
        <v>364</v>
      </c>
      <c r="K384" s="1" t="s">
        <v>23</v>
      </c>
      <c r="L384" s="1" t="s">
        <v>276</v>
      </c>
      <c r="M384" s="14">
        <v>1</v>
      </c>
      <c r="N384" s="2">
        <v>178.97</v>
      </c>
      <c r="O384" s="16">
        <v>203</v>
      </c>
      <c r="P384" s="14">
        <v>10</v>
      </c>
      <c r="Q384" s="14">
        <f t="shared" si="5"/>
        <v>193</v>
      </c>
      <c r="R384" s="1">
        <v>9</v>
      </c>
      <c r="S384" s="1">
        <v>200010004645</v>
      </c>
      <c r="T384" s="1">
        <v>29</v>
      </c>
      <c r="U384" s="1">
        <v>1</v>
      </c>
      <c r="V384" s="1">
        <v>2</v>
      </c>
    </row>
    <row r="385" spans="1:22" x14ac:dyDescent="0.25">
      <c r="A385" s="3">
        <v>44778</v>
      </c>
      <c r="B385" s="4">
        <v>0.73554398148148148</v>
      </c>
      <c r="C385" s="1">
        <v>1884</v>
      </c>
      <c r="D385" s="1">
        <v>13002616</v>
      </c>
      <c r="E385" s="1">
        <v>13</v>
      </c>
      <c r="F385" s="1">
        <v>22589</v>
      </c>
      <c r="G385" s="1" t="s">
        <v>21</v>
      </c>
      <c r="H385" s="1">
        <v>18</v>
      </c>
      <c r="I385" s="1">
        <v>130465</v>
      </c>
      <c r="J385" s="14" t="s">
        <v>364</v>
      </c>
      <c r="K385" s="1" t="s">
        <v>61</v>
      </c>
      <c r="L385" s="1" t="s">
        <v>436</v>
      </c>
      <c r="M385" s="14">
        <v>1</v>
      </c>
      <c r="N385" s="2">
        <v>180.95</v>
      </c>
      <c r="O385" s="16">
        <v>218</v>
      </c>
      <c r="P385" s="14">
        <v>10</v>
      </c>
      <c r="Q385" s="14">
        <f t="shared" si="5"/>
        <v>208</v>
      </c>
      <c r="R385" s="1">
        <v>9</v>
      </c>
      <c r="S385" s="1">
        <v>200010019194</v>
      </c>
      <c r="T385" s="1">
        <v>50</v>
      </c>
      <c r="U385" s="1">
        <v>1</v>
      </c>
      <c r="V385" s="1">
        <v>2</v>
      </c>
    </row>
    <row r="386" spans="1:22" x14ac:dyDescent="0.25">
      <c r="A386" s="3">
        <v>44778</v>
      </c>
      <c r="B386" s="4">
        <v>0.78437500000000004</v>
      </c>
      <c r="C386" s="1">
        <v>1894</v>
      </c>
      <c r="D386" s="1">
        <v>13002616</v>
      </c>
      <c r="E386" s="1">
        <v>13</v>
      </c>
      <c r="F386" s="1">
        <v>22589</v>
      </c>
      <c r="G386" s="1" t="s">
        <v>21</v>
      </c>
      <c r="H386" s="1">
        <v>15</v>
      </c>
      <c r="I386" s="1">
        <v>75000</v>
      </c>
      <c r="J386" s="14" t="s">
        <v>1216</v>
      </c>
      <c r="K386" s="1" t="s">
        <v>51</v>
      </c>
      <c r="L386" s="1" t="s">
        <v>80</v>
      </c>
      <c r="M386" s="14">
        <v>1</v>
      </c>
      <c r="N386" s="2">
        <v>121.06</v>
      </c>
      <c r="O386" s="16">
        <v>188</v>
      </c>
      <c r="P386" s="14">
        <v>18</v>
      </c>
      <c r="Q386" s="14">
        <f t="shared" ref="Q386:Q449" si="6">M386*O386-P386</f>
        <v>170</v>
      </c>
      <c r="R386" s="1">
        <v>9</v>
      </c>
      <c r="S386" s="1">
        <v>200010015864</v>
      </c>
      <c r="T386" s="1">
        <v>50</v>
      </c>
      <c r="U386" s="1">
        <v>1</v>
      </c>
      <c r="V386" s="1">
        <v>1</v>
      </c>
    </row>
    <row r="387" spans="1:22" x14ac:dyDescent="0.25">
      <c r="A387" s="3">
        <v>44776</v>
      </c>
      <c r="B387" s="4">
        <v>0.53577546296296297</v>
      </c>
      <c r="C387" s="1">
        <v>1589</v>
      </c>
      <c r="D387" s="1">
        <v>13002595</v>
      </c>
      <c r="E387" s="1">
        <v>13</v>
      </c>
      <c r="F387" s="1">
        <v>22589</v>
      </c>
      <c r="G387" s="1" t="s">
        <v>21</v>
      </c>
      <c r="H387" s="1">
        <v>15</v>
      </c>
      <c r="I387" s="1">
        <v>435135</v>
      </c>
      <c r="J387" s="14" t="s">
        <v>817</v>
      </c>
      <c r="K387" s="1" t="s">
        <v>29</v>
      </c>
      <c r="L387" s="1" t="s">
        <v>197</v>
      </c>
      <c r="M387" s="14">
        <v>1</v>
      </c>
      <c r="N387" s="2">
        <v>31.26</v>
      </c>
      <c r="O387" s="16">
        <v>48</v>
      </c>
      <c r="P387" s="14">
        <v>0</v>
      </c>
      <c r="Q387" s="14">
        <f t="shared" si="6"/>
        <v>48</v>
      </c>
      <c r="R387" s="1" t="s">
        <v>25</v>
      </c>
      <c r="S387" s="1" t="s">
        <v>25</v>
      </c>
      <c r="T387" s="1">
        <v>29</v>
      </c>
      <c r="U387" s="1">
        <v>1</v>
      </c>
      <c r="V387" s="1">
        <v>1</v>
      </c>
    </row>
    <row r="388" spans="1:22" x14ac:dyDescent="0.25">
      <c r="A388" s="3">
        <v>44776</v>
      </c>
      <c r="B388" s="4">
        <v>0.53577546296296297</v>
      </c>
      <c r="C388" s="1">
        <v>1589</v>
      </c>
      <c r="D388" s="1">
        <v>13002595</v>
      </c>
      <c r="E388" s="1">
        <v>13</v>
      </c>
      <c r="F388" s="1">
        <v>22589</v>
      </c>
      <c r="G388" s="1" t="s">
        <v>21</v>
      </c>
      <c r="H388" s="1">
        <v>15</v>
      </c>
      <c r="I388" s="1">
        <v>435135</v>
      </c>
      <c r="J388" s="14" t="s">
        <v>817</v>
      </c>
      <c r="K388" s="1" t="s">
        <v>29</v>
      </c>
      <c r="L388" s="1" t="s">
        <v>197</v>
      </c>
      <c r="M388" s="14">
        <v>1</v>
      </c>
      <c r="N388" s="2">
        <v>31.26</v>
      </c>
      <c r="O388" s="16">
        <v>48</v>
      </c>
      <c r="P388" s="14">
        <v>0</v>
      </c>
      <c r="Q388" s="14">
        <f t="shared" si="6"/>
        <v>48</v>
      </c>
      <c r="R388" s="1" t="s">
        <v>25</v>
      </c>
      <c r="S388" s="1" t="s">
        <v>25</v>
      </c>
      <c r="T388" s="1">
        <v>29</v>
      </c>
      <c r="U388" s="1">
        <v>1</v>
      </c>
      <c r="V388" s="1">
        <v>2</v>
      </c>
    </row>
    <row r="389" spans="1:22" x14ac:dyDescent="0.25">
      <c r="A389" s="3">
        <v>44777</v>
      </c>
      <c r="B389" s="4">
        <v>0.79398148148148151</v>
      </c>
      <c r="C389" s="1">
        <v>1772</v>
      </c>
      <c r="D389" s="1">
        <v>13002606</v>
      </c>
      <c r="E389" s="1">
        <v>13</v>
      </c>
      <c r="F389" s="1">
        <v>22589</v>
      </c>
      <c r="G389" s="1" t="s">
        <v>21</v>
      </c>
      <c r="H389" s="1">
        <v>15</v>
      </c>
      <c r="I389" s="1">
        <v>445311</v>
      </c>
      <c r="J389" s="14" t="s">
        <v>1066</v>
      </c>
      <c r="K389" s="1" t="s">
        <v>29</v>
      </c>
      <c r="L389" s="1" t="s">
        <v>255</v>
      </c>
      <c r="M389" s="14">
        <v>1</v>
      </c>
      <c r="N389" s="2">
        <v>218.85</v>
      </c>
      <c r="O389" s="16">
        <v>266</v>
      </c>
      <c r="P389" s="14">
        <v>0</v>
      </c>
      <c r="Q389" s="14">
        <f t="shared" si="6"/>
        <v>266</v>
      </c>
      <c r="R389" s="1" t="s">
        <v>25</v>
      </c>
      <c r="S389" s="1" t="s">
        <v>25</v>
      </c>
      <c r="T389" s="1">
        <v>50</v>
      </c>
      <c r="U389" s="1">
        <v>1</v>
      </c>
      <c r="V389" s="1">
        <v>2</v>
      </c>
    </row>
    <row r="390" spans="1:22" x14ac:dyDescent="0.25">
      <c r="A390" s="3">
        <v>44775</v>
      </c>
      <c r="B390" s="4">
        <v>0.38119212962962962</v>
      </c>
      <c r="C390" s="1">
        <v>1422</v>
      </c>
      <c r="D390" s="1">
        <v>13002581</v>
      </c>
      <c r="E390" s="1">
        <v>13</v>
      </c>
      <c r="F390" s="1">
        <v>22589</v>
      </c>
      <c r="G390" s="1" t="s">
        <v>21</v>
      </c>
      <c r="H390" s="1">
        <v>18</v>
      </c>
      <c r="I390" s="1">
        <v>255427</v>
      </c>
      <c r="J390" s="14" t="s">
        <v>486</v>
      </c>
      <c r="K390" s="1" t="s">
        <v>23</v>
      </c>
      <c r="L390" s="1" t="s">
        <v>487</v>
      </c>
      <c r="M390" s="14">
        <v>1</v>
      </c>
      <c r="N390" s="2">
        <v>456.34</v>
      </c>
      <c r="O390" s="16">
        <v>603</v>
      </c>
      <c r="P390" s="14">
        <v>42</v>
      </c>
      <c r="Q390" s="14">
        <f t="shared" si="6"/>
        <v>561</v>
      </c>
      <c r="R390" s="1">
        <v>9</v>
      </c>
      <c r="S390" s="1">
        <v>200010004069</v>
      </c>
      <c r="T390" s="1">
        <v>29</v>
      </c>
      <c r="U390" s="1">
        <v>1</v>
      </c>
      <c r="V390" s="1">
        <v>2</v>
      </c>
    </row>
    <row r="391" spans="1:22" x14ac:dyDescent="0.25">
      <c r="A391" s="3">
        <v>44777</v>
      </c>
      <c r="B391" s="4">
        <v>0.57535879629629627</v>
      </c>
      <c r="C391" s="1">
        <v>1722</v>
      </c>
      <c r="D391" s="1">
        <v>13002606</v>
      </c>
      <c r="E391" s="1">
        <v>13</v>
      </c>
      <c r="F391" s="1">
        <v>22589</v>
      </c>
      <c r="G391" s="1" t="s">
        <v>21</v>
      </c>
      <c r="H391" s="1">
        <v>15</v>
      </c>
      <c r="I391" s="1">
        <v>39393</v>
      </c>
      <c r="J391" s="14" t="s">
        <v>1014</v>
      </c>
      <c r="K391" s="1" t="s">
        <v>34</v>
      </c>
      <c r="L391" s="1" t="s">
        <v>717</v>
      </c>
      <c r="M391" s="14">
        <v>1</v>
      </c>
      <c r="N391" s="2">
        <v>42.2</v>
      </c>
      <c r="O391" s="16">
        <v>53</v>
      </c>
      <c r="P391" s="14">
        <v>2</v>
      </c>
      <c r="Q391" s="14">
        <f t="shared" si="6"/>
        <v>51</v>
      </c>
      <c r="R391" s="1">
        <v>9</v>
      </c>
      <c r="S391" s="1">
        <v>200010022591</v>
      </c>
      <c r="T391" s="1">
        <v>50</v>
      </c>
      <c r="U391" s="1">
        <v>1</v>
      </c>
      <c r="V391" s="1">
        <v>2</v>
      </c>
    </row>
    <row r="392" spans="1:22" x14ac:dyDescent="0.25">
      <c r="A392" s="3">
        <v>44778</v>
      </c>
      <c r="B392" s="4">
        <v>0.46418981481481481</v>
      </c>
      <c r="C392" s="1">
        <v>1820</v>
      </c>
      <c r="D392" s="1">
        <v>13002616</v>
      </c>
      <c r="E392" s="1">
        <v>13</v>
      </c>
      <c r="F392" s="1">
        <v>22589</v>
      </c>
      <c r="G392" s="1" t="s">
        <v>21</v>
      </c>
      <c r="H392" s="1">
        <v>15</v>
      </c>
      <c r="I392" s="1">
        <v>6456</v>
      </c>
      <c r="J392" s="14" t="s">
        <v>1112</v>
      </c>
      <c r="K392" s="1" t="s">
        <v>34</v>
      </c>
      <c r="L392" s="1" t="s">
        <v>1113</v>
      </c>
      <c r="M392" s="14">
        <v>1</v>
      </c>
      <c r="N392" s="2">
        <v>160.91</v>
      </c>
      <c r="O392" s="16">
        <v>221</v>
      </c>
      <c r="P392" s="14">
        <v>15</v>
      </c>
      <c r="Q392" s="14">
        <f t="shared" si="6"/>
        <v>206</v>
      </c>
      <c r="R392" s="1">
        <v>9</v>
      </c>
      <c r="S392" s="1">
        <v>200010020256</v>
      </c>
      <c r="T392" s="1">
        <v>50</v>
      </c>
      <c r="U392" s="1">
        <v>1</v>
      </c>
      <c r="V392" s="1">
        <v>1</v>
      </c>
    </row>
    <row r="393" spans="1:22" x14ac:dyDescent="0.25">
      <c r="A393" s="3">
        <v>44774</v>
      </c>
      <c r="B393" s="4">
        <v>0.55973379629629627</v>
      </c>
      <c r="C393" s="1">
        <v>1342</v>
      </c>
      <c r="D393" s="1">
        <v>13002561</v>
      </c>
      <c r="E393" s="1">
        <v>13</v>
      </c>
      <c r="F393" s="1">
        <v>22589</v>
      </c>
      <c r="G393" s="1" t="s">
        <v>21</v>
      </c>
      <c r="H393" s="1">
        <v>18</v>
      </c>
      <c r="I393" s="1">
        <v>339232</v>
      </c>
      <c r="J393" s="14" t="s">
        <v>290</v>
      </c>
      <c r="K393" s="1" t="s">
        <v>117</v>
      </c>
      <c r="L393" s="1" t="s">
        <v>123</v>
      </c>
      <c r="M393" s="14">
        <v>1</v>
      </c>
      <c r="N393" s="2">
        <v>36.07</v>
      </c>
      <c r="O393" s="16">
        <v>55</v>
      </c>
      <c r="P393" s="14">
        <v>0</v>
      </c>
      <c r="Q393" s="14">
        <f t="shared" si="6"/>
        <v>55</v>
      </c>
      <c r="R393" s="1" t="s">
        <v>25</v>
      </c>
      <c r="S393" s="1" t="s">
        <v>25</v>
      </c>
      <c r="T393" s="1">
        <v>29</v>
      </c>
      <c r="U393" s="1">
        <v>1</v>
      </c>
      <c r="V393" s="1">
        <v>1</v>
      </c>
    </row>
    <row r="394" spans="1:22" x14ac:dyDescent="0.25">
      <c r="A394" s="3">
        <v>44774</v>
      </c>
      <c r="B394" s="4">
        <v>0.55973379629629627</v>
      </c>
      <c r="C394" s="1">
        <v>1342</v>
      </c>
      <c r="D394" s="1">
        <v>13002561</v>
      </c>
      <c r="E394" s="1">
        <v>13</v>
      </c>
      <c r="F394" s="1">
        <v>22589</v>
      </c>
      <c r="G394" s="1" t="s">
        <v>21</v>
      </c>
      <c r="H394" s="1">
        <v>18</v>
      </c>
      <c r="I394" s="1">
        <v>82079</v>
      </c>
      <c r="J394" s="14" t="s">
        <v>289</v>
      </c>
      <c r="K394" s="1" t="s">
        <v>51</v>
      </c>
      <c r="L394" s="1" t="s">
        <v>175</v>
      </c>
      <c r="M394" s="14">
        <v>1</v>
      </c>
      <c r="N394" s="2">
        <v>55.76</v>
      </c>
      <c r="O394" s="16">
        <v>70</v>
      </c>
      <c r="P394" s="14">
        <v>0</v>
      </c>
      <c r="Q394" s="14">
        <f t="shared" si="6"/>
        <v>70</v>
      </c>
      <c r="R394" s="1" t="s">
        <v>25</v>
      </c>
      <c r="S394" s="1" t="s">
        <v>25</v>
      </c>
      <c r="T394" s="1">
        <v>29</v>
      </c>
      <c r="U394" s="1">
        <v>1</v>
      </c>
      <c r="V394" s="1">
        <v>2</v>
      </c>
    </row>
    <row r="395" spans="1:22" x14ac:dyDescent="0.25">
      <c r="A395" s="3">
        <v>44777</v>
      </c>
      <c r="B395" s="4">
        <v>0.73989583333333331</v>
      </c>
      <c r="C395" s="1">
        <v>1760</v>
      </c>
      <c r="D395" s="1">
        <v>13002606</v>
      </c>
      <c r="E395" s="1">
        <v>13</v>
      </c>
      <c r="F395" s="1">
        <v>22589</v>
      </c>
      <c r="G395" s="1" t="s">
        <v>21</v>
      </c>
      <c r="H395" s="1">
        <v>18</v>
      </c>
      <c r="I395" s="1">
        <v>82079</v>
      </c>
      <c r="J395" s="14" t="s">
        <v>289</v>
      </c>
      <c r="K395" s="1" t="s">
        <v>51</v>
      </c>
      <c r="L395" s="1" t="s">
        <v>175</v>
      </c>
      <c r="M395" s="14">
        <v>1</v>
      </c>
      <c r="N395" s="2">
        <v>55.76</v>
      </c>
      <c r="O395" s="16">
        <v>70</v>
      </c>
      <c r="P395" s="14">
        <v>3</v>
      </c>
      <c r="Q395" s="14">
        <f t="shared" si="6"/>
        <v>67</v>
      </c>
      <c r="R395" s="1">
        <v>9</v>
      </c>
      <c r="S395" s="1">
        <v>200010010154</v>
      </c>
      <c r="T395" s="1">
        <v>50</v>
      </c>
      <c r="U395" s="1">
        <v>1</v>
      </c>
      <c r="V395" s="1">
        <v>1</v>
      </c>
    </row>
    <row r="396" spans="1:22" x14ac:dyDescent="0.25">
      <c r="A396" s="3">
        <v>44777</v>
      </c>
      <c r="B396" s="4">
        <v>0.52925925925925921</v>
      </c>
      <c r="C396" s="1">
        <v>1705</v>
      </c>
      <c r="D396" s="1">
        <v>13002606</v>
      </c>
      <c r="E396" s="1">
        <v>13</v>
      </c>
      <c r="F396" s="1">
        <v>22589</v>
      </c>
      <c r="G396" s="1" t="s">
        <v>21</v>
      </c>
      <c r="H396" s="1">
        <v>15</v>
      </c>
      <c r="I396" s="1">
        <v>431</v>
      </c>
      <c r="J396" s="14" t="s">
        <v>989</v>
      </c>
      <c r="K396" s="1" t="s">
        <v>29</v>
      </c>
      <c r="L396" s="1" t="s">
        <v>216</v>
      </c>
      <c r="M396" s="14">
        <v>1</v>
      </c>
      <c r="N396" s="2">
        <v>41.83</v>
      </c>
      <c r="O396" s="16">
        <v>51</v>
      </c>
      <c r="P396" s="14">
        <v>0</v>
      </c>
      <c r="Q396" s="14">
        <f t="shared" si="6"/>
        <v>51</v>
      </c>
      <c r="R396" s="1" t="s">
        <v>25</v>
      </c>
      <c r="S396" s="1" t="s">
        <v>25</v>
      </c>
      <c r="T396" s="1">
        <v>50</v>
      </c>
      <c r="U396" s="1">
        <v>1</v>
      </c>
      <c r="V396" s="1">
        <v>1</v>
      </c>
    </row>
    <row r="397" spans="1:22" x14ac:dyDescent="0.25">
      <c r="A397" s="3">
        <v>44777</v>
      </c>
      <c r="B397" s="4">
        <v>0.79959490740740746</v>
      </c>
      <c r="C397" s="1">
        <v>1774</v>
      </c>
      <c r="D397" s="1">
        <v>13002606</v>
      </c>
      <c r="E397" s="1">
        <v>13</v>
      </c>
      <c r="F397" s="1">
        <v>22589</v>
      </c>
      <c r="G397" s="1" t="s">
        <v>21</v>
      </c>
      <c r="H397" s="1">
        <v>18</v>
      </c>
      <c r="I397" s="1">
        <v>431</v>
      </c>
      <c r="J397" s="14" t="s">
        <v>989</v>
      </c>
      <c r="K397" s="1" t="s">
        <v>29</v>
      </c>
      <c r="L397" s="1" t="s">
        <v>216</v>
      </c>
      <c r="M397" s="14">
        <v>1</v>
      </c>
      <c r="N397" s="2">
        <v>41.83</v>
      </c>
      <c r="O397" s="16">
        <v>51</v>
      </c>
      <c r="P397" s="14">
        <v>0</v>
      </c>
      <c r="Q397" s="14">
        <f t="shared" si="6"/>
        <v>51</v>
      </c>
      <c r="R397" s="1" t="s">
        <v>25</v>
      </c>
      <c r="S397" s="1" t="s">
        <v>25</v>
      </c>
      <c r="T397" s="1">
        <v>50</v>
      </c>
      <c r="U397" s="1">
        <v>1</v>
      </c>
      <c r="V397" s="1">
        <v>1</v>
      </c>
    </row>
    <row r="398" spans="1:22" x14ac:dyDescent="0.25">
      <c r="A398" s="3">
        <v>44778</v>
      </c>
      <c r="B398" s="4">
        <v>0.33917824074074077</v>
      </c>
      <c r="C398" s="1">
        <v>1782</v>
      </c>
      <c r="D398" s="1">
        <v>13002616</v>
      </c>
      <c r="E398" s="1">
        <v>13</v>
      </c>
      <c r="F398" s="1">
        <v>22589</v>
      </c>
      <c r="G398" s="1" t="s">
        <v>21</v>
      </c>
      <c r="H398" s="1">
        <v>18</v>
      </c>
      <c r="I398" s="1">
        <v>431</v>
      </c>
      <c r="J398" s="14" t="s">
        <v>989</v>
      </c>
      <c r="K398" s="1" t="s">
        <v>29</v>
      </c>
      <c r="L398" s="1" t="s">
        <v>216</v>
      </c>
      <c r="M398" s="14">
        <v>1</v>
      </c>
      <c r="N398" s="2">
        <v>41.83</v>
      </c>
      <c r="O398" s="16">
        <v>51</v>
      </c>
      <c r="P398" s="14">
        <v>0</v>
      </c>
      <c r="Q398" s="14">
        <f t="shared" si="6"/>
        <v>51</v>
      </c>
      <c r="R398" s="1" t="s">
        <v>25</v>
      </c>
      <c r="S398" s="1" t="s">
        <v>25</v>
      </c>
      <c r="T398" s="1">
        <v>50</v>
      </c>
      <c r="U398" s="1">
        <v>1</v>
      </c>
      <c r="V398" s="1">
        <v>1</v>
      </c>
    </row>
    <row r="399" spans="1:22" x14ac:dyDescent="0.25">
      <c r="A399" s="3">
        <v>44778</v>
      </c>
      <c r="B399" s="4">
        <v>0.82451388888888888</v>
      </c>
      <c r="C399" s="1">
        <v>1900</v>
      </c>
      <c r="D399" s="1">
        <v>13002616</v>
      </c>
      <c r="E399" s="1">
        <v>13</v>
      </c>
      <c r="F399" s="1">
        <v>22589</v>
      </c>
      <c r="G399" s="1" t="s">
        <v>21</v>
      </c>
      <c r="H399" s="1">
        <v>18</v>
      </c>
      <c r="I399" s="1">
        <v>431</v>
      </c>
      <c r="J399" s="14" t="s">
        <v>989</v>
      </c>
      <c r="K399" s="1" t="s">
        <v>29</v>
      </c>
      <c r="L399" s="1" t="s">
        <v>216</v>
      </c>
      <c r="M399" s="14">
        <v>1</v>
      </c>
      <c r="N399" s="2">
        <v>41.83</v>
      </c>
      <c r="O399" s="16">
        <v>51</v>
      </c>
      <c r="P399" s="14">
        <v>0</v>
      </c>
      <c r="Q399" s="14">
        <f t="shared" si="6"/>
        <v>51</v>
      </c>
      <c r="R399" s="1" t="s">
        <v>25</v>
      </c>
      <c r="S399" s="1" t="s">
        <v>25</v>
      </c>
      <c r="T399" s="1">
        <v>50</v>
      </c>
      <c r="U399" s="1">
        <v>1</v>
      </c>
      <c r="V399" s="1">
        <v>1</v>
      </c>
    </row>
    <row r="400" spans="1:22" x14ac:dyDescent="0.25">
      <c r="A400" s="3">
        <v>44776</v>
      </c>
      <c r="B400" s="4">
        <v>0.44743055555555555</v>
      </c>
      <c r="C400" s="1">
        <v>1559</v>
      </c>
      <c r="D400" s="1">
        <v>13002595</v>
      </c>
      <c r="E400" s="1">
        <v>13</v>
      </c>
      <c r="F400" s="1">
        <v>22589</v>
      </c>
      <c r="G400" s="1" t="s">
        <v>21</v>
      </c>
      <c r="H400" s="1">
        <v>15</v>
      </c>
      <c r="I400" s="1">
        <v>82067</v>
      </c>
      <c r="J400" s="14" t="s">
        <v>748</v>
      </c>
      <c r="K400" s="1" t="s">
        <v>51</v>
      </c>
      <c r="L400" s="1" t="s">
        <v>175</v>
      </c>
      <c r="M400" s="14">
        <v>1</v>
      </c>
      <c r="N400" s="2">
        <v>31.24</v>
      </c>
      <c r="O400" s="16">
        <v>39</v>
      </c>
      <c r="P400" s="14">
        <v>0</v>
      </c>
      <c r="Q400" s="14">
        <f t="shared" si="6"/>
        <v>39</v>
      </c>
      <c r="R400" s="1" t="s">
        <v>25</v>
      </c>
      <c r="S400" s="1" t="s">
        <v>25</v>
      </c>
      <c r="T400" s="1">
        <v>29</v>
      </c>
      <c r="U400" s="1">
        <v>1</v>
      </c>
      <c r="V400" s="1">
        <v>1</v>
      </c>
    </row>
    <row r="401" spans="1:22" x14ac:dyDescent="0.25">
      <c r="A401" s="3">
        <v>44778</v>
      </c>
      <c r="B401" s="4">
        <v>0.72607638888888892</v>
      </c>
      <c r="C401" s="1">
        <v>1880</v>
      </c>
      <c r="D401" s="1">
        <v>13002616</v>
      </c>
      <c r="E401" s="1">
        <v>13</v>
      </c>
      <c r="F401" s="1">
        <v>22589</v>
      </c>
      <c r="G401" s="1" t="s">
        <v>21</v>
      </c>
      <c r="H401" s="1">
        <v>15</v>
      </c>
      <c r="I401" s="1">
        <v>82067</v>
      </c>
      <c r="J401" s="14" t="s">
        <v>748</v>
      </c>
      <c r="K401" s="1" t="s">
        <v>51</v>
      </c>
      <c r="L401" s="1" t="s">
        <v>175</v>
      </c>
      <c r="M401" s="14">
        <v>1</v>
      </c>
      <c r="N401" s="2">
        <v>30.91</v>
      </c>
      <c r="O401" s="16">
        <v>39</v>
      </c>
      <c r="P401" s="14">
        <v>0</v>
      </c>
      <c r="Q401" s="14">
        <f t="shared" si="6"/>
        <v>39</v>
      </c>
      <c r="R401" s="1" t="s">
        <v>25</v>
      </c>
      <c r="S401" s="1" t="s">
        <v>25</v>
      </c>
      <c r="T401" s="1">
        <v>50</v>
      </c>
      <c r="U401" s="1">
        <v>1</v>
      </c>
      <c r="V401" s="1">
        <v>1</v>
      </c>
    </row>
    <row r="402" spans="1:22" x14ac:dyDescent="0.25">
      <c r="A402" s="3">
        <v>44775</v>
      </c>
      <c r="B402" s="4">
        <v>0.75609953703703703</v>
      </c>
      <c r="C402" s="1">
        <v>1522</v>
      </c>
      <c r="D402" s="1">
        <v>13002581</v>
      </c>
      <c r="E402" s="1">
        <v>13</v>
      </c>
      <c r="F402" s="1">
        <v>22589</v>
      </c>
      <c r="G402" s="1" t="s">
        <v>21</v>
      </c>
      <c r="H402" s="1">
        <v>18</v>
      </c>
      <c r="I402" s="1">
        <v>267844</v>
      </c>
      <c r="J402" s="14" t="s">
        <v>680</v>
      </c>
      <c r="K402" s="1" t="s">
        <v>466</v>
      </c>
      <c r="L402" s="1" t="s">
        <v>415</v>
      </c>
      <c r="M402" s="14">
        <v>1</v>
      </c>
      <c r="N402" s="2">
        <v>323.73</v>
      </c>
      <c r="O402" s="16">
        <v>339</v>
      </c>
      <c r="P402" s="14">
        <v>0</v>
      </c>
      <c r="Q402" s="14">
        <f t="shared" si="6"/>
        <v>339</v>
      </c>
      <c r="R402" s="1" t="s">
        <v>25</v>
      </c>
      <c r="S402" s="1" t="s">
        <v>25</v>
      </c>
      <c r="T402" s="1">
        <v>29</v>
      </c>
      <c r="U402" s="1">
        <v>2</v>
      </c>
      <c r="V402" s="1">
        <v>2</v>
      </c>
    </row>
    <row r="403" spans="1:22" x14ac:dyDescent="0.25">
      <c r="A403" s="3">
        <v>44777</v>
      </c>
      <c r="B403" s="4">
        <v>0.50817129629629632</v>
      </c>
      <c r="C403" s="1">
        <v>1694</v>
      </c>
      <c r="D403" s="1">
        <v>13002606</v>
      </c>
      <c r="E403" s="1">
        <v>13</v>
      </c>
      <c r="F403" s="1">
        <v>22589</v>
      </c>
      <c r="G403" s="1" t="s">
        <v>21</v>
      </c>
      <c r="H403" s="1">
        <v>18</v>
      </c>
      <c r="I403" s="1">
        <v>193095</v>
      </c>
      <c r="J403" s="14" t="s">
        <v>972</v>
      </c>
      <c r="K403" s="1" t="s">
        <v>23</v>
      </c>
      <c r="L403" s="1" t="s">
        <v>415</v>
      </c>
      <c r="M403" s="14">
        <v>1</v>
      </c>
      <c r="N403" s="2">
        <v>201.26</v>
      </c>
      <c r="O403" s="16">
        <v>272</v>
      </c>
      <c r="P403" s="14">
        <v>19</v>
      </c>
      <c r="Q403" s="14">
        <f t="shared" si="6"/>
        <v>253</v>
      </c>
      <c r="R403" s="1">
        <v>9</v>
      </c>
      <c r="S403" s="1">
        <v>200010013137</v>
      </c>
      <c r="T403" s="1">
        <v>50</v>
      </c>
      <c r="U403" s="1">
        <v>1</v>
      </c>
      <c r="V403" s="1">
        <v>2</v>
      </c>
    </row>
    <row r="404" spans="1:22" x14ac:dyDescent="0.25">
      <c r="A404" s="3">
        <v>44778</v>
      </c>
      <c r="B404" s="4">
        <v>0.77905092592592595</v>
      </c>
      <c r="C404" s="1">
        <v>1892</v>
      </c>
      <c r="D404" s="1">
        <v>13002616</v>
      </c>
      <c r="E404" s="1">
        <v>13</v>
      </c>
      <c r="F404" s="1">
        <v>22589</v>
      </c>
      <c r="G404" s="1" t="s">
        <v>21</v>
      </c>
      <c r="H404" s="1">
        <v>15</v>
      </c>
      <c r="I404" s="1">
        <v>410746</v>
      </c>
      <c r="J404" s="14" t="s">
        <v>1215</v>
      </c>
      <c r="K404" s="1" t="s">
        <v>64</v>
      </c>
      <c r="L404" s="1" t="s">
        <v>139</v>
      </c>
      <c r="M404" s="14">
        <v>1</v>
      </c>
      <c r="N404" s="2">
        <v>24.84</v>
      </c>
      <c r="O404" s="16">
        <v>30</v>
      </c>
      <c r="P404" s="14">
        <v>1</v>
      </c>
      <c r="Q404" s="14">
        <f t="shared" si="6"/>
        <v>29</v>
      </c>
      <c r="R404" s="1">
        <v>9</v>
      </c>
      <c r="S404" s="1">
        <v>200010016190</v>
      </c>
      <c r="T404" s="1">
        <v>50</v>
      </c>
      <c r="U404" s="1">
        <v>1</v>
      </c>
      <c r="V404" s="1">
        <v>1</v>
      </c>
    </row>
    <row r="405" spans="1:22" x14ac:dyDescent="0.25">
      <c r="A405" s="3">
        <v>44774</v>
      </c>
      <c r="B405" s="4">
        <v>0.74442129629629628</v>
      </c>
      <c r="C405" s="1">
        <v>1393</v>
      </c>
      <c r="D405" s="1">
        <v>13002561</v>
      </c>
      <c r="E405" s="1">
        <v>13</v>
      </c>
      <c r="F405" s="1">
        <v>22589</v>
      </c>
      <c r="G405" s="1" t="s">
        <v>21</v>
      </c>
      <c r="H405" s="1">
        <v>18</v>
      </c>
      <c r="I405" s="1">
        <v>494512</v>
      </c>
      <c r="J405" s="14" t="s">
        <v>420</v>
      </c>
      <c r="K405" s="1" t="s">
        <v>45</v>
      </c>
      <c r="L405" s="1" t="s">
        <v>421</v>
      </c>
      <c r="M405" s="14">
        <v>1</v>
      </c>
      <c r="N405" s="2">
        <v>297.98</v>
      </c>
      <c r="O405" s="16">
        <v>403</v>
      </c>
      <c r="P405" s="14">
        <v>28</v>
      </c>
      <c r="Q405" s="14">
        <f t="shared" si="6"/>
        <v>375</v>
      </c>
      <c r="R405" s="1">
        <v>9</v>
      </c>
      <c r="S405" s="1">
        <v>200010021967</v>
      </c>
      <c r="T405" s="1">
        <v>29</v>
      </c>
      <c r="U405" s="1">
        <v>1</v>
      </c>
      <c r="V405" s="1">
        <v>3</v>
      </c>
    </row>
    <row r="406" spans="1:22" x14ac:dyDescent="0.25">
      <c r="A406" s="3">
        <v>44775</v>
      </c>
      <c r="B406" s="4">
        <v>0.71582175925925928</v>
      </c>
      <c r="C406" s="1">
        <v>1503</v>
      </c>
      <c r="D406" s="1">
        <v>13002581</v>
      </c>
      <c r="E406" s="1">
        <v>13</v>
      </c>
      <c r="F406" s="1">
        <v>22589</v>
      </c>
      <c r="G406" s="1" t="s">
        <v>21</v>
      </c>
      <c r="H406" s="1">
        <v>18</v>
      </c>
      <c r="I406" s="1">
        <v>405447</v>
      </c>
      <c r="J406" s="14" t="s">
        <v>652</v>
      </c>
      <c r="K406" s="1" t="s">
        <v>23</v>
      </c>
      <c r="L406" s="1" t="s">
        <v>423</v>
      </c>
      <c r="M406" s="14">
        <v>0.1</v>
      </c>
      <c r="N406" s="2">
        <v>503.01</v>
      </c>
      <c r="O406" s="16">
        <v>649</v>
      </c>
      <c r="P406" s="14">
        <v>3.9</v>
      </c>
      <c r="Q406" s="14">
        <f t="shared" si="6"/>
        <v>61.000000000000007</v>
      </c>
      <c r="R406" s="1">
        <v>9</v>
      </c>
      <c r="S406" s="1">
        <v>200010023010</v>
      </c>
      <c r="T406" s="1">
        <v>29</v>
      </c>
      <c r="U406" s="1">
        <v>1</v>
      </c>
      <c r="V406" s="1">
        <v>1</v>
      </c>
    </row>
    <row r="407" spans="1:22" x14ac:dyDescent="0.25">
      <c r="A407" s="3">
        <v>44777</v>
      </c>
      <c r="B407" s="4">
        <v>0.46196759259259257</v>
      </c>
      <c r="C407" s="1">
        <v>1677</v>
      </c>
      <c r="D407" s="1">
        <v>13002606</v>
      </c>
      <c r="E407" s="1">
        <v>13</v>
      </c>
      <c r="F407" s="1">
        <v>22589</v>
      </c>
      <c r="G407" s="1" t="s">
        <v>21</v>
      </c>
      <c r="H407" s="1">
        <v>18</v>
      </c>
      <c r="I407" s="1">
        <v>442</v>
      </c>
      <c r="J407" s="14" t="s">
        <v>947</v>
      </c>
      <c r="K407" s="1" t="s">
        <v>23</v>
      </c>
      <c r="L407" s="1" t="s">
        <v>948</v>
      </c>
      <c r="M407" s="14">
        <v>1</v>
      </c>
      <c r="N407" s="2">
        <v>142.6</v>
      </c>
      <c r="O407" s="16">
        <v>170</v>
      </c>
      <c r="P407" s="14">
        <v>17</v>
      </c>
      <c r="Q407" s="14">
        <f t="shared" si="6"/>
        <v>153</v>
      </c>
      <c r="R407" s="1">
        <v>11</v>
      </c>
      <c r="S407" s="1">
        <v>200010000010</v>
      </c>
      <c r="T407" s="1">
        <v>50</v>
      </c>
      <c r="U407" s="1">
        <v>1</v>
      </c>
      <c r="V407" s="1">
        <v>2</v>
      </c>
    </row>
    <row r="408" spans="1:22" x14ac:dyDescent="0.25">
      <c r="A408" s="3">
        <v>44774</v>
      </c>
      <c r="B408" s="4">
        <v>0.79517361111111107</v>
      </c>
      <c r="C408" s="1">
        <v>1407</v>
      </c>
      <c r="D408" s="1">
        <v>13002561</v>
      </c>
      <c r="E408" s="1">
        <v>13</v>
      </c>
      <c r="F408" s="1">
        <v>22589</v>
      </c>
      <c r="G408" s="1" t="s">
        <v>21</v>
      </c>
      <c r="H408" s="1">
        <v>18</v>
      </c>
      <c r="I408" s="1">
        <v>504585</v>
      </c>
      <c r="J408" s="14" t="s">
        <v>464</v>
      </c>
      <c r="K408" s="1" t="s">
        <v>51</v>
      </c>
      <c r="L408" s="1" t="s">
        <v>248</v>
      </c>
      <c r="M408" s="14">
        <v>1</v>
      </c>
      <c r="N408" s="2">
        <v>247.7</v>
      </c>
      <c r="O408" s="16">
        <v>299</v>
      </c>
      <c r="P408" s="14">
        <v>14</v>
      </c>
      <c r="Q408" s="14">
        <f t="shared" si="6"/>
        <v>285</v>
      </c>
      <c r="R408" s="1">
        <v>9</v>
      </c>
      <c r="S408" s="1">
        <v>200010020276</v>
      </c>
      <c r="T408" s="1">
        <v>29</v>
      </c>
      <c r="U408" s="1">
        <v>1</v>
      </c>
      <c r="V408" s="1">
        <v>1</v>
      </c>
    </row>
    <row r="409" spans="1:22" x14ac:dyDescent="0.25">
      <c r="A409" s="3">
        <v>44778</v>
      </c>
      <c r="B409" s="4">
        <v>0.51466435185185189</v>
      </c>
      <c r="C409" s="1">
        <v>1833</v>
      </c>
      <c r="D409" s="1">
        <v>13002616</v>
      </c>
      <c r="E409" s="1">
        <v>13</v>
      </c>
      <c r="F409" s="1">
        <v>22589</v>
      </c>
      <c r="G409" s="1" t="s">
        <v>21</v>
      </c>
      <c r="H409" s="1">
        <v>18</v>
      </c>
      <c r="I409" s="1">
        <v>504585</v>
      </c>
      <c r="J409" s="14" t="s">
        <v>464</v>
      </c>
      <c r="K409" s="1" t="s">
        <v>51</v>
      </c>
      <c r="L409" s="1" t="s">
        <v>248</v>
      </c>
      <c r="M409" s="14">
        <v>1</v>
      </c>
      <c r="N409" s="2">
        <v>240.27</v>
      </c>
      <c r="O409" s="16">
        <v>292</v>
      </c>
      <c r="P409" s="14">
        <v>14</v>
      </c>
      <c r="Q409" s="14">
        <f t="shared" si="6"/>
        <v>278</v>
      </c>
      <c r="R409" s="1">
        <v>9</v>
      </c>
      <c r="S409" s="1">
        <v>200010026860</v>
      </c>
      <c r="T409" s="1">
        <v>50</v>
      </c>
      <c r="U409" s="1">
        <v>1</v>
      </c>
      <c r="V409" s="1">
        <v>1</v>
      </c>
    </row>
    <row r="410" spans="1:22" x14ac:dyDescent="0.25">
      <c r="A410" s="3">
        <v>44775</v>
      </c>
      <c r="B410" s="4">
        <v>0.67112268518518514</v>
      </c>
      <c r="C410" s="1">
        <v>1492</v>
      </c>
      <c r="D410" s="1">
        <v>13002581</v>
      </c>
      <c r="E410" s="1">
        <v>13</v>
      </c>
      <c r="F410" s="1">
        <v>22589</v>
      </c>
      <c r="G410" s="1" t="s">
        <v>21</v>
      </c>
      <c r="H410" s="1">
        <v>18</v>
      </c>
      <c r="I410" s="1">
        <v>15354</v>
      </c>
      <c r="J410" s="14" t="s">
        <v>634</v>
      </c>
      <c r="K410" s="1" t="s">
        <v>29</v>
      </c>
      <c r="L410" s="1" t="s">
        <v>612</v>
      </c>
      <c r="M410" s="14">
        <v>1</v>
      </c>
      <c r="N410" s="2">
        <v>147.79</v>
      </c>
      <c r="O410" s="16">
        <v>203</v>
      </c>
      <c r="P410" s="14">
        <v>14</v>
      </c>
      <c r="Q410" s="14">
        <f t="shared" si="6"/>
        <v>189</v>
      </c>
      <c r="R410" s="1">
        <v>9</v>
      </c>
      <c r="S410" s="1">
        <v>200010026807</v>
      </c>
      <c r="T410" s="1">
        <v>29</v>
      </c>
      <c r="U410" s="1">
        <v>1</v>
      </c>
      <c r="V410" s="1">
        <v>1</v>
      </c>
    </row>
    <row r="411" spans="1:22" x14ac:dyDescent="0.25">
      <c r="A411" s="3">
        <v>44775</v>
      </c>
      <c r="B411" s="4">
        <v>0.43678240740740742</v>
      </c>
      <c r="C411" s="1">
        <v>1433</v>
      </c>
      <c r="D411" s="1">
        <v>13002581</v>
      </c>
      <c r="E411" s="1">
        <v>13</v>
      </c>
      <c r="F411" s="1">
        <v>22589</v>
      </c>
      <c r="G411" s="1" t="s">
        <v>21</v>
      </c>
      <c r="H411" s="1">
        <v>15</v>
      </c>
      <c r="I411" s="1">
        <v>29118</v>
      </c>
      <c r="J411" s="14" t="s">
        <v>520</v>
      </c>
      <c r="K411" s="1" t="s">
        <v>51</v>
      </c>
      <c r="L411" s="1" t="s">
        <v>269</v>
      </c>
      <c r="M411" s="14">
        <v>2</v>
      </c>
      <c r="N411" s="2">
        <v>29.75</v>
      </c>
      <c r="O411" s="16">
        <v>49</v>
      </c>
      <c r="P411" s="14">
        <v>9</v>
      </c>
      <c r="Q411" s="14">
        <f t="shared" si="6"/>
        <v>89</v>
      </c>
      <c r="R411" s="1">
        <v>9</v>
      </c>
      <c r="S411" s="1">
        <v>200010002062</v>
      </c>
      <c r="T411" s="1">
        <v>29</v>
      </c>
      <c r="U411" s="1">
        <v>1</v>
      </c>
      <c r="V411" s="1">
        <v>2</v>
      </c>
    </row>
    <row r="412" spans="1:22" x14ac:dyDescent="0.25">
      <c r="A412" s="3">
        <v>44777</v>
      </c>
      <c r="B412" s="4">
        <v>0.52650462962962963</v>
      </c>
      <c r="C412" s="1">
        <v>1703</v>
      </c>
      <c r="D412" s="1">
        <v>13002606</v>
      </c>
      <c r="E412" s="1">
        <v>13</v>
      </c>
      <c r="F412" s="1">
        <v>22589</v>
      </c>
      <c r="G412" s="1" t="s">
        <v>21</v>
      </c>
      <c r="H412" s="1">
        <v>18</v>
      </c>
      <c r="I412" s="1">
        <v>29118</v>
      </c>
      <c r="J412" s="14" t="s">
        <v>520</v>
      </c>
      <c r="K412" s="1" t="s">
        <v>51</v>
      </c>
      <c r="L412" s="1" t="s">
        <v>269</v>
      </c>
      <c r="M412" s="14">
        <v>3</v>
      </c>
      <c r="N412" s="2">
        <v>29.75</v>
      </c>
      <c r="O412" s="16">
        <v>49</v>
      </c>
      <c r="P412" s="14">
        <v>0</v>
      </c>
      <c r="Q412" s="14">
        <f t="shared" si="6"/>
        <v>147</v>
      </c>
      <c r="R412" s="1" t="s">
        <v>25</v>
      </c>
      <c r="S412" s="1" t="s">
        <v>25</v>
      </c>
      <c r="T412" s="1">
        <v>50</v>
      </c>
      <c r="U412" s="1">
        <v>1</v>
      </c>
      <c r="V412" s="1">
        <v>3</v>
      </c>
    </row>
    <row r="413" spans="1:22" x14ac:dyDescent="0.25">
      <c r="A413" s="3">
        <v>44778</v>
      </c>
      <c r="B413" s="4">
        <v>0.45693287037037039</v>
      </c>
      <c r="C413" s="1">
        <v>1817</v>
      </c>
      <c r="D413" s="1">
        <v>13002616</v>
      </c>
      <c r="E413" s="1">
        <v>13</v>
      </c>
      <c r="F413" s="1">
        <v>22589</v>
      </c>
      <c r="G413" s="1" t="s">
        <v>21</v>
      </c>
      <c r="H413" s="1">
        <v>15</v>
      </c>
      <c r="I413" s="1">
        <v>29153</v>
      </c>
      <c r="J413" s="14" t="s">
        <v>1110</v>
      </c>
      <c r="K413" s="1" t="s">
        <v>29</v>
      </c>
      <c r="L413" s="1" t="s">
        <v>269</v>
      </c>
      <c r="M413" s="14">
        <v>1</v>
      </c>
      <c r="N413" s="2">
        <v>9.6</v>
      </c>
      <c r="O413" s="16">
        <v>16</v>
      </c>
      <c r="P413" s="14">
        <v>1.34</v>
      </c>
      <c r="Q413" s="14">
        <f t="shared" si="6"/>
        <v>14.66</v>
      </c>
      <c r="R413" s="1">
        <v>9</v>
      </c>
      <c r="S413" s="1">
        <v>200010006062</v>
      </c>
      <c r="T413" s="1">
        <v>50</v>
      </c>
      <c r="U413" s="1">
        <v>1</v>
      </c>
      <c r="V413" s="1">
        <v>1</v>
      </c>
    </row>
    <row r="414" spans="1:22" x14ac:dyDescent="0.25">
      <c r="A414" s="3">
        <v>44778</v>
      </c>
      <c r="B414" s="4">
        <v>0.45693287037037039</v>
      </c>
      <c r="C414" s="1">
        <v>1817</v>
      </c>
      <c r="D414" s="1">
        <v>13002616</v>
      </c>
      <c r="E414" s="1">
        <v>13</v>
      </c>
      <c r="F414" s="1">
        <v>22589</v>
      </c>
      <c r="G414" s="1" t="s">
        <v>21</v>
      </c>
      <c r="H414" s="1">
        <v>15</v>
      </c>
      <c r="I414" s="1">
        <v>29153</v>
      </c>
      <c r="J414" s="14" t="s">
        <v>1110</v>
      </c>
      <c r="K414" s="1" t="s">
        <v>29</v>
      </c>
      <c r="L414" s="1" t="s">
        <v>269</v>
      </c>
      <c r="M414" s="14">
        <v>2</v>
      </c>
      <c r="N414" s="2">
        <v>9.6</v>
      </c>
      <c r="O414" s="16">
        <v>16</v>
      </c>
      <c r="P414" s="14">
        <v>2.66</v>
      </c>
      <c r="Q414" s="14">
        <f t="shared" si="6"/>
        <v>29.34</v>
      </c>
      <c r="R414" s="1">
        <v>9</v>
      </c>
      <c r="S414" s="1">
        <v>200010006062</v>
      </c>
      <c r="T414" s="1">
        <v>50</v>
      </c>
      <c r="U414" s="1">
        <v>1</v>
      </c>
      <c r="V414" s="1">
        <v>2</v>
      </c>
    </row>
    <row r="415" spans="1:22" x14ac:dyDescent="0.25">
      <c r="A415" s="3">
        <v>44778</v>
      </c>
      <c r="B415" s="4">
        <v>0.45693287037037039</v>
      </c>
      <c r="C415" s="1">
        <v>1817</v>
      </c>
      <c r="D415" s="1">
        <v>13002616</v>
      </c>
      <c r="E415" s="1">
        <v>13</v>
      </c>
      <c r="F415" s="1">
        <v>22589</v>
      </c>
      <c r="G415" s="1" t="s">
        <v>21</v>
      </c>
      <c r="H415" s="1">
        <v>15</v>
      </c>
      <c r="I415" s="1">
        <v>29153</v>
      </c>
      <c r="J415" s="14" t="s">
        <v>1110</v>
      </c>
      <c r="K415" s="1" t="s">
        <v>34</v>
      </c>
      <c r="L415" s="1" t="s">
        <v>212</v>
      </c>
      <c r="M415" s="14">
        <v>2</v>
      </c>
      <c r="N415" s="2">
        <v>9.2200000000000006</v>
      </c>
      <c r="O415" s="16">
        <v>15</v>
      </c>
      <c r="P415" s="14">
        <v>3</v>
      </c>
      <c r="Q415" s="14">
        <f t="shared" si="6"/>
        <v>27</v>
      </c>
      <c r="R415" s="1">
        <v>9</v>
      </c>
      <c r="S415" s="1">
        <v>200010006062</v>
      </c>
      <c r="T415" s="1">
        <v>50</v>
      </c>
      <c r="U415" s="1">
        <v>1</v>
      </c>
      <c r="V415" s="1">
        <v>3</v>
      </c>
    </row>
    <row r="416" spans="1:22" x14ac:dyDescent="0.25">
      <c r="A416" s="3">
        <v>44774</v>
      </c>
      <c r="B416" s="4">
        <v>0.57905092592592589</v>
      </c>
      <c r="C416" s="1">
        <v>1349</v>
      </c>
      <c r="D416" s="1">
        <v>13002561</v>
      </c>
      <c r="E416" s="1">
        <v>13</v>
      </c>
      <c r="F416" s="1">
        <v>22589</v>
      </c>
      <c r="G416" s="1" t="s">
        <v>21</v>
      </c>
      <c r="H416" s="1">
        <v>15</v>
      </c>
      <c r="I416" s="1">
        <v>9329</v>
      </c>
      <c r="J416" s="14" t="s">
        <v>312</v>
      </c>
      <c r="K416" s="1" t="s">
        <v>64</v>
      </c>
      <c r="L416" s="1" t="s">
        <v>313</v>
      </c>
      <c r="M416" s="14">
        <v>1</v>
      </c>
      <c r="N416" s="2">
        <v>201.71</v>
      </c>
      <c r="O416" s="16">
        <v>239</v>
      </c>
      <c r="P416" s="14">
        <v>11</v>
      </c>
      <c r="Q416" s="14">
        <f t="shared" si="6"/>
        <v>228</v>
      </c>
      <c r="R416" s="1">
        <v>9</v>
      </c>
      <c r="S416" s="1">
        <v>200010022582</v>
      </c>
      <c r="T416" s="1">
        <v>29</v>
      </c>
      <c r="U416" s="1">
        <v>1</v>
      </c>
      <c r="V416" s="1">
        <v>1</v>
      </c>
    </row>
    <row r="417" spans="1:22" x14ac:dyDescent="0.25">
      <c r="A417" s="3">
        <v>44777</v>
      </c>
      <c r="B417" s="4">
        <v>0.37998842592592591</v>
      </c>
      <c r="C417" s="1">
        <v>1667</v>
      </c>
      <c r="D417" s="1">
        <v>13002606</v>
      </c>
      <c r="E417" s="1">
        <v>13</v>
      </c>
      <c r="F417" s="1">
        <v>22589</v>
      </c>
      <c r="G417" s="1" t="s">
        <v>21</v>
      </c>
      <c r="H417" s="1">
        <v>15</v>
      </c>
      <c r="I417" s="1">
        <v>9329</v>
      </c>
      <c r="J417" s="14" t="s">
        <v>312</v>
      </c>
      <c r="K417" s="1" t="s">
        <v>64</v>
      </c>
      <c r="L417" s="1" t="s">
        <v>313</v>
      </c>
      <c r="M417" s="14">
        <v>1</v>
      </c>
      <c r="N417" s="2">
        <v>201.71</v>
      </c>
      <c r="O417" s="16">
        <v>239</v>
      </c>
      <c r="P417" s="14">
        <v>11</v>
      </c>
      <c r="Q417" s="14">
        <f t="shared" si="6"/>
        <v>228</v>
      </c>
      <c r="R417" s="1">
        <v>9</v>
      </c>
      <c r="S417" s="1">
        <v>200010006097</v>
      </c>
      <c r="T417" s="1">
        <v>50</v>
      </c>
      <c r="U417" s="1">
        <v>1</v>
      </c>
      <c r="V417" s="1">
        <v>3</v>
      </c>
    </row>
    <row r="418" spans="1:22" x14ac:dyDescent="0.25">
      <c r="A418" s="3">
        <v>44778</v>
      </c>
      <c r="B418" s="4">
        <v>0.46418981481481481</v>
      </c>
      <c r="C418" s="1">
        <v>1820</v>
      </c>
      <c r="D418" s="1">
        <v>13002616</v>
      </c>
      <c r="E418" s="1">
        <v>13</v>
      </c>
      <c r="F418" s="1">
        <v>22589</v>
      </c>
      <c r="G418" s="1" t="s">
        <v>21</v>
      </c>
      <c r="H418" s="1">
        <v>15</v>
      </c>
      <c r="I418" s="1">
        <v>9329</v>
      </c>
      <c r="J418" s="14" t="s">
        <v>312</v>
      </c>
      <c r="K418" s="1" t="s">
        <v>64</v>
      </c>
      <c r="L418" s="1" t="s">
        <v>313</v>
      </c>
      <c r="M418" s="14">
        <v>1</v>
      </c>
      <c r="N418" s="2">
        <v>201.71</v>
      </c>
      <c r="O418" s="16">
        <v>239</v>
      </c>
      <c r="P418" s="14">
        <v>11</v>
      </c>
      <c r="Q418" s="14">
        <f t="shared" si="6"/>
        <v>228</v>
      </c>
      <c r="R418" s="1">
        <v>9</v>
      </c>
      <c r="S418" s="1">
        <v>200010020256</v>
      </c>
      <c r="T418" s="1">
        <v>50</v>
      </c>
      <c r="U418" s="1">
        <v>1</v>
      </c>
      <c r="V418" s="1">
        <v>2</v>
      </c>
    </row>
    <row r="419" spans="1:22" x14ac:dyDescent="0.25">
      <c r="A419" s="3">
        <v>44777</v>
      </c>
      <c r="B419" s="4">
        <v>0.61355324074074069</v>
      </c>
      <c r="C419" s="1">
        <v>1734</v>
      </c>
      <c r="D419" s="1">
        <v>13002606</v>
      </c>
      <c r="E419" s="1">
        <v>13</v>
      </c>
      <c r="F419" s="1">
        <v>22589</v>
      </c>
      <c r="G419" s="1" t="s">
        <v>21</v>
      </c>
      <c r="H419" s="1">
        <v>15</v>
      </c>
      <c r="I419" s="1">
        <v>251468</v>
      </c>
      <c r="J419" s="14" t="s">
        <v>1028</v>
      </c>
      <c r="K419" s="1" t="s">
        <v>29</v>
      </c>
      <c r="L419" s="1" t="s">
        <v>1029</v>
      </c>
      <c r="M419" s="14">
        <v>1</v>
      </c>
      <c r="N419" s="2">
        <v>1698.28</v>
      </c>
      <c r="O419" s="16">
        <v>2123</v>
      </c>
      <c r="P419" s="14">
        <v>148</v>
      </c>
      <c r="Q419" s="14">
        <f t="shared" si="6"/>
        <v>1975</v>
      </c>
      <c r="R419" s="1">
        <v>9</v>
      </c>
      <c r="S419" s="1">
        <v>200010020913</v>
      </c>
      <c r="T419" s="1">
        <v>50</v>
      </c>
      <c r="U419" s="1">
        <v>1</v>
      </c>
      <c r="V419" s="1">
        <v>1</v>
      </c>
    </row>
    <row r="420" spans="1:22" x14ac:dyDescent="0.25">
      <c r="A420" s="3">
        <v>44775</v>
      </c>
      <c r="B420" s="4">
        <v>0.78771990740740738</v>
      </c>
      <c r="C420" s="1">
        <v>1527</v>
      </c>
      <c r="D420" s="1">
        <v>13002581</v>
      </c>
      <c r="E420" s="1">
        <v>13</v>
      </c>
      <c r="F420" s="1">
        <v>22589</v>
      </c>
      <c r="G420" s="1" t="s">
        <v>21</v>
      </c>
      <c r="H420" s="1">
        <v>18</v>
      </c>
      <c r="I420" s="1">
        <v>88142</v>
      </c>
      <c r="J420" s="14" t="s">
        <v>684</v>
      </c>
      <c r="K420" s="1" t="s">
        <v>58</v>
      </c>
      <c r="L420" s="1" t="s">
        <v>685</v>
      </c>
      <c r="M420" s="14">
        <v>1</v>
      </c>
      <c r="N420" s="2">
        <v>145.5</v>
      </c>
      <c r="O420" s="16">
        <v>226</v>
      </c>
      <c r="P420" s="14">
        <v>22</v>
      </c>
      <c r="Q420" s="14">
        <f t="shared" si="6"/>
        <v>204</v>
      </c>
      <c r="R420" s="1">
        <v>9</v>
      </c>
      <c r="S420" s="1">
        <v>200010020455</v>
      </c>
      <c r="T420" s="1">
        <v>29</v>
      </c>
      <c r="U420" s="1">
        <v>1</v>
      </c>
      <c r="V420" s="1">
        <v>4</v>
      </c>
    </row>
    <row r="421" spans="1:22" x14ac:dyDescent="0.25">
      <c r="A421" s="3">
        <v>44778</v>
      </c>
      <c r="B421" s="4">
        <v>0.76914351851851848</v>
      </c>
      <c r="C421" s="1">
        <v>1889</v>
      </c>
      <c r="D421" s="1">
        <v>13002616</v>
      </c>
      <c r="E421" s="1">
        <v>13</v>
      </c>
      <c r="F421" s="1">
        <v>22589</v>
      </c>
      <c r="G421" s="1" t="s">
        <v>21</v>
      </c>
      <c r="H421" s="1">
        <v>18</v>
      </c>
      <c r="I421" s="1">
        <v>88142</v>
      </c>
      <c r="J421" s="14" t="s">
        <v>684</v>
      </c>
      <c r="K421" s="1" t="s">
        <v>58</v>
      </c>
      <c r="L421" s="1" t="s">
        <v>685</v>
      </c>
      <c r="M421" s="14">
        <v>1</v>
      </c>
      <c r="N421" s="2">
        <v>145.5</v>
      </c>
      <c r="O421" s="16">
        <v>226</v>
      </c>
      <c r="P421" s="14">
        <v>0</v>
      </c>
      <c r="Q421" s="14">
        <f t="shared" si="6"/>
        <v>226</v>
      </c>
      <c r="R421" s="1" t="s">
        <v>25</v>
      </c>
      <c r="S421" s="1" t="s">
        <v>25</v>
      </c>
      <c r="T421" s="1">
        <v>50</v>
      </c>
      <c r="U421" s="1">
        <v>1</v>
      </c>
      <c r="V421" s="1">
        <v>1</v>
      </c>
    </row>
    <row r="422" spans="1:22" x14ac:dyDescent="0.25">
      <c r="A422" s="3">
        <v>44775</v>
      </c>
      <c r="B422" s="4">
        <v>0.49800925925925926</v>
      </c>
      <c r="C422" s="1">
        <v>1454</v>
      </c>
      <c r="D422" s="1">
        <v>13002581</v>
      </c>
      <c r="E422" s="1">
        <v>13</v>
      </c>
      <c r="F422" s="1">
        <v>22589</v>
      </c>
      <c r="G422" s="1" t="s">
        <v>21</v>
      </c>
      <c r="H422" s="1">
        <v>15</v>
      </c>
      <c r="I422" s="1">
        <v>459</v>
      </c>
      <c r="J422" s="14" t="s">
        <v>553</v>
      </c>
      <c r="K422" s="1" t="s">
        <v>34</v>
      </c>
      <c r="L422" s="1" t="s">
        <v>554</v>
      </c>
      <c r="M422" s="14">
        <v>1</v>
      </c>
      <c r="N422" s="2">
        <v>316.54000000000002</v>
      </c>
      <c r="O422" s="16">
        <v>418</v>
      </c>
      <c r="P422" s="14">
        <v>29</v>
      </c>
      <c r="Q422" s="14">
        <f t="shared" si="6"/>
        <v>389</v>
      </c>
      <c r="R422" s="1">
        <v>9</v>
      </c>
      <c r="S422" s="1">
        <v>200010000733</v>
      </c>
      <c r="T422" s="1">
        <v>29</v>
      </c>
      <c r="U422" s="1">
        <v>1</v>
      </c>
      <c r="V422" s="1">
        <v>2</v>
      </c>
    </row>
    <row r="423" spans="1:22" x14ac:dyDescent="0.25">
      <c r="A423" s="3">
        <v>44776</v>
      </c>
      <c r="B423" s="4">
        <v>0.65983796296296293</v>
      </c>
      <c r="C423" s="1">
        <v>1621</v>
      </c>
      <c r="D423" s="1">
        <v>13002595</v>
      </c>
      <c r="E423" s="1">
        <v>13</v>
      </c>
      <c r="F423" s="1">
        <v>22589</v>
      </c>
      <c r="G423" s="1" t="s">
        <v>21</v>
      </c>
      <c r="H423" s="1">
        <v>18</v>
      </c>
      <c r="I423" s="1">
        <v>459</v>
      </c>
      <c r="J423" s="14" t="s">
        <v>553</v>
      </c>
      <c r="K423" s="1" t="s">
        <v>34</v>
      </c>
      <c r="L423" s="1" t="s">
        <v>554</v>
      </c>
      <c r="M423" s="14">
        <v>1</v>
      </c>
      <c r="N423" s="2">
        <v>316.54000000000002</v>
      </c>
      <c r="O423" s="16">
        <v>418</v>
      </c>
      <c r="P423" s="14">
        <v>0</v>
      </c>
      <c r="Q423" s="14">
        <f t="shared" si="6"/>
        <v>418</v>
      </c>
      <c r="R423" s="1" t="s">
        <v>25</v>
      </c>
      <c r="S423" s="1" t="s">
        <v>25</v>
      </c>
      <c r="T423" s="1">
        <v>29</v>
      </c>
      <c r="U423" s="1">
        <v>1</v>
      </c>
      <c r="V423" s="1">
        <v>2</v>
      </c>
    </row>
    <row r="424" spans="1:22" x14ac:dyDescent="0.25">
      <c r="A424" s="3">
        <v>44778</v>
      </c>
      <c r="B424" s="4">
        <v>0.60245370370370366</v>
      </c>
      <c r="C424" s="1">
        <v>1855</v>
      </c>
      <c r="D424" s="1">
        <v>13002616</v>
      </c>
      <c r="E424" s="1">
        <v>13</v>
      </c>
      <c r="F424" s="1">
        <v>22589</v>
      </c>
      <c r="G424" s="1" t="s">
        <v>21</v>
      </c>
      <c r="H424" s="1">
        <v>18</v>
      </c>
      <c r="I424" s="1">
        <v>459</v>
      </c>
      <c r="J424" s="14" t="s">
        <v>553</v>
      </c>
      <c r="K424" s="1" t="s">
        <v>34</v>
      </c>
      <c r="L424" s="1" t="s">
        <v>554</v>
      </c>
      <c r="M424" s="14">
        <v>1</v>
      </c>
      <c r="N424" s="2">
        <v>316.54000000000002</v>
      </c>
      <c r="O424" s="16">
        <v>418</v>
      </c>
      <c r="P424" s="14">
        <v>0</v>
      </c>
      <c r="Q424" s="14">
        <f t="shared" si="6"/>
        <v>418</v>
      </c>
      <c r="R424" s="1" t="s">
        <v>25</v>
      </c>
      <c r="S424" s="1" t="s">
        <v>25</v>
      </c>
      <c r="T424" s="1">
        <v>50</v>
      </c>
      <c r="U424" s="1">
        <v>1</v>
      </c>
      <c r="V424" s="1">
        <v>2</v>
      </c>
    </row>
    <row r="425" spans="1:22" x14ac:dyDescent="0.25">
      <c r="A425" s="3">
        <v>44775</v>
      </c>
      <c r="B425" s="4">
        <v>0.71832175925925923</v>
      </c>
      <c r="C425" s="1">
        <v>1505</v>
      </c>
      <c r="D425" s="1">
        <v>13002581</v>
      </c>
      <c r="E425" s="1">
        <v>13</v>
      </c>
      <c r="F425" s="1">
        <v>22589</v>
      </c>
      <c r="G425" s="1" t="s">
        <v>21</v>
      </c>
      <c r="H425" s="1">
        <v>18</v>
      </c>
      <c r="I425" s="1">
        <v>261813</v>
      </c>
      <c r="J425" s="14" t="s">
        <v>655</v>
      </c>
      <c r="K425" s="1" t="s">
        <v>34</v>
      </c>
      <c r="L425" s="1" t="s">
        <v>656</v>
      </c>
      <c r="M425" s="14">
        <v>1</v>
      </c>
      <c r="N425" s="2">
        <v>279.07</v>
      </c>
      <c r="O425" s="16">
        <v>425</v>
      </c>
      <c r="P425" s="14">
        <v>42</v>
      </c>
      <c r="Q425" s="14">
        <f t="shared" si="6"/>
        <v>383</v>
      </c>
      <c r="R425" s="1">
        <v>9</v>
      </c>
      <c r="S425" s="1">
        <v>200010020875</v>
      </c>
      <c r="T425" s="1">
        <v>29</v>
      </c>
      <c r="U425" s="1">
        <v>1</v>
      </c>
      <c r="V425" s="1">
        <v>1</v>
      </c>
    </row>
    <row r="426" spans="1:22" x14ac:dyDescent="0.25">
      <c r="A426" s="3">
        <v>44775</v>
      </c>
      <c r="B426" s="4">
        <v>0.5696296296296296</v>
      </c>
      <c r="C426" s="1">
        <v>1476</v>
      </c>
      <c r="D426" s="1">
        <v>13002581</v>
      </c>
      <c r="E426" s="1">
        <v>13</v>
      </c>
      <c r="F426" s="1">
        <v>22589</v>
      </c>
      <c r="G426" s="1" t="s">
        <v>21</v>
      </c>
      <c r="H426" s="1">
        <v>18</v>
      </c>
      <c r="I426" s="1">
        <v>66792</v>
      </c>
      <c r="J426" s="14" t="s">
        <v>596</v>
      </c>
      <c r="K426" s="1" t="s">
        <v>51</v>
      </c>
      <c r="L426" s="1" t="s">
        <v>597</v>
      </c>
      <c r="M426" s="14">
        <v>1</v>
      </c>
      <c r="N426" s="2">
        <v>432.5</v>
      </c>
      <c r="O426" s="16">
        <v>636</v>
      </c>
      <c r="P426" s="14">
        <v>63</v>
      </c>
      <c r="Q426" s="14">
        <f t="shared" si="6"/>
        <v>573</v>
      </c>
      <c r="R426" s="1">
        <v>9</v>
      </c>
      <c r="S426" s="1">
        <v>200010022389</v>
      </c>
      <c r="T426" s="1">
        <v>29</v>
      </c>
      <c r="U426" s="1">
        <v>1</v>
      </c>
      <c r="V426" s="1">
        <v>1</v>
      </c>
    </row>
    <row r="427" spans="1:22" x14ac:dyDescent="0.25">
      <c r="A427" s="3">
        <v>44777</v>
      </c>
      <c r="B427" s="4">
        <v>0.72998842592592594</v>
      </c>
      <c r="C427" s="1">
        <v>1758</v>
      </c>
      <c r="D427" s="1">
        <v>13002606</v>
      </c>
      <c r="E427" s="1">
        <v>13</v>
      </c>
      <c r="F427" s="1">
        <v>22589</v>
      </c>
      <c r="G427" s="1" t="s">
        <v>21</v>
      </c>
      <c r="H427" s="1">
        <v>15</v>
      </c>
      <c r="I427" s="1">
        <v>45674</v>
      </c>
      <c r="J427" s="14" t="s">
        <v>1055</v>
      </c>
      <c r="K427" s="1" t="s">
        <v>23</v>
      </c>
      <c r="L427" s="1" t="s">
        <v>656</v>
      </c>
      <c r="M427" s="14">
        <v>1</v>
      </c>
      <c r="N427" s="2">
        <v>871.84</v>
      </c>
      <c r="O427" s="16">
        <v>1047</v>
      </c>
      <c r="P427" s="14">
        <v>14.09</v>
      </c>
      <c r="Q427" s="14">
        <f t="shared" si="6"/>
        <v>1032.9100000000001</v>
      </c>
      <c r="R427" s="1">
        <v>925</v>
      </c>
      <c r="S427" s="1">
        <v>200000000492</v>
      </c>
      <c r="T427" s="1">
        <v>50</v>
      </c>
      <c r="U427" s="1">
        <v>1</v>
      </c>
      <c r="V427" s="1">
        <v>1</v>
      </c>
    </row>
    <row r="428" spans="1:22" x14ac:dyDescent="0.25">
      <c r="A428" s="3">
        <v>44777</v>
      </c>
      <c r="B428" s="4">
        <v>0.47031250000000002</v>
      </c>
      <c r="C428" s="1">
        <v>1679</v>
      </c>
      <c r="D428" s="1">
        <v>13002606</v>
      </c>
      <c r="E428" s="1">
        <v>13</v>
      </c>
      <c r="F428" s="1">
        <v>22589</v>
      </c>
      <c r="G428" s="1" t="s">
        <v>21</v>
      </c>
      <c r="H428" s="1">
        <v>15</v>
      </c>
      <c r="I428" s="1">
        <v>150533</v>
      </c>
      <c r="J428" s="14" t="s">
        <v>953</v>
      </c>
      <c r="K428" s="1" t="s">
        <v>117</v>
      </c>
      <c r="L428" s="1" t="s">
        <v>27</v>
      </c>
      <c r="M428" s="14">
        <v>1</v>
      </c>
      <c r="N428" s="2">
        <v>886.98</v>
      </c>
      <c r="O428" s="16">
        <v>1145</v>
      </c>
      <c r="P428" s="14">
        <v>80</v>
      </c>
      <c r="Q428" s="14">
        <f t="shared" si="6"/>
        <v>1065</v>
      </c>
      <c r="R428" s="1">
        <v>9</v>
      </c>
      <c r="S428" s="1">
        <v>200010018491</v>
      </c>
      <c r="T428" s="1">
        <v>50</v>
      </c>
      <c r="U428" s="1">
        <v>1</v>
      </c>
      <c r="V428" s="1">
        <v>1</v>
      </c>
    </row>
    <row r="429" spans="1:22" x14ac:dyDescent="0.25">
      <c r="A429" s="3">
        <v>44774</v>
      </c>
      <c r="B429" s="4">
        <v>0.44601851851851854</v>
      </c>
      <c r="C429" s="1">
        <v>1296</v>
      </c>
      <c r="D429" s="1">
        <v>13002561</v>
      </c>
      <c r="E429" s="1">
        <v>13</v>
      </c>
      <c r="F429" s="1">
        <v>22589</v>
      </c>
      <c r="G429" s="1" t="s">
        <v>21</v>
      </c>
      <c r="H429" s="1">
        <v>15</v>
      </c>
      <c r="I429" s="1">
        <v>167293</v>
      </c>
      <c r="J429" s="14" t="s">
        <v>130</v>
      </c>
      <c r="K429" s="1" t="s">
        <v>23</v>
      </c>
      <c r="L429" s="1" t="s">
        <v>131</v>
      </c>
      <c r="M429" s="14">
        <v>1</v>
      </c>
      <c r="N429" s="2">
        <v>360.47</v>
      </c>
      <c r="O429" s="16">
        <v>476</v>
      </c>
      <c r="P429" s="14">
        <v>33</v>
      </c>
      <c r="Q429" s="14">
        <f t="shared" si="6"/>
        <v>443</v>
      </c>
      <c r="R429" s="1">
        <v>9</v>
      </c>
      <c r="S429" s="1">
        <v>200010007414</v>
      </c>
      <c r="T429" s="1">
        <v>29</v>
      </c>
      <c r="U429" s="1">
        <v>1</v>
      </c>
      <c r="V429" s="1">
        <v>1</v>
      </c>
    </row>
    <row r="430" spans="1:22" x14ac:dyDescent="0.25">
      <c r="A430" s="3">
        <v>44778</v>
      </c>
      <c r="B430" s="4">
        <v>0.5577199074074074</v>
      </c>
      <c r="C430" s="1">
        <v>1844</v>
      </c>
      <c r="D430" s="1">
        <v>13002616</v>
      </c>
      <c r="E430" s="1">
        <v>13</v>
      </c>
      <c r="F430" s="1">
        <v>22589</v>
      </c>
      <c r="G430" s="1" t="s">
        <v>21</v>
      </c>
      <c r="H430" s="1">
        <v>18</v>
      </c>
      <c r="I430" s="1">
        <v>167293</v>
      </c>
      <c r="J430" s="14" t="s">
        <v>130</v>
      </c>
      <c r="K430" s="1" t="s">
        <v>23</v>
      </c>
      <c r="L430" s="1" t="s">
        <v>131</v>
      </c>
      <c r="M430" s="14">
        <v>1</v>
      </c>
      <c r="N430" s="2">
        <v>360.47</v>
      </c>
      <c r="O430" s="16">
        <v>476</v>
      </c>
      <c r="P430" s="14">
        <v>0</v>
      </c>
      <c r="Q430" s="14">
        <f t="shared" si="6"/>
        <v>476</v>
      </c>
      <c r="R430" s="1" t="s">
        <v>25</v>
      </c>
      <c r="S430" s="1" t="s">
        <v>25</v>
      </c>
      <c r="T430" s="1">
        <v>50</v>
      </c>
      <c r="U430" s="1">
        <v>1</v>
      </c>
      <c r="V430" s="1">
        <v>3</v>
      </c>
    </row>
    <row r="431" spans="1:22" x14ac:dyDescent="0.25">
      <c r="A431" s="3">
        <v>44774</v>
      </c>
      <c r="B431" s="4">
        <v>0.53057870370370375</v>
      </c>
      <c r="C431" s="1">
        <v>1329</v>
      </c>
      <c r="D431" s="1">
        <v>13002561</v>
      </c>
      <c r="E431" s="1">
        <v>13</v>
      </c>
      <c r="F431" s="1">
        <v>22589</v>
      </c>
      <c r="G431" s="1" t="s">
        <v>21</v>
      </c>
      <c r="H431" s="1">
        <v>18</v>
      </c>
      <c r="I431" s="1">
        <v>14833</v>
      </c>
      <c r="J431" s="14" t="s">
        <v>258</v>
      </c>
      <c r="K431" s="1" t="s">
        <v>141</v>
      </c>
      <c r="L431" s="1" t="s">
        <v>259</v>
      </c>
      <c r="M431" s="14">
        <v>1</v>
      </c>
      <c r="N431" s="2">
        <v>72.66</v>
      </c>
      <c r="O431" s="16">
        <v>115</v>
      </c>
      <c r="P431" s="14">
        <v>11</v>
      </c>
      <c r="Q431" s="14">
        <f t="shared" si="6"/>
        <v>104</v>
      </c>
      <c r="R431" s="1">
        <v>9</v>
      </c>
      <c r="S431" s="1">
        <v>200010004402</v>
      </c>
      <c r="T431" s="1">
        <v>29</v>
      </c>
      <c r="U431" s="1">
        <v>1</v>
      </c>
      <c r="V431" s="1">
        <v>3</v>
      </c>
    </row>
    <row r="432" spans="1:22" x14ac:dyDescent="0.25">
      <c r="A432" s="3">
        <v>44777</v>
      </c>
      <c r="B432" s="4">
        <v>0.68548611111111113</v>
      </c>
      <c r="C432" s="1">
        <v>1748</v>
      </c>
      <c r="D432" s="1">
        <v>13002606</v>
      </c>
      <c r="E432" s="1">
        <v>13</v>
      </c>
      <c r="F432" s="1">
        <v>22589</v>
      </c>
      <c r="G432" s="1" t="s">
        <v>21</v>
      </c>
      <c r="H432" s="1">
        <v>18</v>
      </c>
      <c r="I432" s="1">
        <v>20046</v>
      </c>
      <c r="J432" s="14" t="s">
        <v>1042</v>
      </c>
      <c r="K432" s="1" t="s">
        <v>34</v>
      </c>
      <c r="L432" s="1" t="s">
        <v>1043</v>
      </c>
      <c r="M432" s="14">
        <v>1</v>
      </c>
      <c r="N432" s="2">
        <v>396.52</v>
      </c>
      <c r="O432" s="16">
        <v>524</v>
      </c>
      <c r="P432" s="14">
        <v>0</v>
      </c>
      <c r="Q432" s="14">
        <f t="shared" si="6"/>
        <v>524</v>
      </c>
      <c r="R432" s="1" t="s">
        <v>25</v>
      </c>
      <c r="S432" s="1" t="s">
        <v>25</v>
      </c>
      <c r="T432" s="1">
        <v>50</v>
      </c>
      <c r="U432" s="1">
        <v>1</v>
      </c>
      <c r="V432" s="1">
        <v>1</v>
      </c>
    </row>
    <row r="433" spans="1:22" x14ac:dyDescent="0.25">
      <c r="A433" s="3">
        <v>44776</v>
      </c>
      <c r="B433" s="4">
        <v>0.35365740740740742</v>
      </c>
      <c r="C433" s="1">
        <v>1540</v>
      </c>
      <c r="D433" s="1">
        <v>13002595</v>
      </c>
      <c r="E433" s="1">
        <v>13</v>
      </c>
      <c r="F433" s="1">
        <v>22589</v>
      </c>
      <c r="G433" s="1" t="s">
        <v>21</v>
      </c>
      <c r="H433" s="1">
        <v>18</v>
      </c>
      <c r="I433" s="1">
        <v>9521</v>
      </c>
      <c r="J433" s="14" t="s">
        <v>710</v>
      </c>
      <c r="K433" s="1" t="s">
        <v>23</v>
      </c>
      <c r="L433" s="1" t="s">
        <v>552</v>
      </c>
      <c r="M433" s="14">
        <v>1</v>
      </c>
      <c r="N433" s="2">
        <v>531.74</v>
      </c>
      <c r="O433" s="16">
        <v>589</v>
      </c>
      <c r="P433" s="14">
        <v>17</v>
      </c>
      <c r="Q433" s="14">
        <f t="shared" si="6"/>
        <v>572</v>
      </c>
      <c r="R433" s="1">
        <v>9</v>
      </c>
      <c r="S433" s="1">
        <v>200010000452</v>
      </c>
      <c r="T433" s="1">
        <v>29</v>
      </c>
      <c r="U433" s="1">
        <v>1</v>
      </c>
      <c r="V433" s="1">
        <v>1</v>
      </c>
    </row>
    <row r="434" spans="1:22" x14ac:dyDescent="0.25">
      <c r="A434" s="3">
        <v>44775</v>
      </c>
      <c r="B434" s="4">
        <v>0.49611111111111111</v>
      </c>
      <c r="C434" s="1">
        <v>1453</v>
      </c>
      <c r="D434" s="1">
        <v>13002581</v>
      </c>
      <c r="E434" s="1">
        <v>13</v>
      </c>
      <c r="F434" s="1">
        <v>22589</v>
      </c>
      <c r="G434" s="1" t="s">
        <v>21</v>
      </c>
      <c r="H434" s="1">
        <v>18</v>
      </c>
      <c r="I434" s="1">
        <v>105480</v>
      </c>
      <c r="J434" s="14" t="s">
        <v>551</v>
      </c>
      <c r="K434" s="1" t="s">
        <v>141</v>
      </c>
      <c r="L434" s="1" t="s">
        <v>552</v>
      </c>
      <c r="M434" s="14">
        <v>1</v>
      </c>
      <c r="N434" s="2">
        <v>809</v>
      </c>
      <c r="O434" s="16">
        <v>902</v>
      </c>
      <c r="P434" s="14">
        <v>0</v>
      </c>
      <c r="Q434" s="14">
        <f t="shared" si="6"/>
        <v>902</v>
      </c>
      <c r="R434" s="1" t="s">
        <v>25</v>
      </c>
      <c r="S434" s="1" t="s">
        <v>25</v>
      </c>
      <c r="T434" s="1">
        <v>29</v>
      </c>
      <c r="U434" s="1">
        <v>1</v>
      </c>
      <c r="V434" s="1">
        <v>1</v>
      </c>
    </row>
    <row r="435" spans="1:22" x14ac:dyDescent="0.25">
      <c r="A435" s="3">
        <v>44775</v>
      </c>
      <c r="B435" s="4">
        <v>0.60966435185185186</v>
      </c>
      <c r="C435" s="1">
        <v>1482</v>
      </c>
      <c r="D435" s="1">
        <v>13002581</v>
      </c>
      <c r="E435" s="1">
        <v>13</v>
      </c>
      <c r="F435" s="1">
        <v>22589</v>
      </c>
      <c r="G435" s="1" t="s">
        <v>21</v>
      </c>
      <c r="H435" s="1">
        <v>18</v>
      </c>
      <c r="I435" s="1">
        <v>105480</v>
      </c>
      <c r="J435" s="14" t="s">
        <v>551</v>
      </c>
      <c r="K435" s="1" t="s">
        <v>61</v>
      </c>
      <c r="L435" s="1" t="s">
        <v>269</v>
      </c>
      <c r="M435" s="14">
        <v>1</v>
      </c>
      <c r="N435" s="2">
        <v>815.21</v>
      </c>
      <c r="O435" s="16">
        <v>908</v>
      </c>
      <c r="P435" s="14">
        <v>27</v>
      </c>
      <c r="Q435" s="14">
        <f t="shared" si="6"/>
        <v>881</v>
      </c>
      <c r="R435" s="1">
        <v>9</v>
      </c>
      <c r="S435" s="1">
        <v>200010000717</v>
      </c>
      <c r="T435" s="1">
        <v>29</v>
      </c>
      <c r="U435" s="1">
        <v>1</v>
      </c>
      <c r="V435" s="1">
        <v>4</v>
      </c>
    </row>
    <row r="436" spans="1:22" x14ac:dyDescent="0.25">
      <c r="A436" s="3">
        <v>44775</v>
      </c>
      <c r="B436" s="4">
        <v>0.74587962962962961</v>
      </c>
      <c r="C436" s="1">
        <v>1518</v>
      </c>
      <c r="D436" s="1">
        <v>13002581</v>
      </c>
      <c r="E436" s="1">
        <v>13</v>
      </c>
      <c r="F436" s="1">
        <v>22589</v>
      </c>
      <c r="G436" s="1" t="s">
        <v>21</v>
      </c>
      <c r="H436" s="1">
        <v>15</v>
      </c>
      <c r="I436" s="1">
        <v>105480</v>
      </c>
      <c r="J436" s="14" t="s">
        <v>551</v>
      </c>
      <c r="K436" s="1" t="s">
        <v>466</v>
      </c>
      <c r="L436" s="1" t="s">
        <v>59</v>
      </c>
      <c r="M436" s="14">
        <v>1</v>
      </c>
      <c r="N436" s="2">
        <v>853.6</v>
      </c>
      <c r="O436" s="16">
        <v>893.89</v>
      </c>
      <c r="P436" s="14">
        <v>0</v>
      </c>
      <c r="Q436" s="14">
        <f t="shared" si="6"/>
        <v>893.89</v>
      </c>
      <c r="R436" s="1" t="s">
        <v>25</v>
      </c>
      <c r="S436" s="1" t="s">
        <v>25</v>
      </c>
      <c r="T436" s="1">
        <v>29</v>
      </c>
      <c r="U436" s="1">
        <v>2</v>
      </c>
      <c r="V436" s="1">
        <v>8</v>
      </c>
    </row>
    <row r="437" spans="1:22" x14ac:dyDescent="0.25">
      <c r="A437" s="3">
        <v>44778</v>
      </c>
      <c r="B437" s="4">
        <v>0.59873842592592597</v>
      </c>
      <c r="C437" s="1">
        <v>1854</v>
      </c>
      <c r="D437" s="1">
        <v>13002616</v>
      </c>
      <c r="E437" s="1">
        <v>13</v>
      </c>
      <c r="F437" s="1">
        <v>22589</v>
      </c>
      <c r="G437" s="1" t="s">
        <v>21</v>
      </c>
      <c r="H437" s="1">
        <v>18</v>
      </c>
      <c r="I437" s="1">
        <v>9522</v>
      </c>
      <c r="J437" s="14" t="s">
        <v>1177</v>
      </c>
      <c r="K437" s="1" t="s">
        <v>51</v>
      </c>
      <c r="L437" s="1" t="s">
        <v>552</v>
      </c>
      <c r="M437" s="14">
        <v>1</v>
      </c>
      <c r="N437" s="2">
        <v>281.31</v>
      </c>
      <c r="O437" s="16">
        <v>339</v>
      </c>
      <c r="P437" s="14">
        <v>0</v>
      </c>
      <c r="Q437" s="14">
        <f t="shared" si="6"/>
        <v>339</v>
      </c>
      <c r="R437" s="1" t="s">
        <v>25</v>
      </c>
      <c r="S437" s="1" t="s">
        <v>25</v>
      </c>
      <c r="T437" s="1">
        <v>50</v>
      </c>
      <c r="U437" s="1">
        <v>1</v>
      </c>
      <c r="V437" s="1">
        <v>1</v>
      </c>
    </row>
    <row r="438" spans="1:22" x14ac:dyDescent="0.25">
      <c r="A438" s="3">
        <v>44774</v>
      </c>
      <c r="B438" s="4">
        <v>0.40825231481481483</v>
      </c>
      <c r="C438" s="1">
        <v>1281</v>
      </c>
      <c r="D438" s="1">
        <v>13002561</v>
      </c>
      <c r="E438" s="1">
        <v>13</v>
      </c>
      <c r="F438" s="1">
        <v>22589</v>
      </c>
      <c r="G438" s="1" t="s">
        <v>21</v>
      </c>
      <c r="H438" s="1">
        <v>15</v>
      </c>
      <c r="I438" s="1">
        <v>12625</v>
      </c>
      <c r="J438" s="14" t="s">
        <v>57</v>
      </c>
      <c r="K438" s="1" t="s">
        <v>58</v>
      </c>
      <c r="L438" s="1" t="s">
        <v>59</v>
      </c>
      <c r="M438" s="14">
        <v>1</v>
      </c>
      <c r="N438" s="2">
        <v>455.9</v>
      </c>
      <c r="O438" s="16">
        <v>553</v>
      </c>
      <c r="P438" s="14">
        <v>16</v>
      </c>
      <c r="Q438" s="14">
        <f t="shared" si="6"/>
        <v>537</v>
      </c>
      <c r="R438" s="1">
        <v>9</v>
      </c>
      <c r="S438" s="1">
        <v>200010001617</v>
      </c>
      <c r="T438" s="1">
        <v>29</v>
      </c>
      <c r="U438" s="1">
        <v>1</v>
      </c>
      <c r="V438" s="1">
        <v>1</v>
      </c>
    </row>
    <row r="439" spans="1:22" x14ac:dyDescent="0.25">
      <c r="A439" s="3">
        <v>44777</v>
      </c>
      <c r="B439" s="4">
        <v>0.50612268518518522</v>
      </c>
      <c r="C439" s="1">
        <v>1693</v>
      </c>
      <c r="D439" s="1">
        <v>13002606</v>
      </c>
      <c r="E439" s="1">
        <v>13</v>
      </c>
      <c r="F439" s="1">
        <v>22589</v>
      </c>
      <c r="G439" s="1" t="s">
        <v>21</v>
      </c>
      <c r="H439" s="1">
        <v>18</v>
      </c>
      <c r="I439" s="1">
        <v>475359</v>
      </c>
      <c r="J439" s="14" t="s">
        <v>969</v>
      </c>
      <c r="K439" s="1" t="s">
        <v>58</v>
      </c>
      <c r="L439" s="1" t="s">
        <v>970</v>
      </c>
      <c r="M439" s="14">
        <v>1</v>
      </c>
      <c r="N439" s="2">
        <v>46.63</v>
      </c>
      <c r="O439" s="16">
        <v>76</v>
      </c>
      <c r="P439" s="14">
        <v>0</v>
      </c>
      <c r="Q439" s="14">
        <f t="shared" si="6"/>
        <v>76</v>
      </c>
      <c r="R439" s="1" t="s">
        <v>25</v>
      </c>
      <c r="S439" s="1" t="s">
        <v>25</v>
      </c>
      <c r="T439" s="1">
        <v>50</v>
      </c>
      <c r="U439" s="1">
        <v>1</v>
      </c>
      <c r="V439" s="1">
        <v>1</v>
      </c>
    </row>
    <row r="440" spans="1:22" x14ac:dyDescent="0.25">
      <c r="A440" s="3">
        <v>44774</v>
      </c>
      <c r="B440" s="4">
        <v>0.72802083333333334</v>
      </c>
      <c r="C440" s="1">
        <v>1386</v>
      </c>
      <c r="D440" s="1">
        <v>13002561</v>
      </c>
      <c r="E440" s="1">
        <v>13</v>
      </c>
      <c r="F440" s="1">
        <v>22589</v>
      </c>
      <c r="G440" s="1" t="s">
        <v>21</v>
      </c>
      <c r="H440" s="1">
        <v>18</v>
      </c>
      <c r="I440" s="1">
        <v>115992</v>
      </c>
      <c r="J440" s="14" t="s">
        <v>401</v>
      </c>
      <c r="K440" s="1" t="s">
        <v>34</v>
      </c>
      <c r="L440" s="1" t="s">
        <v>402</v>
      </c>
      <c r="M440" s="14">
        <v>1</v>
      </c>
      <c r="N440" s="2">
        <v>62.48</v>
      </c>
      <c r="O440" s="16">
        <v>78</v>
      </c>
      <c r="P440" s="14">
        <v>0</v>
      </c>
      <c r="Q440" s="14">
        <f t="shared" si="6"/>
        <v>78</v>
      </c>
      <c r="R440" s="1" t="s">
        <v>25</v>
      </c>
      <c r="S440" s="1" t="s">
        <v>25</v>
      </c>
      <c r="T440" s="1">
        <v>29</v>
      </c>
      <c r="U440" s="1">
        <v>1</v>
      </c>
      <c r="V440" s="1">
        <v>1</v>
      </c>
    </row>
    <row r="441" spans="1:22" x14ac:dyDescent="0.25">
      <c r="A441" s="3">
        <v>44774</v>
      </c>
      <c r="B441" s="4">
        <v>0.72802083333333334</v>
      </c>
      <c r="C441" s="1">
        <v>1386</v>
      </c>
      <c r="D441" s="1">
        <v>13002561</v>
      </c>
      <c r="E441" s="1">
        <v>13</v>
      </c>
      <c r="F441" s="1">
        <v>22589</v>
      </c>
      <c r="G441" s="1" t="s">
        <v>21</v>
      </c>
      <c r="H441" s="1">
        <v>18</v>
      </c>
      <c r="I441" s="1">
        <v>185661</v>
      </c>
      <c r="J441" s="14" t="s">
        <v>404</v>
      </c>
      <c r="K441" s="1" t="s">
        <v>110</v>
      </c>
      <c r="L441" s="1" t="s">
        <v>405</v>
      </c>
      <c r="M441" s="14">
        <v>1</v>
      </c>
      <c r="N441" s="2">
        <v>127.93</v>
      </c>
      <c r="O441" s="16">
        <v>176</v>
      </c>
      <c r="P441" s="14">
        <v>0</v>
      </c>
      <c r="Q441" s="14">
        <f t="shared" si="6"/>
        <v>176</v>
      </c>
      <c r="R441" s="1" t="s">
        <v>25</v>
      </c>
      <c r="S441" s="1" t="s">
        <v>25</v>
      </c>
      <c r="T441" s="1">
        <v>29</v>
      </c>
      <c r="U441" s="1">
        <v>1</v>
      </c>
      <c r="V441" s="1">
        <v>2</v>
      </c>
    </row>
    <row r="442" spans="1:22" x14ac:dyDescent="0.25">
      <c r="A442" s="3">
        <v>44777</v>
      </c>
      <c r="B442" s="4">
        <v>0.58322916666666669</v>
      </c>
      <c r="C442" s="1">
        <v>1724</v>
      </c>
      <c r="D442" s="1">
        <v>13002606</v>
      </c>
      <c r="E442" s="1">
        <v>13</v>
      </c>
      <c r="F442" s="1">
        <v>22589</v>
      </c>
      <c r="G442" s="1" t="s">
        <v>21</v>
      </c>
      <c r="H442" s="1">
        <v>18</v>
      </c>
      <c r="I442" s="1">
        <v>46300</v>
      </c>
      <c r="J442" s="14" t="s">
        <v>1015</v>
      </c>
      <c r="K442" s="1" t="s">
        <v>117</v>
      </c>
      <c r="L442" s="1" t="s">
        <v>118</v>
      </c>
      <c r="M442" s="14">
        <v>1</v>
      </c>
      <c r="N442" s="2">
        <v>70.22</v>
      </c>
      <c r="O442" s="16">
        <v>100</v>
      </c>
      <c r="P442" s="14">
        <v>0</v>
      </c>
      <c r="Q442" s="14">
        <f t="shared" si="6"/>
        <v>100</v>
      </c>
      <c r="R442" s="1" t="s">
        <v>25</v>
      </c>
      <c r="S442" s="1" t="s">
        <v>25</v>
      </c>
      <c r="T442" s="1">
        <v>50</v>
      </c>
      <c r="U442" s="1">
        <v>1</v>
      </c>
      <c r="V442" s="1">
        <v>1</v>
      </c>
    </row>
    <row r="443" spans="1:22" x14ac:dyDescent="0.25">
      <c r="A443" s="3">
        <v>44777</v>
      </c>
      <c r="B443" s="4">
        <v>0.58322916666666669</v>
      </c>
      <c r="C443" s="1">
        <v>1724</v>
      </c>
      <c r="D443" s="1">
        <v>13002606</v>
      </c>
      <c r="E443" s="1">
        <v>13</v>
      </c>
      <c r="F443" s="1">
        <v>22589</v>
      </c>
      <c r="G443" s="1" t="s">
        <v>21</v>
      </c>
      <c r="H443" s="1">
        <v>18</v>
      </c>
      <c r="I443" s="1">
        <v>46300</v>
      </c>
      <c r="J443" s="14" t="s">
        <v>1015</v>
      </c>
      <c r="K443" s="1" t="s">
        <v>117</v>
      </c>
      <c r="L443" s="1" t="s">
        <v>118</v>
      </c>
      <c r="M443" s="14">
        <v>1</v>
      </c>
      <c r="N443" s="2">
        <v>70.22</v>
      </c>
      <c r="O443" s="16">
        <v>100</v>
      </c>
      <c r="P443" s="14">
        <v>0</v>
      </c>
      <c r="Q443" s="14">
        <f t="shared" si="6"/>
        <v>100</v>
      </c>
      <c r="R443" s="1" t="s">
        <v>25</v>
      </c>
      <c r="S443" s="1" t="s">
        <v>25</v>
      </c>
      <c r="T443" s="1">
        <v>50</v>
      </c>
      <c r="U443" s="1">
        <v>1</v>
      </c>
      <c r="V443" s="1">
        <v>2</v>
      </c>
    </row>
    <row r="444" spans="1:22" x14ac:dyDescent="0.25">
      <c r="A444" s="3">
        <v>44778</v>
      </c>
      <c r="B444" s="4">
        <v>0.5245023148148148</v>
      </c>
      <c r="C444" s="1">
        <v>1837</v>
      </c>
      <c r="D444" s="1">
        <v>13002616</v>
      </c>
      <c r="E444" s="1">
        <v>13</v>
      </c>
      <c r="F444" s="1">
        <v>22589</v>
      </c>
      <c r="G444" s="1" t="s">
        <v>21</v>
      </c>
      <c r="H444" s="1">
        <v>18</v>
      </c>
      <c r="I444" s="1">
        <v>3108</v>
      </c>
      <c r="J444" s="14" t="s">
        <v>1133</v>
      </c>
      <c r="K444" s="1" t="s">
        <v>29</v>
      </c>
      <c r="L444" s="1" t="s">
        <v>1134</v>
      </c>
      <c r="M444" s="14">
        <v>1</v>
      </c>
      <c r="N444" s="2">
        <v>214.01</v>
      </c>
      <c r="O444" s="16">
        <v>255</v>
      </c>
      <c r="P444" s="14">
        <v>12</v>
      </c>
      <c r="Q444" s="14">
        <f t="shared" si="6"/>
        <v>243</v>
      </c>
      <c r="R444" s="1">
        <v>9</v>
      </c>
      <c r="S444" s="1">
        <v>200010015470</v>
      </c>
      <c r="T444" s="1">
        <v>50</v>
      </c>
      <c r="U444" s="1">
        <v>1</v>
      </c>
      <c r="V444" s="1">
        <v>2</v>
      </c>
    </row>
    <row r="445" spans="1:22" x14ac:dyDescent="0.25">
      <c r="A445" s="3">
        <v>44777</v>
      </c>
      <c r="B445" s="4">
        <v>0.74630787037037039</v>
      </c>
      <c r="C445" s="1">
        <v>1763</v>
      </c>
      <c r="D445" s="1">
        <v>13002606</v>
      </c>
      <c r="E445" s="1">
        <v>13</v>
      </c>
      <c r="F445" s="1">
        <v>22589</v>
      </c>
      <c r="G445" s="1" t="s">
        <v>21</v>
      </c>
      <c r="H445" s="1">
        <v>18</v>
      </c>
      <c r="I445" s="1">
        <v>54092</v>
      </c>
      <c r="J445" s="14" t="s">
        <v>1058</v>
      </c>
      <c r="K445" s="1" t="s">
        <v>51</v>
      </c>
      <c r="L445" s="1" t="s">
        <v>1059</v>
      </c>
      <c r="M445" s="14">
        <v>1</v>
      </c>
      <c r="N445" s="2">
        <v>178.78</v>
      </c>
      <c r="O445" s="16">
        <v>278</v>
      </c>
      <c r="P445" s="14">
        <v>27</v>
      </c>
      <c r="Q445" s="14">
        <f t="shared" si="6"/>
        <v>251</v>
      </c>
      <c r="R445" s="1">
        <v>9</v>
      </c>
      <c r="S445" s="1">
        <v>200010001162</v>
      </c>
      <c r="T445" s="1">
        <v>50</v>
      </c>
      <c r="U445" s="1">
        <v>1</v>
      </c>
      <c r="V445" s="1">
        <v>1</v>
      </c>
    </row>
    <row r="446" spans="1:22" x14ac:dyDescent="0.25">
      <c r="A446" s="3">
        <v>44775</v>
      </c>
      <c r="B446" s="4">
        <v>0.71832175925925923</v>
      </c>
      <c r="C446" s="1">
        <v>1505</v>
      </c>
      <c r="D446" s="1">
        <v>13002581</v>
      </c>
      <c r="E446" s="1">
        <v>13</v>
      </c>
      <c r="F446" s="1">
        <v>22589</v>
      </c>
      <c r="G446" s="1" t="s">
        <v>21</v>
      </c>
      <c r="H446" s="1">
        <v>18</v>
      </c>
      <c r="I446" s="1">
        <v>11548</v>
      </c>
      <c r="J446" s="14" t="s">
        <v>658</v>
      </c>
      <c r="K446" s="1" t="s">
        <v>51</v>
      </c>
      <c r="L446" s="1" t="s">
        <v>614</v>
      </c>
      <c r="M446" s="14">
        <v>1</v>
      </c>
      <c r="N446" s="2">
        <v>89.29</v>
      </c>
      <c r="O446" s="16">
        <v>141</v>
      </c>
      <c r="P446" s="14">
        <v>14</v>
      </c>
      <c r="Q446" s="14">
        <f t="shared" si="6"/>
        <v>127</v>
      </c>
      <c r="R446" s="1">
        <v>9</v>
      </c>
      <c r="S446" s="1">
        <v>200010020875</v>
      </c>
      <c r="T446" s="1">
        <v>29</v>
      </c>
      <c r="U446" s="1">
        <v>1</v>
      </c>
      <c r="V446" s="1">
        <v>2</v>
      </c>
    </row>
    <row r="447" spans="1:22" x14ac:dyDescent="0.25">
      <c r="A447" s="3">
        <v>44775</v>
      </c>
      <c r="B447" s="4">
        <v>0.58399305555555558</v>
      </c>
      <c r="C447" s="1">
        <v>1479</v>
      </c>
      <c r="D447" s="1">
        <v>13002581</v>
      </c>
      <c r="E447" s="1">
        <v>13</v>
      </c>
      <c r="F447" s="1">
        <v>22589</v>
      </c>
      <c r="G447" s="1" t="s">
        <v>21</v>
      </c>
      <c r="H447" s="1">
        <v>18</v>
      </c>
      <c r="I447" s="1">
        <v>11237</v>
      </c>
      <c r="J447" s="14" t="s">
        <v>613</v>
      </c>
      <c r="K447" s="1" t="s">
        <v>51</v>
      </c>
      <c r="L447" s="1" t="s">
        <v>614</v>
      </c>
      <c r="M447" s="14">
        <v>1</v>
      </c>
      <c r="N447" s="2">
        <v>89.29</v>
      </c>
      <c r="O447" s="16">
        <v>141</v>
      </c>
      <c r="P447" s="14">
        <v>0</v>
      </c>
      <c r="Q447" s="14">
        <f t="shared" si="6"/>
        <v>141</v>
      </c>
      <c r="R447" s="1" t="s">
        <v>25</v>
      </c>
      <c r="S447" s="1" t="s">
        <v>25</v>
      </c>
      <c r="T447" s="1">
        <v>29</v>
      </c>
      <c r="U447" s="1">
        <v>1</v>
      </c>
      <c r="V447" s="1">
        <v>2</v>
      </c>
    </row>
    <row r="448" spans="1:22" x14ac:dyDescent="0.25">
      <c r="A448" s="3">
        <v>44774</v>
      </c>
      <c r="B448" s="4">
        <v>0.58363425925925927</v>
      </c>
      <c r="C448" s="1">
        <v>1350</v>
      </c>
      <c r="D448" s="1">
        <v>13002561</v>
      </c>
      <c r="E448" s="1">
        <v>13</v>
      </c>
      <c r="F448" s="1">
        <v>22589</v>
      </c>
      <c r="G448" s="1" t="s">
        <v>21</v>
      </c>
      <c r="H448" s="1">
        <v>18</v>
      </c>
      <c r="I448" s="1">
        <v>3647</v>
      </c>
      <c r="J448" s="14" t="s">
        <v>316</v>
      </c>
      <c r="K448" s="1" t="s">
        <v>61</v>
      </c>
      <c r="L448" s="1" t="s">
        <v>82</v>
      </c>
      <c r="M448" s="14">
        <v>1</v>
      </c>
      <c r="N448" s="2">
        <v>93.28</v>
      </c>
      <c r="O448" s="16">
        <v>133</v>
      </c>
      <c r="P448" s="14">
        <v>9</v>
      </c>
      <c r="Q448" s="14">
        <f t="shared" si="6"/>
        <v>124</v>
      </c>
      <c r="R448" s="1">
        <v>9</v>
      </c>
      <c r="S448" s="1">
        <v>200010020905</v>
      </c>
      <c r="T448" s="1">
        <v>29</v>
      </c>
      <c r="U448" s="1">
        <v>1</v>
      </c>
      <c r="V448" s="1">
        <v>1</v>
      </c>
    </row>
    <row r="449" spans="1:22" x14ac:dyDescent="0.25">
      <c r="A449" s="3">
        <v>44774</v>
      </c>
      <c r="B449" s="4">
        <v>0.52068287037037042</v>
      </c>
      <c r="C449" s="1">
        <v>1325</v>
      </c>
      <c r="D449" s="1">
        <v>13002561</v>
      </c>
      <c r="E449" s="1">
        <v>13</v>
      </c>
      <c r="F449" s="1">
        <v>22589</v>
      </c>
      <c r="G449" s="1" t="s">
        <v>21</v>
      </c>
      <c r="H449" s="1">
        <v>15</v>
      </c>
      <c r="I449" s="1">
        <v>475</v>
      </c>
      <c r="J449" s="14" t="s">
        <v>241</v>
      </c>
      <c r="K449" s="1" t="s">
        <v>117</v>
      </c>
      <c r="L449" s="1" t="s">
        <v>35</v>
      </c>
      <c r="M449" s="14">
        <v>1</v>
      </c>
      <c r="N449" s="2">
        <v>130.46</v>
      </c>
      <c r="O449" s="16">
        <v>179</v>
      </c>
      <c r="P449" s="14">
        <v>12</v>
      </c>
      <c r="Q449" s="14">
        <f t="shared" si="6"/>
        <v>167</v>
      </c>
      <c r="R449" s="1">
        <v>9</v>
      </c>
      <c r="S449" s="1">
        <v>200010013468</v>
      </c>
      <c r="T449" s="1">
        <v>29</v>
      </c>
      <c r="U449" s="1">
        <v>1</v>
      </c>
      <c r="V449" s="1">
        <v>1</v>
      </c>
    </row>
    <row r="450" spans="1:22" x14ac:dyDescent="0.25">
      <c r="A450" s="3">
        <v>44775</v>
      </c>
      <c r="B450" s="4">
        <v>0.50753472222222218</v>
      </c>
      <c r="C450" s="1">
        <v>1457</v>
      </c>
      <c r="D450" s="1">
        <v>13002581</v>
      </c>
      <c r="E450" s="1">
        <v>13</v>
      </c>
      <c r="F450" s="1">
        <v>22589</v>
      </c>
      <c r="G450" s="1" t="s">
        <v>21</v>
      </c>
      <c r="H450" s="1">
        <v>15</v>
      </c>
      <c r="I450" s="1">
        <v>475</v>
      </c>
      <c r="J450" s="14" t="s">
        <v>241</v>
      </c>
      <c r="K450" s="1" t="s">
        <v>117</v>
      </c>
      <c r="L450" s="1" t="s">
        <v>35</v>
      </c>
      <c r="M450" s="14">
        <v>1</v>
      </c>
      <c r="N450" s="2">
        <v>130.46</v>
      </c>
      <c r="O450" s="16">
        <v>179</v>
      </c>
      <c r="P450" s="14">
        <v>0</v>
      </c>
      <c r="Q450" s="14">
        <f t="shared" ref="Q450:Q513" si="7">M450*O450-P450</f>
        <v>179</v>
      </c>
      <c r="R450" s="1" t="s">
        <v>25</v>
      </c>
      <c r="S450" s="1" t="s">
        <v>25</v>
      </c>
      <c r="T450" s="1">
        <v>29</v>
      </c>
      <c r="U450" s="1">
        <v>1</v>
      </c>
      <c r="V450" s="1">
        <v>3</v>
      </c>
    </row>
    <row r="451" spans="1:22" x14ac:dyDescent="0.25">
      <c r="A451" s="3">
        <v>44777</v>
      </c>
      <c r="B451" s="4">
        <v>0.36594907407407407</v>
      </c>
      <c r="C451" s="1">
        <v>1666</v>
      </c>
      <c r="D451" s="1">
        <v>13002606</v>
      </c>
      <c r="E451" s="1">
        <v>13</v>
      </c>
      <c r="F451" s="1">
        <v>22589</v>
      </c>
      <c r="G451" s="1" t="s">
        <v>21</v>
      </c>
      <c r="H451" s="1">
        <v>15</v>
      </c>
      <c r="I451" s="1">
        <v>475</v>
      </c>
      <c r="J451" s="14" t="s">
        <v>241</v>
      </c>
      <c r="K451" s="1" t="s">
        <v>117</v>
      </c>
      <c r="L451" s="1" t="s">
        <v>35</v>
      </c>
      <c r="M451" s="14">
        <v>1</v>
      </c>
      <c r="N451" s="2">
        <v>130.46</v>
      </c>
      <c r="O451" s="16">
        <v>179</v>
      </c>
      <c r="P451" s="14">
        <v>0</v>
      </c>
      <c r="Q451" s="14">
        <f t="shared" si="7"/>
        <v>179</v>
      </c>
      <c r="R451" s="1" t="s">
        <v>25</v>
      </c>
      <c r="S451" s="1" t="s">
        <v>25</v>
      </c>
      <c r="T451" s="1">
        <v>50</v>
      </c>
      <c r="U451" s="1">
        <v>1</v>
      </c>
      <c r="V451" s="1">
        <v>1</v>
      </c>
    </row>
    <row r="452" spans="1:22" x14ac:dyDescent="0.25">
      <c r="A452" s="3">
        <v>44778</v>
      </c>
      <c r="B452" s="4">
        <v>0.35689814814814813</v>
      </c>
      <c r="C452" s="1">
        <v>1788</v>
      </c>
      <c r="D452" s="1">
        <v>13002616</v>
      </c>
      <c r="E452" s="1">
        <v>13</v>
      </c>
      <c r="F452" s="1">
        <v>22589</v>
      </c>
      <c r="G452" s="1" t="s">
        <v>21</v>
      </c>
      <c r="H452" s="1">
        <v>15</v>
      </c>
      <c r="I452" s="1">
        <v>475</v>
      </c>
      <c r="J452" s="14" t="s">
        <v>241</v>
      </c>
      <c r="K452" s="1" t="s">
        <v>64</v>
      </c>
      <c r="L452" s="1" t="s">
        <v>35</v>
      </c>
      <c r="M452" s="14">
        <v>1</v>
      </c>
      <c r="N452" s="2">
        <v>133.49</v>
      </c>
      <c r="O452" s="16">
        <v>183</v>
      </c>
      <c r="P452" s="14">
        <v>12</v>
      </c>
      <c r="Q452" s="14">
        <f t="shared" si="7"/>
        <v>171</v>
      </c>
      <c r="R452" s="1">
        <v>9</v>
      </c>
      <c r="S452" s="1">
        <v>200010002508</v>
      </c>
      <c r="T452" s="1">
        <v>50</v>
      </c>
      <c r="U452" s="1">
        <v>1</v>
      </c>
      <c r="V452" s="1">
        <v>1</v>
      </c>
    </row>
    <row r="453" spans="1:22" x14ac:dyDescent="0.25">
      <c r="A453" s="3">
        <v>44774</v>
      </c>
      <c r="B453" s="4">
        <v>0.60392361111111115</v>
      </c>
      <c r="C453" s="1">
        <v>1356</v>
      </c>
      <c r="D453" s="1">
        <v>13002561</v>
      </c>
      <c r="E453" s="1">
        <v>13</v>
      </c>
      <c r="F453" s="1">
        <v>22589</v>
      </c>
      <c r="G453" s="1" t="s">
        <v>21</v>
      </c>
      <c r="H453" s="1">
        <v>18</v>
      </c>
      <c r="I453" s="1">
        <v>341501</v>
      </c>
      <c r="J453" s="14" t="s">
        <v>333</v>
      </c>
      <c r="K453" s="1" t="s">
        <v>117</v>
      </c>
      <c r="L453" s="1" t="s">
        <v>200</v>
      </c>
      <c r="M453" s="14">
        <v>1</v>
      </c>
      <c r="N453" s="2">
        <v>27.91</v>
      </c>
      <c r="O453" s="16">
        <v>34</v>
      </c>
      <c r="P453" s="14">
        <v>0</v>
      </c>
      <c r="Q453" s="14">
        <f t="shared" si="7"/>
        <v>34</v>
      </c>
      <c r="R453" s="1" t="s">
        <v>25</v>
      </c>
      <c r="S453" s="1" t="s">
        <v>25</v>
      </c>
      <c r="T453" s="1">
        <v>29</v>
      </c>
      <c r="U453" s="1">
        <v>1</v>
      </c>
      <c r="V453" s="1">
        <v>2</v>
      </c>
    </row>
    <row r="454" spans="1:22" x14ac:dyDescent="0.25">
      <c r="A454" s="3">
        <v>44774</v>
      </c>
      <c r="B454" s="4">
        <v>0.70020833333333332</v>
      </c>
      <c r="C454" s="1">
        <v>1380</v>
      </c>
      <c r="D454" s="1">
        <v>13002561</v>
      </c>
      <c r="E454" s="1">
        <v>13</v>
      </c>
      <c r="F454" s="1">
        <v>22589</v>
      </c>
      <c r="G454" s="1" t="s">
        <v>21</v>
      </c>
      <c r="H454" s="1">
        <v>18</v>
      </c>
      <c r="I454" s="1">
        <v>341501</v>
      </c>
      <c r="J454" s="14" t="s">
        <v>333</v>
      </c>
      <c r="K454" s="1" t="s">
        <v>117</v>
      </c>
      <c r="L454" s="1" t="s">
        <v>200</v>
      </c>
      <c r="M454" s="14">
        <v>1</v>
      </c>
      <c r="N454" s="2">
        <v>27.91</v>
      </c>
      <c r="O454" s="16">
        <v>34</v>
      </c>
      <c r="P454" s="14">
        <v>1</v>
      </c>
      <c r="Q454" s="14">
        <f t="shared" si="7"/>
        <v>33</v>
      </c>
      <c r="R454" s="1">
        <v>9</v>
      </c>
      <c r="S454" s="1">
        <v>200010013152</v>
      </c>
      <c r="T454" s="1">
        <v>29</v>
      </c>
      <c r="U454" s="1">
        <v>1</v>
      </c>
      <c r="V454" s="1">
        <v>1</v>
      </c>
    </row>
    <row r="455" spans="1:22" x14ac:dyDescent="0.25">
      <c r="A455" s="3">
        <v>44776</v>
      </c>
      <c r="B455" s="4">
        <v>0.73636574074074079</v>
      </c>
      <c r="C455" s="1">
        <v>1638</v>
      </c>
      <c r="D455" s="1">
        <v>13002595</v>
      </c>
      <c r="E455" s="1">
        <v>13</v>
      </c>
      <c r="F455" s="1">
        <v>22589</v>
      </c>
      <c r="G455" s="1" t="s">
        <v>21</v>
      </c>
      <c r="H455" s="1">
        <v>18</v>
      </c>
      <c r="I455" s="1">
        <v>341501</v>
      </c>
      <c r="J455" s="14" t="s">
        <v>333</v>
      </c>
      <c r="K455" s="1" t="s">
        <v>117</v>
      </c>
      <c r="L455" s="1" t="s">
        <v>200</v>
      </c>
      <c r="M455" s="14">
        <v>1</v>
      </c>
      <c r="N455" s="2">
        <v>27.91</v>
      </c>
      <c r="O455" s="16">
        <v>34</v>
      </c>
      <c r="P455" s="14">
        <v>0</v>
      </c>
      <c r="Q455" s="14">
        <f t="shared" si="7"/>
        <v>34</v>
      </c>
      <c r="R455" s="1" t="s">
        <v>25</v>
      </c>
      <c r="S455" s="1" t="s">
        <v>25</v>
      </c>
      <c r="T455" s="1">
        <v>29</v>
      </c>
      <c r="U455" s="1">
        <v>1</v>
      </c>
      <c r="V455" s="1">
        <v>1</v>
      </c>
    </row>
    <row r="456" spans="1:22" x14ac:dyDescent="0.25">
      <c r="A456" s="3">
        <v>44774</v>
      </c>
      <c r="B456" s="4">
        <v>0.79335648148148152</v>
      </c>
      <c r="C456" s="1">
        <v>1406</v>
      </c>
      <c r="D456" s="1">
        <v>13002561</v>
      </c>
      <c r="E456" s="1">
        <v>13</v>
      </c>
      <c r="F456" s="1">
        <v>22589</v>
      </c>
      <c r="G456" s="1" t="s">
        <v>21</v>
      </c>
      <c r="H456" s="1">
        <v>15</v>
      </c>
      <c r="I456" s="1">
        <v>149562</v>
      </c>
      <c r="J456" s="14" t="s">
        <v>463</v>
      </c>
      <c r="K456" s="1" t="s">
        <v>23</v>
      </c>
      <c r="L456" s="1" t="s">
        <v>159</v>
      </c>
      <c r="M456" s="14">
        <v>1</v>
      </c>
      <c r="N456" s="2">
        <v>79.2</v>
      </c>
      <c r="O456" s="16">
        <v>97</v>
      </c>
      <c r="P456" s="14">
        <v>4</v>
      </c>
      <c r="Q456" s="14">
        <f t="shared" si="7"/>
        <v>93</v>
      </c>
      <c r="R456" s="1">
        <v>9</v>
      </c>
      <c r="S456" s="1">
        <v>200010022528</v>
      </c>
      <c r="T456" s="1">
        <v>29</v>
      </c>
      <c r="U456" s="1">
        <v>1</v>
      </c>
      <c r="V456" s="1">
        <v>3</v>
      </c>
    </row>
    <row r="457" spans="1:22" x14ac:dyDescent="0.25">
      <c r="A457" s="3">
        <v>44778</v>
      </c>
      <c r="B457" s="4">
        <v>0.53322916666666664</v>
      </c>
      <c r="C457" s="1">
        <v>1840</v>
      </c>
      <c r="D457" s="1">
        <v>13002616</v>
      </c>
      <c r="E457" s="1">
        <v>13</v>
      </c>
      <c r="F457" s="1">
        <v>22589</v>
      </c>
      <c r="G457" s="1" t="s">
        <v>21</v>
      </c>
      <c r="H457" s="1">
        <v>15</v>
      </c>
      <c r="I457" s="1">
        <v>401611</v>
      </c>
      <c r="J457" s="14" t="s">
        <v>1137</v>
      </c>
      <c r="K457" s="1" t="s">
        <v>23</v>
      </c>
      <c r="L457" s="1" t="s">
        <v>1138</v>
      </c>
      <c r="M457" s="14">
        <v>1</v>
      </c>
      <c r="N457" s="2">
        <v>199.14</v>
      </c>
      <c r="O457" s="16">
        <v>240</v>
      </c>
      <c r="P457" s="14">
        <v>12</v>
      </c>
      <c r="Q457" s="14">
        <f t="shared" si="7"/>
        <v>228</v>
      </c>
      <c r="R457" s="1">
        <v>9</v>
      </c>
      <c r="S457" s="1">
        <v>200010009864</v>
      </c>
      <c r="T457" s="1">
        <v>50</v>
      </c>
      <c r="U457" s="1">
        <v>1</v>
      </c>
      <c r="V457" s="1">
        <v>1</v>
      </c>
    </row>
    <row r="458" spans="1:22" x14ac:dyDescent="0.25">
      <c r="A458" s="3">
        <v>44774</v>
      </c>
      <c r="B458" s="4">
        <v>0.44601851851851854</v>
      </c>
      <c r="C458" s="1">
        <v>1296</v>
      </c>
      <c r="D458" s="1">
        <v>13002561</v>
      </c>
      <c r="E458" s="1">
        <v>13</v>
      </c>
      <c r="F458" s="1">
        <v>22589</v>
      </c>
      <c r="G458" s="1" t="s">
        <v>21</v>
      </c>
      <c r="H458" s="1">
        <v>15</v>
      </c>
      <c r="I458" s="1">
        <v>468466</v>
      </c>
      <c r="J458" s="14" t="s">
        <v>128</v>
      </c>
      <c r="K458" s="1" t="s">
        <v>51</v>
      </c>
      <c r="L458" s="1" t="s">
        <v>129</v>
      </c>
      <c r="M458" s="14">
        <v>1</v>
      </c>
      <c r="N458" s="2">
        <v>666.45</v>
      </c>
      <c r="O458" s="16">
        <v>739</v>
      </c>
      <c r="P458" s="14">
        <v>22</v>
      </c>
      <c r="Q458" s="14">
        <f t="shared" si="7"/>
        <v>717</v>
      </c>
      <c r="R458" s="1">
        <v>9</v>
      </c>
      <c r="S458" s="1">
        <v>200010007414</v>
      </c>
      <c r="T458" s="1">
        <v>29</v>
      </c>
      <c r="U458" s="1">
        <v>1</v>
      </c>
      <c r="V458" s="1">
        <v>2</v>
      </c>
    </row>
    <row r="459" spans="1:22" x14ac:dyDescent="0.25">
      <c r="A459" s="3">
        <v>44776</v>
      </c>
      <c r="B459" s="4">
        <v>0.45870370370370372</v>
      </c>
      <c r="C459" s="1">
        <v>1562</v>
      </c>
      <c r="D459" s="1">
        <v>13002595</v>
      </c>
      <c r="E459" s="1">
        <v>13</v>
      </c>
      <c r="F459" s="1">
        <v>22589</v>
      </c>
      <c r="G459" s="1" t="s">
        <v>21</v>
      </c>
      <c r="H459" s="1">
        <v>15</v>
      </c>
      <c r="I459" s="1">
        <v>468466</v>
      </c>
      <c r="J459" s="14" t="s">
        <v>128</v>
      </c>
      <c r="K459" s="1" t="s">
        <v>51</v>
      </c>
      <c r="L459" s="1" t="s">
        <v>129</v>
      </c>
      <c r="M459" s="14">
        <v>1</v>
      </c>
      <c r="N459" s="2">
        <v>666.45</v>
      </c>
      <c r="O459" s="16">
        <v>739</v>
      </c>
      <c r="P459" s="14">
        <v>22</v>
      </c>
      <c r="Q459" s="14">
        <f t="shared" si="7"/>
        <v>717</v>
      </c>
      <c r="R459" s="1">
        <v>9</v>
      </c>
      <c r="S459" s="1">
        <v>200010009864</v>
      </c>
      <c r="T459" s="1">
        <v>29</v>
      </c>
      <c r="U459" s="1">
        <v>1</v>
      </c>
      <c r="V459" s="1">
        <v>1</v>
      </c>
    </row>
    <row r="460" spans="1:22" x14ac:dyDescent="0.25">
      <c r="A460" s="3">
        <v>44777</v>
      </c>
      <c r="B460" s="4">
        <v>0.77649305555555559</v>
      </c>
      <c r="C460" s="1">
        <v>1769</v>
      </c>
      <c r="D460" s="1">
        <v>13002606</v>
      </c>
      <c r="E460" s="1">
        <v>13</v>
      </c>
      <c r="F460" s="1">
        <v>22589</v>
      </c>
      <c r="G460" s="1" t="s">
        <v>21</v>
      </c>
      <c r="H460" s="1">
        <v>18</v>
      </c>
      <c r="I460" s="1">
        <v>468466</v>
      </c>
      <c r="J460" s="14" t="s">
        <v>128</v>
      </c>
      <c r="K460" s="1" t="s">
        <v>51</v>
      </c>
      <c r="L460" s="1" t="s">
        <v>129</v>
      </c>
      <c r="M460" s="14">
        <v>1</v>
      </c>
      <c r="N460" s="2">
        <v>666.45</v>
      </c>
      <c r="O460" s="16">
        <v>739</v>
      </c>
      <c r="P460" s="14">
        <v>0</v>
      </c>
      <c r="Q460" s="14">
        <f t="shared" si="7"/>
        <v>739</v>
      </c>
      <c r="R460" s="1" t="s">
        <v>25</v>
      </c>
      <c r="S460" s="1" t="s">
        <v>25</v>
      </c>
      <c r="T460" s="1">
        <v>50</v>
      </c>
      <c r="U460" s="1">
        <v>1</v>
      </c>
      <c r="V460" s="1">
        <v>1</v>
      </c>
    </row>
    <row r="461" spans="1:22" x14ac:dyDescent="0.25">
      <c r="A461" s="3">
        <v>44775</v>
      </c>
      <c r="B461" s="4">
        <v>0.53541666666666665</v>
      </c>
      <c r="C461" s="1">
        <v>1468</v>
      </c>
      <c r="D461" s="1">
        <v>13002581</v>
      </c>
      <c r="E461" s="1">
        <v>13</v>
      </c>
      <c r="F461" s="1">
        <v>22589</v>
      </c>
      <c r="G461" s="1" t="s">
        <v>21</v>
      </c>
      <c r="H461" s="1">
        <v>18</v>
      </c>
      <c r="I461" s="1">
        <v>417513</v>
      </c>
      <c r="J461" s="14" t="s">
        <v>581</v>
      </c>
      <c r="K461" s="1" t="s">
        <v>117</v>
      </c>
      <c r="L461" s="1" t="s">
        <v>582</v>
      </c>
      <c r="M461" s="14">
        <v>1</v>
      </c>
      <c r="N461" s="2">
        <v>140.38</v>
      </c>
      <c r="O461" s="16">
        <v>218</v>
      </c>
      <c r="P461" s="14">
        <v>0</v>
      </c>
      <c r="Q461" s="14">
        <f t="shared" si="7"/>
        <v>218</v>
      </c>
      <c r="R461" s="1" t="s">
        <v>25</v>
      </c>
      <c r="S461" s="1" t="s">
        <v>25</v>
      </c>
      <c r="T461" s="1">
        <v>29</v>
      </c>
      <c r="U461" s="1">
        <v>1</v>
      </c>
      <c r="V461" s="1">
        <v>1</v>
      </c>
    </row>
    <row r="462" spans="1:22" x14ac:dyDescent="0.25">
      <c r="A462" s="3">
        <v>44776</v>
      </c>
      <c r="B462" s="4">
        <v>0.67155092592592591</v>
      </c>
      <c r="C462" s="1">
        <v>1623</v>
      </c>
      <c r="D462" s="1">
        <v>13002595</v>
      </c>
      <c r="E462" s="1">
        <v>13</v>
      </c>
      <c r="F462" s="1">
        <v>22589</v>
      </c>
      <c r="G462" s="1" t="s">
        <v>21</v>
      </c>
      <c r="H462" s="1">
        <v>18</v>
      </c>
      <c r="I462" s="1">
        <v>6015</v>
      </c>
      <c r="J462" s="14" t="s">
        <v>877</v>
      </c>
      <c r="K462" s="1" t="s">
        <v>34</v>
      </c>
      <c r="L462" s="1" t="s">
        <v>137</v>
      </c>
      <c r="M462" s="14">
        <v>1</v>
      </c>
      <c r="N462" s="2">
        <v>87.93</v>
      </c>
      <c r="O462" s="16">
        <v>109</v>
      </c>
      <c r="P462" s="14">
        <v>5</v>
      </c>
      <c r="Q462" s="14">
        <f t="shared" si="7"/>
        <v>104</v>
      </c>
      <c r="R462" s="1">
        <v>9</v>
      </c>
      <c r="S462" s="1">
        <v>200010023600</v>
      </c>
      <c r="T462" s="1">
        <v>29</v>
      </c>
      <c r="U462" s="1">
        <v>1</v>
      </c>
      <c r="V462" s="1">
        <v>1</v>
      </c>
    </row>
    <row r="463" spans="1:22" x14ac:dyDescent="0.25">
      <c r="A463" s="3">
        <v>44774</v>
      </c>
      <c r="B463" s="4">
        <v>0.70112268518518517</v>
      </c>
      <c r="C463" s="1">
        <v>1381</v>
      </c>
      <c r="D463" s="1">
        <v>13002561</v>
      </c>
      <c r="E463" s="1">
        <v>13</v>
      </c>
      <c r="F463" s="1">
        <v>22589</v>
      </c>
      <c r="G463" s="1" t="s">
        <v>21</v>
      </c>
      <c r="H463" s="1">
        <v>15</v>
      </c>
      <c r="I463" s="1">
        <v>148756</v>
      </c>
      <c r="J463" s="14" t="s">
        <v>390</v>
      </c>
      <c r="K463" s="1" t="s">
        <v>29</v>
      </c>
      <c r="L463" s="1" t="s">
        <v>391</v>
      </c>
      <c r="M463" s="14">
        <v>1</v>
      </c>
      <c r="N463" s="2">
        <v>26.13</v>
      </c>
      <c r="O463" s="16">
        <v>32</v>
      </c>
      <c r="P463" s="14">
        <v>1</v>
      </c>
      <c r="Q463" s="14">
        <f t="shared" si="7"/>
        <v>31</v>
      </c>
      <c r="R463" s="1">
        <v>9</v>
      </c>
      <c r="S463" s="1">
        <v>200010001749</v>
      </c>
      <c r="T463" s="1">
        <v>29</v>
      </c>
      <c r="U463" s="1">
        <v>1</v>
      </c>
      <c r="V463" s="1">
        <v>1</v>
      </c>
    </row>
    <row r="464" spans="1:22" x14ac:dyDescent="0.25">
      <c r="A464" s="3">
        <v>44774</v>
      </c>
      <c r="B464" s="4">
        <v>0.70112268518518517</v>
      </c>
      <c r="C464" s="1">
        <v>1381</v>
      </c>
      <c r="D464" s="1">
        <v>13002561</v>
      </c>
      <c r="E464" s="1">
        <v>13</v>
      </c>
      <c r="F464" s="1">
        <v>22589</v>
      </c>
      <c r="G464" s="1" t="s">
        <v>21</v>
      </c>
      <c r="H464" s="1">
        <v>15</v>
      </c>
      <c r="I464" s="1">
        <v>148756</v>
      </c>
      <c r="J464" s="14" t="s">
        <v>390</v>
      </c>
      <c r="K464" s="1" t="s">
        <v>29</v>
      </c>
      <c r="L464" s="1" t="s">
        <v>391</v>
      </c>
      <c r="M464" s="14">
        <v>1</v>
      </c>
      <c r="N464" s="2">
        <v>26.13</v>
      </c>
      <c r="O464" s="16">
        <v>32</v>
      </c>
      <c r="P464" s="14">
        <v>1</v>
      </c>
      <c r="Q464" s="14">
        <f t="shared" si="7"/>
        <v>31</v>
      </c>
      <c r="R464" s="1">
        <v>9</v>
      </c>
      <c r="S464" s="1">
        <v>200010001749</v>
      </c>
      <c r="T464" s="1">
        <v>29</v>
      </c>
      <c r="U464" s="1">
        <v>1</v>
      </c>
      <c r="V464" s="1">
        <v>2</v>
      </c>
    </row>
    <row r="465" spans="1:22" x14ac:dyDescent="0.25">
      <c r="A465" s="3">
        <v>44774</v>
      </c>
      <c r="B465" s="4">
        <v>0.69579861111111108</v>
      </c>
      <c r="C465" s="1">
        <v>1378</v>
      </c>
      <c r="D465" s="1">
        <v>13002561</v>
      </c>
      <c r="E465" s="1">
        <v>13</v>
      </c>
      <c r="F465" s="1">
        <v>22589</v>
      </c>
      <c r="G465" s="1" t="s">
        <v>21</v>
      </c>
      <c r="H465" s="1">
        <v>15</v>
      </c>
      <c r="I465" s="1">
        <v>45880</v>
      </c>
      <c r="J465" s="14" t="s">
        <v>379</v>
      </c>
      <c r="K465" s="1" t="s">
        <v>51</v>
      </c>
      <c r="L465" s="1" t="s">
        <v>175</v>
      </c>
      <c r="M465" s="14">
        <v>1</v>
      </c>
      <c r="N465" s="2">
        <v>70.78</v>
      </c>
      <c r="O465" s="16">
        <v>89</v>
      </c>
      <c r="P465" s="14">
        <v>4</v>
      </c>
      <c r="Q465" s="14">
        <f t="shared" si="7"/>
        <v>85</v>
      </c>
      <c r="R465" s="1">
        <v>9</v>
      </c>
      <c r="S465" s="1">
        <v>200010000750</v>
      </c>
      <c r="T465" s="1">
        <v>29</v>
      </c>
      <c r="U465" s="1">
        <v>1</v>
      </c>
      <c r="V465" s="1">
        <v>1</v>
      </c>
    </row>
    <row r="466" spans="1:22" x14ac:dyDescent="0.25">
      <c r="A466" s="3">
        <v>44774</v>
      </c>
      <c r="B466" s="4">
        <v>0.69579861111111108</v>
      </c>
      <c r="C466" s="1">
        <v>1378</v>
      </c>
      <c r="D466" s="1">
        <v>13002561</v>
      </c>
      <c r="E466" s="1">
        <v>13</v>
      </c>
      <c r="F466" s="1">
        <v>22589</v>
      </c>
      <c r="G466" s="1" t="s">
        <v>21</v>
      </c>
      <c r="H466" s="1">
        <v>15</v>
      </c>
      <c r="I466" s="1">
        <v>45880</v>
      </c>
      <c r="J466" s="14" t="s">
        <v>379</v>
      </c>
      <c r="K466" s="1" t="s">
        <v>51</v>
      </c>
      <c r="L466" s="1" t="s">
        <v>175</v>
      </c>
      <c r="M466" s="14">
        <v>1</v>
      </c>
      <c r="N466" s="2">
        <v>70.78</v>
      </c>
      <c r="O466" s="16">
        <v>89</v>
      </c>
      <c r="P466" s="14">
        <v>4</v>
      </c>
      <c r="Q466" s="14">
        <f t="shared" si="7"/>
        <v>85</v>
      </c>
      <c r="R466" s="1">
        <v>9</v>
      </c>
      <c r="S466" s="1">
        <v>200010000750</v>
      </c>
      <c r="T466" s="1">
        <v>29</v>
      </c>
      <c r="U466" s="1">
        <v>1</v>
      </c>
      <c r="V466" s="1">
        <v>2</v>
      </c>
    </row>
    <row r="467" spans="1:22" x14ac:dyDescent="0.25">
      <c r="A467" s="3">
        <v>44776</v>
      </c>
      <c r="B467" s="4">
        <v>0.50384259259259256</v>
      </c>
      <c r="C467" s="1">
        <v>1574</v>
      </c>
      <c r="D467" s="1">
        <v>13002595</v>
      </c>
      <c r="E467" s="1">
        <v>13</v>
      </c>
      <c r="F467" s="1">
        <v>22589</v>
      </c>
      <c r="G467" s="1" t="s">
        <v>21</v>
      </c>
      <c r="H467" s="1">
        <v>18</v>
      </c>
      <c r="I467" s="1">
        <v>29373</v>
      </c>
      <c r="J467" s="14" t="s">
        <v>780</v>
      </c>
      <c r="K467" s="1" t="s">
        <v>51</v>
      </c>
      <c r="L467" s="1" t="s">
        <v>175</v>
      </c>
      <c r="M467" s="14">
        <v>1</v>
      </c>
      <c r="N467" s="2">
        <v>94.92</v>
      </c>
      <c r="O467" s="16">
        <v>120</v>
      </c>
      <c r="P467" s="14">
        <v>6</v>
      </c>
      <c r="Q467" s="14">
        <f t="shared" si="7"/>
        <v>114</v>
      </c>
      <c r="R467" s="1">
        <v>9</v>
      </c>
      <c r="S467" s="1">
        <v>200010010562</v>
      </c>
      <c r="T467" s="1">
        <v>29</v>
      </c>
      <c r="U467" s="1">
        <v>1</v>
      </c>
      <c r="V467" s="1">
        <v>1</v>
      </c>
    </row>
    <row r="468" spans="1:22" x14ac:dyDescent="0.25">
      <c r="A468" s="3">
        <v>44778</v>
      </c>
      <c r="B468" s="4">
        <v>0.35546296296296298</v>
      </c>
      <c r="C468" s="1">
        <v>1787</v>
      </c>
      <c r="D468" s="1">
        <v>13002616</v>
      </c>
      <c r="E468" s="1">
        <v>13</v>
      </c>
      <c r="F468" s="1">
        <v>22589</v>
      </c>
      <c r="G468" s="1" t="s">
        <v>21</v>
      </c>
      <c r="H468" s="1">
        <v>18</v>
      </c>
      <c r="I468" s="1">
        <v>27806</v>
      </c>
      <c r="J468" s="14" t="s">
        <v>1084</v>
      </c>
      <c r="K468" s="1" t="s">
        <v>51</v>
      </c>
      <c r="L468" s="1" t="s">
        <v>474</v>
      </c>
      <c r="M468" s="14">
        <v>1</v>
      </c>
      <c r="N468" s="2">
        <v>81.72</v>
      </c>
      <c r="O468" s="16">
        <v>117</v>
      </c>
      <c r="P468" s="14">
        <v>0</v>
      </c>
      <c r="Q468" s="14">
        <f t="shared" si="7"/>
        <v>117</v>
      </c>
      <c r="R468" s="1" t="s">
        <v>25</v>
      </c>
      <c r="S468" s="1" t="s">
        <v>25</v>
      </c>
      <c r="T468" s="1">
        <v>50</v>
      </c>
      <c r="U468" s="1">
        <v>1</v>
      </c>
      <c r="V468" s="1">
        <v>1</v>
      </c>
    </row>
    <row r="469" spans="1:22" x14ac:dyDescent="0.25">
      <c r="A469" s="3">
        <v>44775</v>
      </c>
      <c r="B469" s="4">
        <v>0.4375</v>
      </c>
      <c r="C469" s="1">
        <v>1434</v>
      </c>
      <c r="D469" s="1">
        <v>13002581</v>
      </c>
      <c r="E469" s="1">
        <v>13</v>
      </c>
      <c r="F469" s="1">
        <v>22589</v>
      </c>
      <c r="G469" s="1" t="s">
        <v>21</v>
      </c>
      <c r="H469" s="1">
        <v>15</v>
      </c>
      <c r="I469" s="1">
        <v>473</v>
      </c>
      <c r="J469" s="14" t="s">
        <v>521</v>
      </c>
      <c r="K469" s="1" t="s">
        <v>23</v>
      </c>
      <c r="L469" s="1" t="s">
        <v>303</v>
      </c>
      <c r="M469" s="14">
        <v>1</v>
      </c>
      <c r="N469" s="2">
        <v>47.59</v>
      </c>
      <c r="O469" s="16">
        <v>73</v>
      </c>
      <c r="P469" s="14">
        <v>5</v>
      </c>
      <c r="Q469" s="14">
        <f t="shared" si="7"/>
        <v>68</v>
      </c>
      <c r="R469" s="1">
        <v>9</v>
      </c>
      <c r="S469" s="1">
        <v>200010007796</v>
      </c>
      <c r="T469" s="1">
        <v>29</v>
      </c>
      <c r="U469" s="1">
        <v>1</v>
      </c>
      <c r="V469" s="1">
        <v>1</v>
      </c>
    </row>
    <row r="470" spans="1:22" x14ac:dyDescent="0.25">
      <c r="A470" s="3">
        <v>44775</v>
      </c>
      <c r="B470" s="4">
        <v>0.4375</v>
      </c>
      <c r="C470" s="1">
        <v>1434</v>
      </c>
      <c r="D470" s="1">
        <v>13002581</v>
      </c>
      <c r="E470" s="1">
        <v>13</v>
      </c>
      <c r="F470" s="1">
        <v>22589</v>
      </c>
      <c r="G470" s="1" t="s">
        <v>21</v>
      </c>
      <c r="H470" s="1">
        <v>15</v>
      </c>
      <c r="I470" s="1">
        <v>473</v>
      </c>
      <c r="J470" s="14" t="s">
        <v>521</v>
      </c>
      <c r="K470" s="1" t="s">
        <v>23</v>
      </c>
      <c r="L470" s="1" t="s">
        <v>303</v>
      </c>
      <c r="M470" s="14">
        <v>1</v>
      </c>
      <c r="N470" s="2">
        <v>47.59</v>
      </c>
      <c r="O470" s="16">
        <v>73</v>
      </c>
      <c r="P470" s="14">
        <v>5</v>
      </c>
      <c r="Q470" s="14">
        <f t="shared" si="7"/>
        <v>68</v>
      </c>
      <c r="R470" s="1">
        <v>9</v>
      </c>
      <c r="S470" s="1">
        <v>200010007796</v>
      </c>
      <c r="T470" s="1">
        <v>29</v>
      </c>
      <c r="U470" s="1">
        <v>1</v>
      </c>
      <c r="V470" s="1">
        <v>2</v>
      </c>
    </row>
    <row r="471" spans="1:22" x14ac:dyDescent="0.25">
      <c r="A471" s="3">
        <v>44778</v>
      </c>
      <c r="B471" s="4">
        <v>0.43175925925925923</v>
      </c>
      <c r="C471" s="1">
        <v>1812</v>
      </c>
      <c r="D471" s="1">
        <v>13002616</v>
      </c>
      <c r="E471" s="1">
        <v>13</v>
      </c>
      <c r="F471" s="1">
        <v>22589</v>
      </c>
      <c r="G471" s="1" t="s">
        <v>21</v>
      </c>
      <c r="H471" s="1">
        <v>18</v>
      </c>
      <c r="I471" s="1">
        <v>473</v>
      </c>
      <c r="J471" s="14" t="s">
        <v>521</v>
      </c>
      <c r="K471" s="1" t="s">
        <v>23</v>
      </c>
      <c r="L471" s="1" t="s">
        <v>303</v>
      </c>
      <c r="M471" s="14">
        <v>1</v>
      </c>
      <c r="N471" s="2">
        <v>47.59</v>
      </c>
      <c r="O471" s="16">
        <v>73</v>
      </c>
      <c r="P471" s="14">
        <v>0</v>
      </c>
      <c r="Q471" s="14">
        <f t="shared" si="7"/>
        <v>73</v>
      </c>
      <c r="R471" s="1" t="s">
        <v>25</v>
      </c>
      <c r="S471" s="1" t="s">
        <v>25</v>
      </c>
      <c r="T471" s="1">
        <v>50</v>
      </c>
      <c r="U471" s="1">
        <v>1</v>
      </c>
      <c r="V471" s="1">
        <v>1</v>
      </c>
    </row>
    <row r="472" spans="1:22" x14ac:dyDescent="0.25">
      <c r="A472" s="3">
        <v>44774</v>
      </c>
      <c r="B472" s="4">
        <v>0.76192129629629635</v>
      </c>
      <c r="C472" s="1">
        <v>1395</v>
      </c>
      <c r="D472" s="1">
        <v>13002561</v>
      </c>
      <c r="E472" s="1">
        <v>13</v>
      </c>
      <c r="F472" s="1">
        <v>22589</v>
      </c>
      <c r="G472" s="1" t="s">
        <v>21</v>
      </c>
      <c r="H472" s="1">
        <v>15</v>
      </c>
      <c r="I472" s="1">
        <v>375178</v>
      </c>
      <c r="J472" s="14" t="s">
        <v>428</v>
      </c>
      <c r="K472" s="1" t="s">
        <v>34</v>
      </c>
      <c r="L472" s="1" t="s">
        <v>429</v>
      </c>
      <c r="M472" s="14">
        <v>1</v>
      </c>
      <c r="N472" s="2">
        <v>1478.37</v>
      </c>
      <c r="O472" s="16">
        <v>1848</v>
      </c>
      <c r="P472" s="14">
        <v>129</v>
      </c>
      <c r="Q472" s="14">
        <f t="shared" si="7"/>
        <v>1719</v>
      </c>
      <c r="R472" s="1">
        <v>9</v>
      </c>
      <c r="S472" s="1">
        <v>200010020276</v>
      </c>
      <c r="T472" s="1">
        <v>29</v>
      </c>
      <c r="U472" s="1">
        <v>1</v>
      </c>
      <c r="V472" s="1">
        <v>1</v>
      </c>
    </row>
    <row r="473" spans="1:22" x14ac:dyDescent="0.25">
      <c r="A473" s="3">
        <v>44774</v>
      </c>
      <c r="B473" s="4">
        <v>0.76192129629629635</v>
      </c>
      <c r="C473" s="1">
        <v>1395</v>
      </c>
      <c r="D473" s="1">
        <v>13002561</v>
      </c>
      <c r="E473" s="1">
        <v>13</v>
      </c>
      <c r="F473" s="1">
        <v>22589</v>
      </c>
      <c r="G473" s="1" t="s">
        <v>21</v>
      </c>
      <c r="H473" s="1">
        <v>15</v>
      </c>
      <c r="I473" s="1">
        <v>375178</v>
      </c>
      <c r="J473" s="14" t="s">
        <v>428</v>
      </c>
      <c r="K473" s="1" t="s">
        <v>34</v>
      </c>
      <c r="L473" s="1" t="s">
        <v>429</v>
      </c>
      <c r="M473" s="14">
        <v>1</v>
      </c>
      <c r="N473" s="2">
        <v>1478.56</v>
      </c>
      <c r="O473" s="16">
        <v>1849</v>
      </c>
      <c r="P473" s="14">
        <v>129</v>
      </c>
      <c r="Q473" s="14">
        <f t="shared" si="7"/>
        <v>1720</v>
      </c>
      <c r="R473" s="1">
        <v>9</v>
      </c>
      <c r="S473" s="1">
        <v>200010020276</v>
      </c>
      <c r="T473" s="1">
        <v>29</v>
      </c>
      <c r="U473" s="1">
        <v>1</v>
      </c>
      <c r="V473" s="1">
        <v>2</v>
      </c>
    </row>
    <row r="474" spans="1:22" x14ac:dyDescent="0.25">
      <c r="A474" s="3">
        <v>44775</v>
      </c>
      <c r="B474" s="4">
        <v>0.72341435185185188</v>
      </c>
      <c r="C474" s="1">
        <v>1507</v>
      </c>
      <c r="D474" s="1">
        <v>13002581</v>
      </c>
      <c r="E474" s="1">
        <v>13</v>
      </c>
      <c r="F474" s="1">
        <v>22589</v>
      </c>
      <c r="G474" s="1" t="s">
        <v>21</v>
      </c>
      <c r="H474" s="1">
        <v>18</v>
      </c>
      <c r="I474" s="1">
        <v>23380</v>
      </c>
      <c r="J474" s="14" t="s">
        <v>660</v>
      </c>
      <c r="K474" s="1" t="s">
        <v>51</v>
      </c>
      <c r="L474" s="1" t="s">
        <v>269</v>
      </c>
      <c r="M474" s="14">
        <v>1</v>
      </c>
      <c r="N474" s="2">
        <v>944.78</v>
      </c>
      <c r="O474" s="16">
        <v>1219</v>
      </c>
      <c r="P474" s="14">
        <v>134.63999999999999</v>
      </c>
      <c r="Q474" s="14">
        <f t="shared" si="7"/>
        <v>1084.3600000000001</v>
      </c>
      <c r="R474" s="1">
        <v>925</v>
      </c>
      <c r="S474" s="1">
        <v>200000000492</v>
      </c>
      <c r="T474" s="1">
        <v>29</v>
      </c>
      <c r="U474" s="1">
        <v>1</v>
      </c>
      <c r="V474" s="1">
        <v>1</v>
      </c>
    </row>
    <row r="475" spans="1:22" x14ac:dyDescent="0.25">
      <c r="A475" s="3">
        <v>44774</v>
      </c>
      <c r="B475" s="4">
        <v>0.43633101851851852</v>
      </c>
      <c r="C475" s="1">
        <v>1289</v>
      </c>
      <c r="D475" s="1">
        <v>13002561</v>
      </c>
      <c r="E475" s="1">
        <v>13</v>
      </c>
      <c r="F475" s="1">
        <v>22589</v>
      </c>
      <c r="G475" s="1" t="s">
        <v>21</v>
      </c>
      <c r="H475" s="1">
        <v>15</v>
      </c>
      <c r="I475" s="1">
        <v>519407</v>
      </c>
      <c r="J475" s="14" t="s">
        <v>90</v>
      </c>
      <c r="K475" s="1" t="s">
        <v>51</v>
      </c>
      <c r="L475" s="1" t="s">
        <v>91</v>
      </c>
      <c r="M475" s="14">
        <v>1</v>
      </c>
      <c r="N475" s="2">
        <v>34.25</v>
      </c>
      <c r="O475" s="16">
        <v>53</v>
      </c>
      <c r="P475" s="14">
        <v>3</v>
      </c>
      <c r="Q475" s="14">
        <f t="shared" si="7"/>
        <v>50</v>
      </c>
      <c r="R475" s="1">
        <v>9</v>
      </c>
      <c r="S475" s="1">
        <v>200010000065</v>
      </c>
      <c r="T475" s="1">
        <v>29</v>
      </c>
      <c r="U475" s="1">
        <v>1</v>
      </c>
      <c r="V475" s="1">
        <v>2</v>
      </c>
    </row>
    <row r="476" spans="1:22" x14ac:dyDescent="0.25">
      <c r="A476" s="3">
        <v>44778</v>
      </c>
      <c r="B476" s="4">
        <v>0.71643518518518523</v>
      </c>
      <c r="C476" s="1">
        <v>1878</v>
      </c>
      <c r="D476" s="1">
        <v>13002616</v>
      </c>
      <c r="E476" s="1">
        <v>13</v>
      </c>
      <c r="F476" s="1">
        <v>22589</v>
      </c>
      <c r="G476" s="1" t="s">
        <v>21</v>
      </c>
      <c r="H476" s="1">
        <v>15</v>
      </c>
      <c r="I476" s="1">
        <v>519407</v>
      </c>
      <c r="J476" s="14" t="s">
        <v>90</v>
      </c>
      <c r="K476" s="1" t="s">
        <v>51</v>
      </c>
      <c r="L476" s="1" t="s">
        <v>91</v>
      </c>
      <c r="M476" s="14">
        <v>1</v>
      </c>
      <c r="N476" s="2">
        <v>34.25</v>
      </c>
      <c r="O476" s="16">
        <v>53</v>
      </c>
      <c r="P476" s="14">
        <v>0</v>
      </c>
      <c r="Q476" s="14">
        <f t="shared" si="7"/>
        <v>53</v>
      </c>
      <c r="R476" s="1" t="s">
        <v>25</v>
      </c>
      <c r="S476" s="1" t="s">
        <v>25</v>
      </c>
      <c r="T476" s="1">
        <v>50</v>
      </c>
      <c r="U476" s="1">
        <v>1</v>
      </c>
      <c r="V476" s="1">
        <v>1</v>
      </c>
    </row>
    <row r="477" spans="1:22" x14ac:dyDescent="0.25">
      <c r="A477" s="3">
        <v>44774</v>
      </c>
      <c r="B477" s="4">
        <v>0.69748842592592597</v>
      </c>
      <c r="C477" s="1">
        <v>1379</v>
      </c>
      <c r="D477" s="1">
        <v>13002561</v>
      </c>
      <c r="E477" s="1">
        <v>13</v>
      </c>
      <c r="F477" s="1">
        <v>22589</v>
      </c>
      <c r="G477" s="1" t="s">
        <v>21</v>
      </c>
      <c r="H477" s="1">
        <v>18</v>
      </c>
      <c r="I477" s="1">
        <v>496536</v>
      </c>
      <c r="J477" s="14" t="s">
        <v>382</v>
      </c>
      <c r="K477" s="1" t="s">
        <v>58</v>
      </c>
      <c r="L477" s="1" t="s">
        <v>383</v>
      </c>
      <c r="M477" s="14">
        <v>1</v>
      </c>
      <c r="N477" s="2">
        <v>49.4</v>
      </c>
      <c r="O477" s="16">
        <v>76</v>
      </c>
      <c r="P477" s="14">
        <v>5</v>
      </c>
      <c r="Q477" s="14">
        <f t="shared" si="7"/>
        <v>71</v>
      </c>
      <c r="R477" s="1">
        <v>9</v>
      </c>
      <c r="S477" s="1">
        <v>200010026815</v>
      </c>
      <c r="T477" s="1">
        <v>29</v>
      </c>
      <c r="U477" s="1">
        <v>1</v>
      </c>
      <c r="V477" s="1">
        <v>4</v>
      </c>
    </row>
    <row r="478" spans="1:22" x14ac:dyDescent="0.25">
      <c r="A478" s="3">
        <v>44778</v>
      </c>
      <c r="B478" s="4">
        <v>0.61123842592592592</v>
      </c>
      <c r="C478" s="1">
        <v>1857</v>
      </c>
      <c r="D478" s="1">
        <v>13002616</v>
      </c>
      <c r="E478" s="1">
        <v>13</v>
      </c>
      <c r="F478" s="1">
        <v>22589</v>
      </c>
      <c r="G478" s="1" t="s">
        <v>21</v>
      </c>
      <c r="H478" s="1">
        <v>15</v>
      </c>
      <c r="I478" s="1">
        <v>496536</v>
      </c>
      <c r="J478" s="14" t="s">
        <v>382</v>
      </c>
      <c r="K478" s="1" t="s">
        <v>58</v>
      </c>
      <c r="L478" s="1" t="s">
        <v>383</v>
      </c>
      <c r="M478" s="14">
        <v>1</v>
      </c>
      <c r="N478" s="2">
        <v>49.4</v>
      </c>
      <c r="O478" s="16">
        <v>76</v>
      </c>
      <c r="P478" s="14">
        <v>5</v>
      </c>
      <c r="Q478" s="14">
        <f t="shared" si="7"/>
        <v>71</v>
      </c>
      <c r="R478" s="1">
        <v>9</v>
      </c>
      <c r="S478" s="1">
        <v>200010009724</v>
      </c>
      <c r="T478" s="1">
        <v>50</v>
      </c>
      <c r="U478" s="1">
        <v>1</v>
      </c>
      <c r="V478" s="1">
        <v>2</v>
      </c>
    </row>
    <row r="479" spans="1:22" x14ac:dyDescent="0.25">
      <c r="A479" s="3">
        <v>44777</v>
      </c>
      <c r="B479" s="4">
        <v>0.54041666666666666</v>
      </c>
      <c r="C479" s="1">
        <v>1710</v>
      </c>
      <c r="D479" s="1">
        <v>13002606</v>
      </c>
      <c r="E479" s="1">
        <v>13</v>
      </c>
      <c r="F479" s="1">
        <v>22589</v>
      </c>
      <c r="G479" s="1" t="s">
        <v>21</v>
      </c>
      <c r="H479" s="1">
        <v>18</v>
      </c>
      <c r="I479" s="1">
        <v>15543</v>
      </c>
      <c r="J479" s="14" t="s">
        <v>995</v>
      </c>
      <c r="K479" s="1" t="s">
        <v>29</v>
      </c>
      <c r="L479" s="1" t="s">
        <v>996</v>
      </c>
      <c r="M479" s="14">
        <v>1</v>
      </c>
      <c r="N479" s="2">
        <v>187.42</v>
      </c>
      <c r="O479" s="16">
        <v>222</v>
      </c>
      <c r="P479" s="14">
        <v>50</v>
      </c>
      <c r="Q479" s="14">
        <f t="shared" si="7"/>
        <v>172</v>
      </c>
      <c r="R479" s="1">
        <v>925</v>
      </c>
      <c r="S479" s="1">
        <v>200000000492</v>
      </c>
      <c r="T479" s="1">
        <v>50</v>
      </c>
      <c r="U479" s="1">
        <v>1</v>
      </c>
      <c r="V479" s="1">
        <v>1</v>
      </c>
    </row>
    <row r="480" spans="1:22" x14ac:dyDescent="0.25">
      <c r="A480" s="3">
        <v>44777</v>
      </c>
      <c r="B480" s="4">
        <v>0.34695601851851854</v>
      </c>
      <c r="C480" s="1">
        <v>1664</v>
      </c>
      <c r="D480" s="1">
        <v>13002606</v>
      </c>
      <c r="E480" s="1">
        <v>13</v>
      </c>
      <c r="F480" s="1">
        <v>22589</v>
      </c>
      <c r="G480" s="1" t="s">
        <v>21</v>
      </c>
      <c r="H480" s="1">
        <v>15</v>
      </c>
      <c r="I480" s="1">
        <v>30687</v>
      </c>
      <c r="J480" s="14" t="s">
        <v>929</v>
      </c>
      <c r="K480" s="1" t="s">
        <v>61</v>
      </c>
      <c r="L480" s="1" t="s">
        <v>930</v>
      </c>
      <c r="M480" s="14">
        <v>1</v>
      </c>
      <c r="N480" s="2">
        <v>219.78</v>
      </c>
      <c r="O480" s="16">
        <v>275</v>
      </c>
      <c r="P480" s="14">
        <v>13</v>
      </c>
      <c r="Q480" s="14">
        <f t="shared" si="7"/>
        <v>262</v>
      </c>
      <c r="R480" s="1">
        <v>9</v>
      </c>
      <c r="S480" s="1">
        <v>200010023916</v>
      </c>
      <c r="T480" s="1">
        <v>50</v>
      </c>
      <c r="U480" s="1">
        <v>1</v>
      </c>
      <c r="V480" s="1">
        <v>1</v>
      </c>
    </row>
    <row r="481" spans="1:22" x14ac:dyDescent="0.25">
      <c r="A481" s="3">
        <v>44777</v>
      </c>
      <c r="B481" s="4">
        <v>0.60395833333333337</v>
      </c>
      <c r="C481" s="1">
        <v>1731</v>
      </c>
      <c r="D481" s="1">
        <v>13002606</v>
      </c>
      <c r="E481" s="1">
        <v>13</v>
      </c>
      <c r="F481" s="1">
        <v>22589</v>
      </c>
      <c r="G481" s="1" t="s">
        <v>21</v>
      </c>
      <c r="H481" s="1">
        <v>15</v>
      </c>
      <c r="I481" s="1">
        <v>4919</v>
      </c>
      <c r="J481" s="14" t="s">
        <v>1025</v>
      </c>
      <c r="K481" s="1" t="s">
        <v>23</v>
      </c>
      <c r="L481" s="1" t="s">
        <v>886</v>
      </c>
      <c r="M481" s="14">
        <v>1</v>
      </c>
      <c r="N481" s="2">
        <v>99.8</v>
      </c>
      <c r="O481" s="16">
        <v>142</v>
      </c>
      <c r="P481" s="14">
        <v>9</v>
      </c>
      <c r="Q481" s="14">
        <f t="shared" si="7"/>
        <v>133</v>
      </c>
      <c r="R481" s="1">
        <v>9</v>
      </c>
      <c r="S481" s="1">
        <v>200010023898</v>
      </c>
      <c r="T481" s="1">
        <v>50</v>
      </c>
      <c r="U481" s="1">
        <v>1</v>
      </c>
      <c r="V481" s="1">
        <v>1</v>
      </c>
    </row>
    <row r="482" spans="1:22" x14ac:dyDescent="0.25">
      <c r="A482" s="3">
        <v>44777</v>
      </c>
      <c r="B482" s="4">
        <v>0.52053240740740736</v>
      </c>
      <c r="C482" s="1">
        <v>1699</v>
      </c>
      <c r="D482" s="1">
        <v>13002606</v>
      </c>
      <c r="E482" s="1">
        <v>13</v>
      </c>
      <c r="F482" s="1">
        <v>22589</v>
      </c>
      <c r="G482" s="1" t="s">
        <v>21</v>
      </c>
      <c r="H482" s="1">
        <v>15</v>
      </c>
      <c r="I482" s="1">
        <v>440757</v>
      </c>
      <c r="J482" s="14" t="s">
        <v>979</v>
      </c>
      <c r="K482" s="1" t="s">
        <v>61</v>
      </c>
      <c r="L482" s="1" t="s">
        <v>49</v>
      </c>
      <c r="M482" s="14">
        <v>1</v>
      </c>
      <c r="N482" s="2">
        <v>15.84</v>
      </c>
      <c r="O482" s="16">
        <v>25</v>
      </c>
      <c r="P482" s="14">
        <v>1</v>
      </c>
      <c r="Q482" s="14">
        <f t="shared" si="7"/>
        <v>24</v>
      </c>
      <c r="R482" s="1">
        <v>9</v>
      </c>
      <c r="S482" s="1">
        <v>200010001659</v>
      </c>
      <c r="T482" s="1">
        <v>50</v>
      </c>
      <c r="U482" s="1">
        <v>1</v>
      </c>
      <c r="V482" s="1">
        <v>1</v>
      </c>
    </row>
    <row r="483" spans="1:22" x14ac:dyDescent="0.25">
      <c r="A483" s="3">
        <v>44777</v>
      </c>
      <c r="B483" s="4">
        <v>0.67237268518518523</v>
      </c>
      <c r="C483" s="1">
        <v>1743</v>
      </c>
      <c r="D483" s="1">
        <v>13002606</v>
      </c>
      <c r="E483" s="1">
        <v>13</v>
      </c>
      <c r="F483" s="1">
        <v>22589</v>
      </c>
      <c r="G483" s="1" t="s">
        <v>21</v>
      </c>
      <c r="H483" s="1">
        <v>18</v>
      </c>
      <c r="I483" s="1">
        <v>440757</v>
      </c>
      <c r="J483" s="14" t="s">
        <v>979</v>
      </c>
      <c r="K483" s="1" t="s">
        <v>61</v>
      </c>
      <c r="L483" s="1" t="s">
        <v>49</v>
      </c>
      <c r="M483" s="14">
        <v>1</v>
      </c>
      <c r="N483" s="2">
        <v>15.84</v>
      </c>
      <c r="O483" s="16">
        <v>25</v>
      </c>
      <c r="P483" s="14">
        <v>1</v>
      </c>
      <c r="Q483" s="14">
        <f t="shared" si="7"/>
        <v>24</v>
      </c>
      <c r="R483" s="1">
        <v>9</v>
      </c>
      <c r="S483" s="1">
        <v>200010021345</v>
      </c>
      <c r="T483" s="1">
        <v>50</v>
      </c>
      <c r="U483" s="1">
        <v>1</v>
      </c>
      <c r="V483" s="1">
        <v>1</v>
      </c>
    </row>
    <row r="484" spans="1:22" x14ac:dyDescent="0.25">
      <c r="A484" s="3">
        <v>44777</v>
      </c>
      <c r="B484" s="4">
        <v>0.67237268518518523</v>
      </c>
      <c r="C484" s="1">
        <v>1743</v>
      </c>
      <c r="D484" s="1">
        <v>13002606</v>
      </c>
      <c r="E484" s="1">
        <v>13</v>
      </c>
      <c r="F484" s="1">
        <v>22589</v>
      </c>
      <c r="G484" s="1" t="s">
        <v>21</v>
      </c>
      <c r="H484" s="1">
        <v>18</v>
      </c>
      <c r="I484" s="1">
        <v>440757</v>
      </c>
      <c r="J484" s="14" t="s">
        <v>979</v>
      </c>
      <c r="K484" s="1" t="s">
        <v>61</v>
      </c>
      <c r="L484" s="1" t="s">
        <v>49</v>
      </c>
      <c r="M484" s="14">
        <v>1</v>
      </c>
      <c r="N484" s="2">
        <v>15.84</v>
      </c>
      <c r="O484" s="16">
        <v>25</v>
      </c>
      <c r="P484" s="14">
        <v>1</v>
      </c>
      <c r="Q484" s="14">
        <f t="shared" si="7"/>
        <v>24</v>
      </c>
      <c r="R484" s="1">
        <v>9</v>
      </c>
      <c r="S484" s="1">
        <v>200010021345</v>
      </c>
      <c r="T484" s="1">
        <v>50</v>
      </c>
      <c r="U484" s="1">
        <v>1</v>
      </c>
      <c r="V484" s="1">
        <v>2</v>
      </c>
    </row>
    <row r="485" spans="1:22" x14ac:dyDescent="0.25">
      <c r="A485" s="3">
        <v>44778</v>
      </c>
      <c r="B485" s="4">
        <v>0.48424768518518518</v>
      </c>
      <c r="C485" s="1">
        <v>1822</v>
      </c>
      <c r="D485" s="1">
        <v>13002616</v>
      </c>
      <c r="E485" s="1">
        <v>13</v>
      </c>
      <c r="F485" s="1">
        <v>22589</v>
      </c>
      <c r="G485" s="1" t="s">
        <v>21</v>
      </c>
      <c r="H485" s="1">
        <v>15</v>
      </c>
      <c r="I485" s="1">
        <v>440757</v>
      </c>
      <c r="J485" s="14" t="s">
        <v>979</v>
      </c>
      <c r="K485" s="1" t="s">
        <v>61</v>
      </c>
      <c r="L485" s="1" t="s">
        <v>49</v>
      </c>
      <c r="M485" s="14">
        <v>1</v>
      </c>
      <c r="N485" s="2">
        <v>15.84</v>
      </c>
      <c r="O485" s="16">
        <v>25</v>
      </c>
      <c r="P485" s="14">
        <v>1</v>
      </c>
      <c r="Q485" s="14">
        <f t="shared" si="7"/>
        <v>24</v>
      </c>
      <c r="R485" s="1">
        <v>9</v>
      </c>
      <c r="S485" s="1">
        <v>200010023007</v>
      </c>
      <c r="T485" s="1">
        <v>50</v>
      </c>
      <c r="U485" s="1">
        <v>1</v>
      </c>
      <c r="V485" s="1">
        <v>1</v>
      </c>
    </row>
    <row r="486" spans="1:22" x14ac:dyDescent="0.25">
      <c r="A486" s="3">
        <v>44778</v>
      </c>
      <c r="B486" s="4">
        <v>0.48424768518518518</v>
      </c>
      <c r="C486" s="1">
        <v>1822</v>
      </c>
      <c r="D486" s="1">
        <v>13002616</v>
      </c>
      <c r="E486" s="1">
        <v>13</v>
      </c>
      <c r="F486" s="1">
        <v>22589</v>
      </c>
      <c r="G486" s="1" t="s">
        <v>21</v>
      </c>
      <c r="H486" s="1">
        <v>15</v>
      </c>
      <c r="I486" s="1">
        <v>440757</v>
      </c>
      <c r="J486" s="14" t="s">
        <v>979</v>
      </c>
      <c r="K486" s="1" t="s">
        <v>61</v>
      </c>
      <c r="L486" s="1" t="s">
        <v>49</v>
      </c>
      <c r="M486" s="14">
        <v>1</v>
      </c>
      <c r="N486" s="2">
        <v>15.84</v>
      </c>
      <c r="O486" s="16">
        <v>25</v>
      </c>
      <c r="P486" s="14">
        <v>1</v>
      </c>
      <c r="Q486" s="14">
        <f t="shared" si="7"/>
        <v>24</v>
      </c>
      <c r="R486" s="1">
        <v>9</v>
      </c>
      <c r="S486" s="1">
        <v>200010023007</v>
      </c>
      <c r="T486" s="1">
        <v>50</v>
      </c>
      <c r="U486" s="1">
        <v>1</v>
      </c>
      <c r="V486" s="1">
        <v>2</v>
      </c>
    </row>
    <row r="487" spans="1:22" x14ac:dyDescent="0.25">
      <c r="A487" s="3">
        <v>44774</v>
      </c>
      <c r="B487" s="4">
        <v>0.44861111111111113</v>
      </c>
      <c r="C487" s="1">
        <v>1297</v>
      </c>
      <c r="D487" s="1">
        <v>13002561</v>
      </c>
      <c r="E487" s="1">
        <v>13</v>
      </c>
      <c r="F487" s="1">
        <v>22589</v>
      </c>
      <c r="G487" s="1" t="s">
        <v>21</v>
      </c>
      <c r="H487" s="1">
        <v>15</v>
      </c>
      <c r="I487" s="1">
        <v>292820</v>
      </c>
      <c r="J487" s="14" t="s">
        <v>140</v>
      </c>
      <c r="K487" s="1" t="s">
        <v>141</v>
      </c>
      <c r="L487" s="1" t="s">
        <v>142</v>
      </c>
      <c r="M487" s="14">
        <v>1</v>
      </c>
      <c r="N487" s="2">
        <v>23.04</v>
      </c>
      <c r="O487" s="16">
        <v>38</v>
      </c>
      <c r="P487" s="14">
        <v>0</v>
      </c>
      <c r="Q487" s="14">
        <f t="shared" si="7"/>
        <v>38</v>
      </c>
      <c r="R487" s="1" t="s">
        <v>25</v>
      </c>
      <c r="S487" s="1" t="s">
        <v>25</v>
      </c>
      <c r="T487" s="1">
        <v>29</v>
      </c>
      <c r="U487" s="1">
        <v>1</v>
      </c>
      <c r="V487" s="1">
        <v>2</v>
      </c>
    </row>
    <row r="488" spans="1:22" x14ac:dyDescent="0.25">
      <c r="A488" s="3">
        <v>44775</v>
      </c>
      <c r="B488" s="4">
        <v>0.50753472222222218</v>
      </c>
      <c r="C488" s="1">
        <v>1457</v>
      </c>
      <c r="D488" s="1">
        <v>13002581</v>
      </c>
      <c r="E488" s="1">
        <v>13</v>
      </c>
      <c r="F488" s="1">
        <v>22589</v>
      </c>
      <c r="G488" s="1" t="s">
        <v>21</v>
      </c>
      <c r="H488" s="1">
        <v>15</v>
      </c>
      <c r="I488" s="1">
        <v>292820</v>
      </c>
      <c r="J488" s="14" t="s">
        <v>140</v>
      </c>
      <c r="K488" s="1" t="s">
        <v>141</v>
      </c>
      <c r="L488" s="1" t="s">
        <v>142</v>
      </c>
      <c r="M488" s="14">
        <v>1</v>
      </c>
      <c r="N488" s="2">
        <v>23.04</v>
      </c>
      <c r="O488" s="16">
        <v>38</v>
      </c>
      <c r="P488" s="14">
        <v>0</v>
      </c>
      <c r="Q488" s="14">
        <f t="shared" si="7"/>
        <v>38</v>
      </c>
      <c r="R488" s="1" t="s">
        <v>25</v>
      </c>
      <c r="S488" s="1" t="s">
        <v>25</v>
      </c>
      <c r="T488" s="1">
        <v>29</v>
      </c>
      <c r="U488" s="1">
        <v>1</v>
      </c>
      <c r="V488" s="1">
        <v>4</v>
      </c>
    </row>
    <row r="489" spans="1:22" x14ac:dyDescent="0.25">
      <c r="A489" s="3">
        <v>44778</v>
      </c>
      <c r="B489" s="4">
        <v>0.63206018518518514</v>
      </c>
      <c r="C489" s="1">
        <v>1862</v>
      </c>
      <c r="D489" s="1">
        <v>13002616</v>
      </c>
      <c r="E489" s="1">
        <v>13</v>
      </c>
      <c r="F489" s="1">
        <v>22589</v>
      </c>
      <c r="G489" s="1" t="s">
        <v>21</v>
      </c>
      <c r="H489" s="1">
        <v>18</v>
      </c>
      <c r="I489" s="1">
        <v>11519</v>
      </c>
      <c r="J489" s="14" t="s">
        <v>1185</v>
      </c>
      <c r="K489" s="1" t="s">
        <v>23</v>
      </c>
      <c r="L489" s="1" t="s">
        <v>363</v>
      </c>
      <c r="M489" s="14">
        <v>1</v>
      </c>
      <c r="N489" s="2">
        <v>157.26</v>
      </c>
      <c r="O489" s="16">
        <v>188</v>
      </c>
      <c r="P489" s="14">
        <v>18</v>
      </c>
      <c r="Q489" s="14">
        <f t="shared" si="7"/>
        <v>170</v>
      </c>
      <c r="R489" s="1">
        <v>27</v>
      </c>
      <c r="S489" s="1">
        <v>200010000015</v>
      </c>
      <c r="T489" s="1">
        <v>50</v>
      </c>
      <c r="U489" s="1">
        <v>1</v>
      </c>
      <c r="V489" s="1">
        <v>2</v>
      </c>
    </row>
    <row r="490" spans="1:22" x14ac:dyDescent="0.25">
      <c r="A490" s="3">
        <v>44778</v>
      </c>
      <c r="B490" s="4">
        <v>0.78437500000000004</v>
      </c>
      <c r="C490" s="1">
        <v>1894</v>
      </c>
      <c r="D490" s="1">
        <v>13002616</v>
      </c>
      <c r="E490" s="1">
        <v>13</v>
      </c>
      <c r="F490" s="1">
        <v>22589</v>
      </c>
      <c r="G490" s="1" t="s">
        <v>21</v>
      </c>
      <c r="H490" s="1">
        <v>15</v>
      </c>
      <c r="I490" s="1">
        <v>11519</v>
      </c>
      <c r="J490" s="14" t="s">
        <v>1185</v>
      </c>
      <c r="K490" s="1" t="s">
        <v>23</v>
      </c>
      <c r="L490" s="1" t="s">
        <v>363</v>
      </c>
      <c r="M490" s="14">
        <v>1</v>
      </c>
      <c r="N490" s="2">
        <v>157.26</v>
      </c>
      <c r="O490" s="16">
        <v>188</v>
      </c>
      <c r="P490" s="14">
        <v>9</v>
      </c>
      <c r="Q490" s="14">
        <f t="shared" si="7"/>
        <v>179</v>
      </c>
      <c r="R490" s="1">
        <v>9</v>
      </c>
      <c r="S490" s="1">
        <v>200010015864</v>
      </c>
      <c r="T490" s="1">
        <v>50</v>
      </c>
      <c r="U490" s="1">
        <v>1</v>
      </c>
      <c r="V490" s="1">
        <v>2</v>
      </c>
    </row>
    <row r="491" spans="1:22" x14ac:dyDescent="0.25">
      <c r="A491" s="3">
        <v>44776</v>
      </c>
      <c r="B491" s="4">
        <v>0.49951388888888887</v>
      </c>
      <c r="C491" s="1">
        <v>1573</v>
      </c>
      <c r="D491" s="1">
        <v>13002595</v>
      </c>
      <c r="E491" s="1">
        <v>13</v>
      </c>
      <c r="F491" s="1">
        <v>22589</v>
      </c>
      <c r="G491" s="1" t="s">
        <v>21</v>
      </c>
      <c r="H491" s="1">
        <v>18</v>
      </c>
      <c r="I491" s="1">
        <v>25160</v>
      </c>
      <c r="J491" s="14" t="s">
        <v>778</v>
      </c>
      <c r="K491" s="1" t="s">
        <v>29</v>
      </c>
      <c r="L491" s="1" t="s">
        <v>779</v>
      </c>
      <c r="M491" s="14">
        <v>1</v>
      </c>
      <c r="N491" s="2">
        <v>1005.41</v>
      </c>
      <c r="O491" s="16">
        <v>1257</v>
      </c>
      <c r="P491" s="14">
        <v>87</v>
      </c>
      <c r="Q491" s="14">
        <f t="shared" si="7"/>
        <v>1170</v>
      </c>
      <c r="R491" s="1">
        <v>9</v>
      </c>
      <c r="S491" s="1">
        <v>200010000795</v>
      </c>
      <c r="T491" s="1">
        <v>29</v>
      </c>
      <c r="U491" s="1">
        <v>1</v>
      </c>
      <c r="V491" s="1">
        <v>1</v>
      </c>
    </row>
    <row r="492" spans="1:22" x14ac:dyDescent="0.25">
      <c r="A492" s="3">
        <v>44774</v>
      </c>
      <c r="B492" s="4">
        <v>0.41401620370370368</v>
      </c>
      <c r="C492" s="1">
        <v>1283</v>
      </c>
      <c r="D492" s="1">
        <v>13002561</v>
      </c>
      <c r="E492" s="1">
        <v>13</v>
      </c>
      <c r="F492" s="1">
        <v>22589</v>
      </c>
      <c r="G492" s="1" t="s">
        <v>21</v>
      </c>
      <c r="H492" s="1">
        <v>15</v>
      </c>
      <c r="I492" s="1">
        <v>340968</v>
      </c>
      <c r="J492" s="14" t="s">
        <v>70</v>
      </c>
      <c r="K492" s="1" t="s">
        <v>23</v>
      </c>
      <c r="L492" s="1" t="s">
        <v>43</v>
      </c>
      <c r="M492" s="14">
        <v>1</v>
      </c>
      <c r="N492" s="2">
        <v>403.68</v>
      </c>
      <c r="O492" s="16">
        <v>533</v>
      </c>
      <c r="P492" s="14">
        <v>37</v>
      </c>
      <c r="Q492" s="14">
        <f t="shared" si="7"/>
        <v>496</v>
      </c>
      <c r="R492" s="1">
        <v>9</v>
      </c>
      <c r="S492" s="1">
        <v>200010020913</v>
      </c>
      <c r="T492" s="1">
        <v>29</v>
      </c>
      <c r="U492" s="1">
        <v>1</v>
      </c>
      <c r="V492" s="1">
        <v>1</v>
      </c>
    </row>
    <row r="493" spans="1:22" x14ac:dyDescent="0.25">
      <c r="A493" s="3">
        <v>44775</v>
      </c>
      <c r="B493" s="4">
        <v>0.74587962962962961</v>
      </c>
      <c r="C493" s="1">
        <v>1518</v>
      </c>
      <c r="D493" s="1">
        <v>13002581</v>
      </c>
      <c r="E493" s="1">
        <v>13</v>
      </c>
      <c r="F493" s="1">
        <v>22589</v>
      </c>
      <c r="G493" s="1" t="s">
        <v>21</v>
      </c>
      <c r="H493" s="1">
        <v>15</v>
      </c>
      <c r="I493" s="1">
        <v>374143</v>
      </c>
      <c r="J493" s="14" t="s">
        <v>669</v>
      </c>
      <c r="K493" s="1" t="s">
        <v>466</v>
      </c>
      <c r="L493" s="1" t="s">
        <v>248</v>
      </c>
      <c r="M493" s="14">
        <v>1</v>
      </c>
      <c r="N493" s="2">
        <v>102.08</v>
      </c>
      <c r="O493" s="16">
        <v>122</v>
      </c>
      <c r="P493" s="14">
        <v>0</v>
      </c>
      <c r="Q493" s="14">
        <f t="shared" si="7"/>
        <v>122</v>
      </c>
      <c r="R493" s="1" t="s">
        <v>25</v>
      </c>
      <c r="S493" s="1" t="s">
        <v>25</v>
      </c>
      <c r="T493" s="1">
        <v>29</v>
      </c>
      <c r="U493" s="1">
        <v>2</v>
      </c>
      <c r="V493" s="1">
        <v>9</v>
      </c>
    </row>
    <row r="494" spans="1:22" x14ac:dyDescent="0.25">
      <c r="A494" s="3">
        <v>44778</v>
      </c>
      <c r="B494" s="4">
        <v>0.64960648148148148</v>
      </c>
      <c r="C494" s="1">
        <v>1866</v>
      </c>
      <c r="D494" s="1">
        <v>13002616</v>
      </c>
      <c r="E494" s="1">
        <v>13</v>
      </c>
      <c r="F494" s="1">
        <v>22589</v>
      </c>
      <c r="G494" s="1" t="s">
        <v>21</v>
      </c>
      <c r="H494" s="1">
        <v>18</v>
      </c>
      <c r="I494" s="1">
        <v>438081</v>
      </c>
      <c r="J494" s="14" t="s">
        <v>1188</v>
      </c>
      <c r="K494" s="1" t="s">
        <v>34</v>
      </c>
      <c r="L494" s="1" t="s">
        <v>76</v>
      </c>
      <c r="M494" s="14">
        <v>1</v>
      </c>
      <c r="N494" s="2">
        <v>122.4</v>
      </c>
      <c r="O494" s="16">
        <v>137</v>
      </c>
      <c r="P494" s="14">
        <v>0</v>
      </c>
      <c r="Q494" s="14">
        <f t="shared" si="7"/>
        <v>137</v>
      </c>
      <c r="R494" s="1" t="s">
        <v>25</v>
      </c>
      <c r="S494" s="1" t="s">
        <v>25</v>
      </c>
      <c r="T494" s="1">
        <v>50</v>
      </c>
      <c r="U494" s="1">
        <v>2</v>
      </c>
      <c r="V494" s="1">
        <v>1</v>
      </c>
    </row>
    <row r="495" spans="1:22" x14ac:dyDescent="0.25">
      <c r="A495" s="3">
        <v>44778</v>
      </c>
      <c r="B495" s="4">
        <v>0.64960648148148148</v>
      </c>
      <c r="C495" s="1">
        <v>1866</v>
      </c>
      <c r="D495" s="1">
        <v>13002616</v>
      </c>
      <c r="E495" s="1">
        <v>13</v>
      </c>
      <c r="F495" s="1">
        <v>22589</v>
      </c>
      <c r="G495" s="1" t="s">
        <v>21</v>
      </c>
      <c r="H495" s="1">
        <v>18</v>
      </c>
      <c r="I495" s="1">
        <v>438081</v>
      </c>
      <c r="J495" s="14" t="s">
        <v>1188</v>
      </c>
      <c r="K495" s="1" t="s">
        <v>34</v>
      </c>
      <c r="L495" s="1" t="s">
        <v>76</v>
      </c>
      <c r="M495" s="14">
        <v>1</v>
      </c>
      <c r="N495" s="2">
        <v>122.4</v>
      </c>
      <c r="O495" s="16">
        <v>137</v>
      </c>
      <c r="P495" s="14">
        <v>0</v>
      </c>
      <c r="Q495" s="14">
        <f t="shared" si="7"/>
        <v>137</v>
      </c>
      <c r="R495" s="1" t="s">
        <v>25</v>
      </c>
      <c r="S495" s="1" t="s">
        <v>25</v>
      </c>
      <c r="T495" s="1">
        <v>50</v>
      </c>
      <c r="U495" s="1">
        <v>2</v>
      </c>
      <c r="V495" s="1">
        <v>2</v>
      </c>
    </row>
    <row r="496" spans="1:22" x14ac:dyDescent="0.25">
      <c r="A496" s="3">
        <v>44774</v>
      </c>
      <c r="B496" s="4">
        <v>0.69748842592592597</v>
      </c>
      <c r="C496" s="1">
        <v>1379</v>
      </c>
      <c r="D496" s="1">
        <v>13002561</v>
      </c>
      <c r="E496" s="1">
        <v>13</v>
      </c>
      <c r="F496" s="1">
        <v>22589</v>
      </c>
      <c r="G496" s="1" t="s">
        <v>21</v>
      </c>
      <c r="H496" s="1">
        <v>18</v>
      </c>
      <c r="I496" s="1">
        <v>440357</v>
      </c>
      <c r="J496" s="14" t="s">
        <v>381</v>
      </c>
      <c r="K496" s="1" t="s">
        <v>51</v>
      </c>
      <c r="L496" s="1" t="s">
        <v>238</v>
      </c>
      <c r="M496" s="14">
        <v>1</v>
      </c>
      <c r="N496" s="2">
        <v>25.79</v>
      </c>
      <c r="O496" s="16">
        <v>40</v>
      </c>
      <c r="P496" s="14">
        <v>2</v>
      </c>
      <c r="Q496" s="14">
        <f t="shared" si="7"/>
        <v>38</v>
      </c>
      <c r="R496" s="1">
        <v>9</v>
      </c>
      <c r="S496" s="1">
        <v>200010026815</v>
      </c>
      <c r="T496" s="1">
        <v>29</v>
      </c>
      <c r="U496" s="1">
        <v>1</v>
      </c>
      <c r="V496" s="1">
        <v>5</v>
      </c>
    </row>
    <row r="497" spans="1:22" x14ac:dyDescent="0.25">
      <c r="A497" s="3">
        <v>44774</v>
      </c>
      <c r="B497" s="4">
        <v>0.69748842592592597</v>
      </c>
      <c r="C497" s="1">
        <v>1379</v>
      </c>
      <c r="D497" s="1">
        <v>13002561</v>
      </c>
      <c r="E497" s="1">
        <v>13</v>
      </c>
      <c r="F497" s="1">
        <v>22589</v>
      </c>
      <c r="G497" s="1" t="s">
        <v>21</v>
      </c>
      <c r="H497" s="1">
        <v>18</v>
      </c>
      <c r="I497" s="1">
        <v>440357</v>
      </c>
      <c r="J497" s="14" t="s">
        <v>381</v>
      </c>
      <c r="K497" s="1" t="s">
        <v>51</v>
      </c>
      <c r="L497" s="1" t="s">
        <v>238</v>
      </c>
      <c r="M497" s="14">
        <v>1</v>
      </c>
      <c r="N497" s="2">
        <v>25.79</v>
      </c>
      <c r="O497" s="16">
        <v>40</v>
      </c>
      <c r="P497" s="14">
        <v>2</v>
      </c>
      <c r="Q497" s="14">
        <f t="shared" si="7"/>
        <v>38</v>
      </c>
      <c r="R497" s="1">
        <v>9</v>
      </c>
      <c r="S497" s="1">
        <v>200010026815</v>
      </c>
      <c r="T497" s="1">
        <v>29</v>
      </c>
      <c r="U497" s="1">
        <v>1</v>
      </c>
      <c r="V497" s="1">
        <v>6</v>
      </c>
    </row>
    <row r="498" spans="1:22" x14ac:dyDescent="0.25">
      <c r="A498" s="3">
        <v>44774</v>
      </c>
      <c r="B498" s="4">
        <v>0.70020833333333332</v>
      </c>
      <c r="C498" s="1">
        <v>1380</v>
      </c>
      <c r="D498" s="1">
        <v>13002561</v>
      </c>
      <c r="E498" s="1">
        <v>13</v>
      </c>
      <c r="F498" s="1">
        <v>22589</v>
      </c>
      <c r="G498" s="1" t="s">
        <v>21</v>
      </c>
      <c r="H498" s="1">
        <v>18</v>
      </c>
      <c r="I498" s="1">
        <v>565192</v>
      </c>
      <c r="J498" s="14" t="s">
        <v>387</v>
      </c>
      <c r="K498" s="1" t="s">
        <v>34</v>
      </c>
      <c r="L498" s="1" t="s">
        <v>388</v>
      </c>
      <c r="M498" s="14">
        <v>1</v>
      </c>
      <c r="N498" s="2">
        <v>1217.1500000000001</v>
      </c>
      <c r="O498" s="16">
        <v>1522</v>
      </c>
      <c r="P498" s="14">
        <v>106</v>
      </c>
      <c r="Q498" s="14">
        <f t="shared" si="7"/>
        <v>1416</v>
      </c>
      <c r="R498" s="1">
        <v>9</v>
      </c>
      <c r="S498" s="1">
        <v>200010013152</v>
      </c>
      <c r="T498" s="1">
        <v>29</v>
      </c>
      <c r="U498" s="1">
        <v>1</v>
      </c>
      <c r="V498" s="1">
        <v>2</v>
      </c>
    </row>
    <row r="499" spans="1:22" x14ac:dyDescent="0.25">
      <c r="A499" s="3">
        <v>44776</v>
      </c>
      <c r="B499" s="4">
        <v>0.61141203703703706</v>
      </c>
      <c r="C499" s="1">
        <v>1611</v>
      </c>
      <c r="D499" s="1">
        <v>13002595</v>
      </c>
      <c r="E499" s="1">
        <v>13</v>
      </c>
      <c r="F499" s="1">
        <v>22589</v>
      </c>
      <c r="G499" s="1" t="s">
        <v>21</v>
      </c>
      <c r="H499" s="1">
        <v>18</v>
      </c>
      <c r="I499" s="1">
        <v>16026</v>
      </c>
      <c r="J499" s="14" t="s">
        <v>857</v>
      </c>
      <c r="K499" s="1" t="s">
        <v>34</v>
      </c>
      <c r="L499" s="1" t="s">
        <v>388</v>
      </c>
      <c r="M499" s="14">
        <v>1</v>
      </c>
      <c r="N499" s="2">
        <v>555.70000000000005</v>
      </c>
      <c r="O499" s="16">
        <v>640</v>
      </c>
      <c r="P499" s="14">
        <v>44</v>
      </c>
      <c r="Q499" s="14">
        <f t="shared" si="7"/>
        <v>596</v>
      </c>
      <c r="R499" s="1">
        <v>9</v>
      </c>
      <c r="S499" s="1">
        <v>200010026815</v>
      </c>
      <c r="T499" s="1">
        <v>29</v>
      </c>
      <c r="U499" s="1">
        <v>1</v>
      </c>
      <c r="V499" s="1">
        <v>1</v>
      </c>
    </row>
    <row r="500" spans="1:22" x14ac:dyDescent="0.25">
      <c r="A500" s="3">
        <v>44778</v>
      </c>
      <c r="B500" s="4">
        <v>0.68890046296296292</v>
      </c>
      <c r="C500" s="1">
        <v>1875</v>
      </c>
      <c r="D500" s="1">
        <v>13002616</v>
      </c>
      <c r="E500" s="1">
        <v>13</v>
      </c>
      <c r="F500" s="1">
        <v>22589</v>
      </c>
      <c r="G500" s="1" t="s">
        <v>21</v>
      </c>
      <c r="H500" s="1">
        <v>15</v>
      </c>
      <c r="I500" s="1">
        <v>16026</v>
      </c>
      <c r="J500" s="14" t="s">
        <v>857</v>
      </c>
      <c r="K500" s="1" t="s">
        <v>34</v>
      </c>
      <c r="L500" s="1" t="s">
        <v>388</v>
      </c>
      <c r="M500" s="14">
        <v>1</v>
      </c>
      <c r="N500" s="2">
        <v>555.70000000000005</v>
      </c>
      <c r="O500" s="16">
        <v>640</v>
      </c>
      <c r="P500" s="14">
        <v>44</v>
      </c>
      <c r="Q500" s="14">
        <f t="shared" si="7"/>
        <v>596</v>
      </c>
      <c r="R500" s="1">
        <v>9</v>
      </c>
      <c r="S500" s="1">
        <v>200010003394</v>
      </c>
      <c r="T500" s="1">
        <v>50</v>
      </c>
      <c r="U500" s="1">
        <v>1</v>
      </c>
      <c r="V500" s="1">
        <v>1</v>
      </c>
    </row>
    <row r="501" spans="1:22" x14ac:dyDescent="0.25">
      <c r="A501" s="3">
        <v>44776</v>
      </c>
      <c r="B501" s="4">
        <v>0.72297453703703707</v>
      </c>
      <c r="C501" s="1">
        <v>1632</v>
      </c>
      <c r="D501" s="1">
        <v>13002595</v>
      </c>
      <c r="E501" s="1">
        <v>13</v>
      </c>
      <c r="F501" s="1">
        <v>22589</v>
      </c>
      <c r="G501" s="1" t="s">
        <v>21</v>
      </c>
      <c r="H501" s="1">
        <v>15</v>
      </c>
      <c r="I501" s="1">
        <v>15310</v>
      </c>
      <c r="J501" s="14" t="s">
        <v>889</v>
      </c>
      <c r="K501" s="1" t="s">
        <v>34</v>
      </c>
      <c r="L501" s="1" t="s">
        <v>890</v>
      </c>
      <c r="M501" s="14">
        <v>1</v>
      </c>
      <c r="N501" s="2">
        <v>580.17999999999995</v>
      </c>
      <c r="O501" s="16">
        <v>824</v>
      </c>
      <c r="P501" s="14">
        <v>82</v>
      </c>
      <c r="Q501" s="14">
        <f t="shared" si="7"/>
        <v>742</v>
      </c>
      <c r="R501" s="1">
        <v>9</v>
      </c>
      <c r="S501" s="1">
        <v>200010001144</v>
      </c>
      <c r="T501" s="1">
        <v>29</v>
      </c>
      <c r="U501" s="1">
        <v>1</v>
      </c>
      <c r="V501" s="1">
        <v>1</v>
      </c>
    </row>
    <row r="502" spans="1:22" x14ac:dyDescent="0.25">
      <c r="A502" s="3">
        <v>44776</v>
      </c>
      <c r="B502" s="4">
        <v>0.50604166666666661</v>
      </c>
      <c r="C502" s="1">
        <v>1575</v>
      </c>
      <c r="D502" s="1">
        <v>13002595</v>
      </c>
      <c r="E502" s="1">
        <v>13</v>
      </c>
      <c r="F502" s="1">
        <v>22589</v>
      </c>
      <c r="G502" s="1" t="s">
        <v>21</v>
      </c>
      <c r="H502" s="1">
        <v>18</v>
      </c>
      <c r="I502" s="1">
        <v>3770</v>
      </c>
      <c r="J502" s="14" t="s">
        <v>782</v>
      </c>
      <c r="K502" s="1" t="s">
        <v>466</v>
      </c>
      <c r="L502" s="1" t="s">
        <v>255</v>
      </c>
      <c r="M502" s="14">
        <v>1</v>
      </c>
      <c r="N502" s="2">
        <v>167.09</v>
      </c>
      <c r="O502" s="16">
        <v>175</v>
      </c>
      <c r="P502" s="14">
        <v>0</v>
      </c>
      <c r="Q502" s="14">
        <f t="shared" si="7"/>
        <v>175</v>
      </c>
      <c r="R502" s="1" t="s">
        <v>25</v>
      </c>
      <c r="S502" s="1" t="s">
        <v>25</v>
      </c>
      <c r="T502" s="1">
        <v>29</v>
      </c>
      <c r="U502" s="1">
        <v>2</v>
      </c>
      <c r="V502" s="1">
        <v>9</v>
      </c>
    </row>
    <row r="503" spans="1:22" x14ac:dyDescent="0.25">
      <c r="A503" s="3">
        <v>44776</v>
      </c>
      <c r="B503" s="4">
        <v>0.61141203703703706</v>
      </c>
      <c r="C503" s="1">
        <v>1611</v>
      </c>
      <c r="D503" s="1">
        <v>13002595</v>
      </c>
      <c r="E503" s="1">
        <v>13</v>
      </c>
      <c r="F503" s="1">
        <v>22589</v>
      </c>
      <c r="G503" s="1" t="s">
        <v>21</v>
      </c>
      <c r="H503" s="1">
        <v>18</v>
      </c>
      <c r="I503" s="1">
        <v>3770</v>
      </c>
      <c r="J503" s="14" t="s">
        <v>782</v>
      </c>
      <c r="K503" s="1" t="s">
        <v>23</v>
      </c>
      <c r="L503" s="1" t="s">
        <v>255</v>
      </c>
      <c r="M503" s="14">
        <v>1</v>
      </c>
      <c r="N503" s="2">
        <v>148.46</v>
      </c>
      <c r="O503" s="16">
        <v>180</v>
      </c>
      <c r="P503" s="14">
        <v>9</v>
      </c>
      <c r="Q503" s="14">
        <f t="shared" si="7"/>
        <v>171</v>
      </c>
      <c r="R503" s="1">
        <v>9</v>
      </c>
      <c r="S503" s="1">
        <v>200010026815</v>
      </c>
      <c r="T503" s="1">
        <v>29</v>
      </c>
      <c r="U503" s="1">
        <v>1</v>
      </c>
      <c r="V503" s="1">
        <v>2</v>
      </c>
    </row>
    <row r="504" spans="1:22" x14ac:dyDescent="0.25">
      <c r="A504" s="3">
        <v>44777</v>
      </c>
      <c r="B504" s="4">
        <v>0.51216435185185183</v>
      </c>
      <c r="C504" s="1">
        <v>1696</v>
      </c>
      <c r="D504" s="1">
        <v>13002606</v>
      </c>
      <c r="E504" s="1">
        <v>13</v>
      </c>
      <c r="F504" s="1">
        <v>22589</v>
      </c>
      <c r="G504" s="1" t="s">
        <v>21</v>
      </c>
      <c r="H504" s="1">
        <v>15</v>
      </c>
      <c r="I504" s="1">
        <v>295405</v>
      </c>
      <c r="J504" s="14" t="s">
        <v>975</v>
      </c>
      <c r="K504" s="1" t="s">
        <v>23</v>
      </c>
      <c r="L504" s="1" t="s">
        <v>248</v>
      </c>
      <c r="M504" s="14">
        <v>1</v>
      </c>
      <c r="N504" s="2">
        <v>35.39</v>
      </c>
      <c r="O504" s="16">
        <v>44</v>
      </c>
      <c r="P504" s="14">
        <v>2</v>
      </c>
      <c r="Q504" s="14">
        <f t="shared" si="7"/>
        <v>42</v>
      </c>
      <c r="R504" s="1">
        <v>9</v>
      </c>
      <c r="S504" s="1">
        <v>200010021056</v>
      </c>
      <c r="T504" s="1">
        <v>50</v>
      </c>
      <c r="U504" s="1">
        <v>1</v>
      </c>
      <c r="V504" s="1">
        <v>1</v>
      </c>
    </row>
    <row r="505" spans="1:22" x14ac:dyDescent="0.25">
      <c r="A505" s="3">
        <v>44777</v>
      </c>
      <c r="B505" s="4">
        <v>0.5130555555555556</v>
      </c>
      <c r="C505" s="1">
        <v>1697</v>
      </c>
      <c r="D505" s="1">
        <v>13002606</v>
      </c>
      <c r="E505" s="1">
        <v>13</v>
      </c>
      <c r="F505" s="1">
        <v>22589</v>
      </c>
      <c r="G505" s="1" t="s">
        <v>21</v>
      </c>
      <c r="H505" s="1">
        <v>15</v>
      </c>
      <c r="I505" s="1">
        <v>295405</v>
      </c>
      <c r="J505" s="14" t="s">
        <v>975</v>
      </c>
      <c r="K505" s="1" t="s">
        <v>23</v>
      </c>
      <c r="L505" s="1" t="s">
        <v>248</v>
      </c>
      <c r="M505" s="14">
        <v>1</v>
      </c>
      <c r="N505" s="2">
        <v>35.39</v>
      </c>
      <c r="O505" s="16">
        <v>44</v>
      </c>
      <c r="P505" s="14">
        <v>0</v>
      </c>
      <c r="Q505" s="14">
        <f t="shared" si="7"/>
        <v>44</v>
      </c>
      <c r="R505" s="1" t="s">
        <v>25</v>
      </c>
      <c r="S505" s="1" t="s">
        <v>25</v>
      </c>
      <c r="T505" s="1">
        <v>50</v>
      </c>
      <c r="U505" s="1">
        <v>1</v>
      </c>
      <c r="V505" s="1">
        <v>1</v>
      </c>
    </row>
    <row r="506" spans="1:22" x14ac:dyDescent="0.25">
      <c r="A506" s="3">
        <v>44774</v>
      </c>
      <c r="B506" s="4">
        <v>0.49626157407407406</v>
      </c>
      <c r="C506" s="1">
        <v>1315</v>
      </c>
      <c r="D506" s="1">
        <v>13002561</v>
      </c>
      <c r="E506" s="1">
        <v>13</v>
      </c>
      <c r="F506" s="1">
        <v>22589</v>
      </c>
      <c r="G506" s="1" t="s">
        <v>21</v>
      </c>
      <c r="H506" s="1">
        <v>15</v>
      </c>
      <c r="I506" s="1">
        <v>339175</v>
      </c>
      <c r="J506" s="14" t="s">
        <v>201</v>
      </c>
      <c r="K506" s="1" t="s">
        <v>34</v>
      </c>
      <c r="L506" s="1" t="s">
        <v>202</v>
      </c>
      <c r="M506" s="14">
        <v>1</v>
      </c>
      <c r="N506" s="2">
        <v>111.67</v>
      </c>
      <c r="O506" s="16">
        <v>134</v>
      </c>
      <c r="P506" s="14">
        <v>6</v>
      </c>
      <c r="Q506" s="14">
        <f t="shared" si="7"/>
        <v>128</v>
      </c>
      <c r="R506" s="1">
        <v>9</v>
      </c>
      <c r="S506" s="1">
        <v>200010013159</v>
      </c>
      <c r="T506" s="1">
        <v>29</v>
      </c>
      <c r="U506" s="1">
        <v>1</v>
      </c>
      <c r="V506" s="1">
        <v>2</v>
      </c>
    </row>
    <row r="507" spans="1:22" x14ac:dyDescent="0.25">
      <c r="A507" s="3">
        <v>44774</v>
      </c>
      <c r="B507" s="4">
        <v>0.49626157407407406</v>
      </c>
      <c r="C507" s="1">
        <v>1315</v>
      </c>
      <c r="D507" s="1">
        <v>13002561</v>
      </c>
      <c r="E507" s="1">
        <v>13</v>
      </c>
      <c r="F507" s="1">
        <v>22589</v>
      </c>
      <c r="G507" s="1" t="s">
        <v>21</v>
      </c>
      <c r="H507" s="1">
        <v>15</v>
      </c>
      <c r="I507" s="1">
        <v>339175</v>
      </c>
      <c r="J507" s="14" t="s">
        <v>201</v>
      </c>
      <c r="K507" s="1" t="s">
        <v>34</v>
      </c>
      <c r="L507" s="1" t="s">
        <v>202</v>
      </c>
      <c r="M507" s="14">
        <v>1</v>
      </c>
      <c r="N507" s="2">
        <v>111.67</v>
      </c>
      <c r="O507" s="16">
        <v>134</v>
      </c>
      <c r="P507" s="14">
        <v>6</v>
      </c>
      <c r="Q507" s="14">
        <f t="shared" si="7"/>
        <v>128</v>
      </c>
      <c r="R507" s="1">
        <v>9</v>
      </c>
      <c r="S507" s="1">
        <v>200010013159</v>
      </c>
      <c r="T507" s="1">
        <v>29</v>
      </c>
      <c r="U507" s="1">
        <v>1</v>
      </c>
      <c r="V507" s="1">
        <v>3</v>
      </c>
    </row>
    <row r="508" spans="1:22" x14ac:dyDescent="0.25">
      <c r="A508" s="3">
        <v>44777</v>
      </c>
      <c r="B508" s="4">
        <v>0.8165162037037037</v>
      </c>
      <c r="C508" s="1">
        <v>1776</v>
      </c>
      <c r="D508" s="1">
        <v>13002606</v>
      </c>
      <c r="E508" s="1">
        <v>13</v>
      </c>
      <c r="F508" s="1">
        <v>22589</v>
      </c>
      <c r="G508" s="1" t="s">
        <v>21</v>
      </c>
      <c r="H508" s="1">
        <v>18</v>
      </c>
      <c r="I508" s="1">
        <v>550192</v>
      </c>
      <c r="J508" s="14" t="s">
        <v>1073</v>
      </c>
      <c r="K508" s="1" t="s">
        <v>34</v>
      </c>
      <c r="L508" s="1" t="s">
        <v>391</v>
      </c>
      <c r="M508" s="14">
        <v>1</v>
      </c>
      <c r="N508" s="2">
        <v>136.80000000000001</v>
      </c>
      <c r="O508" s="16">
        <v>152.96</v>
      </c>
      <c r="P508" s="14">
        <v>0</v>
      </c>
      <c r="Q508" s="14">
        <f t="shared" si="7"/>
        <v>152.96</v>
      </c>
      <c r="R508" s="1" t="s">
        <v>25</v>
      </c>
      <c r="S508" s="1" t="s">
        <v>25</v>
      </c>
      <c r="T508" s="1">
        <v>50</v>
      </c>
      <c r="U508" s="1">
        <v>2</v>
      </c>
      <c r="V508" s="1">
        <v>1</v>
      </c>
    </row>
    <row r="509" spans="1:22" x14ac:dyDescent="0.25">
      <c r="A509" s="3">
        <v>44778</v>
      </c>
      <c r="B509" s="4">
        <v>0.41776620370370371</v>
      </c>
      <c r="C509" s="1">
        <v>1810</v>
      </c>
      <c r="D509" s="1">
        <v>13002616</v>
      </c>
      <c r="E509" s="1">
        <v>13</v>
      </c>
      <c r="F509" s="1">
        <v>22589</v>
      </c>
      <c r="G509" s="1" t="s">
        <v>21</v>
      </c>
      <c r="H509" s="1">
        <v>15</v>
      </c>
      <c r="I509" s="1">
        <v>2982</v>
      </c>
      <c r="J509" s="14" t="s">
        <v>1103</v>
      </c>
      <c r="K509" s="1" t="s">
        <v>34</v>
      </c>
      <c r="L509" s="1" t="s">
        <v>1104</v>
      </c>
      <c r="M509" s="14">
        <v>1</v>
      </c>
      <c r="N509" s="2">
        <v>107.68</v>
      </c>
      <c r="O509" s="16">
        <v>129</v>
      </c>
      <c r="P509" s="14">
        <v>6</v>
      </c>
      <c r="Q509" s="14">
        <f t="shared" si="7"/>
        <v>123</v>
      </c>
      <c r="R509" s="1">
        <v>9</v>
      </c>
      <c r="S509" s="1">
        <v>200010002070</v>
      </c>
      <c r="T509" s="1">
        <v>50</v>
      </c>
      <c r="U509" s="1">
        <v>1</v>
      </c>
      <c r="V509" s="1">
        <v>1</v>
      </c>
    </row>
    <row r="510" spans="1:22" x14ac:dyDescent="0.25">
      <c r="A510" s="3">
        <v>44778</v>
      </c>
      <c r="B510" s="4">
        <v>0.61282407407407402</v>
      </c>
      <c r="C510" s="1">
        <v>1858</v>
      </c>
      <c r="D510" s="1">
        <v>13002616</v>
      </c>
      <c r="E510" s="1">
        <v>13</v>
      </c>
      <c r="F510" s="1">
        <v>22589</v>
      </c>
      <c r="G510" s="1" t="s">
        <v>21</v>
      </c>
      <c r="H510" s="1">
        <v>15</v>
      </c>
      <c r="I510" s="1">
        <v>296788</v>
      </c>
      <c r="J510" s="14" t="s">
        <v>1180</v>
      </c>
      <c r="K510" s="1" t="s">
        <v>29</v>
      </c>
      <c r="L510" s="1" t="s">
        <v>547</v>
      </c>
      <c r="M510" s="14">
        <v>1</v>
      </c>
      <c r="N510" s="2">
        <v>379.73</v>
      </c>
      <c r="O510" s="16">
        <v>502</v>
      </c>
      <c r="P510" s="14">
        <v>35</v>
      </c>
      <c r="Q510" s="14">
        <f t="shared" si="7"/>
        <v>467</v>
      </c>
      <c r="R510" s="1">
        <v>9</v>
      </c>
      <c r="S510" s="1">
        <v>200010009724</v>
      </c>
      <c r="T510" s="1">
        <v>50</v>
      </c>
      <c r="U510" s="1">
        <v>1</v>
      </c>
      <c r="V510" s="1">
        <v>1</v>
      </c>
    </row>
    <row r="511" spans="1:22" x14ac:dyDescent="0.25">
      <c r="A511" s="3">
        <v>44778</v>
      </c>
      <c r="B511" s="4">
        <v>0.49533564814814812</v>
      </c>
      <c r="C511" s="1">
        <v>1827</v>
      </c>
      <c r="D511" s="1">
        <v>13002616</v>
      </c>
      <c r="E511" s="1">
        <v>13</v>
      </c>
      <c r="F511" s="1">
        <v>22589</v>
      </c>
      <c r="G511" s="1" t="s">
        <v>21</v>
      </c>
      <c r="H511" s="1">
        <v>15</v>
      </c>
      <c r="I511" s="1">
        <v>16911</v>
      </c>
      <c r="J511" s="14" t="s">
        <v>1122</v>
      </c>
      <c r="K511" s="1" t="s">
        <v>29</v>
      </c>
      <c r="L511" s="1" t="s">
        <v>43</v>
      </c>
      <c r="M511" s="14">
        <v>1</v>
      </c>
      <c r="N511" s="2">
        <v>246.14</v>
      </c>
      <c r="O511" s="16">
        <v>288</v>
      </c>
      <c r="P511" s="14">
        <v>20</v>
      </c>
      <c r="Q511" s="14">
        <f t="shared" si="7"/>
        <v>268</v>
      </c>
      <c r="R511" s="1">
        <v>9</v>
      </c>
      <c r="S511" s="1">
        <v>200010008406</v>
      </c>
      <c r="T511" s="1">
        <v>50</v>
      </c>
      <c r="U511" s="1">
        <v>1</v>
      </c>
      <c r="V511" s="1">
        <v>1</v>
      </c>
    </row>
    <row r="512" spans="1:22" x14ac:dyDescent="0.25">
      <c r="A512" s="3">
        <v>44774</v>
      </c>
      <c r="B512" s="4">
        <v>0.44861111111111113</v>
      </c>
      <c r="C512" s="1">
        <v>1297</v>
      </c>
      <c r="D512" s="1">
        <v>13002561</v>
      </c>
      <c r="E512" s="1">
        <v>13</v>
      </c>
      <c r="F512" s="1">
        <v>22589</v>
      </c>
      <c r="G512" s="1" t="s">
        <v>21</v>
      </c>
      <c r="H512" s="1">
        <v>15</v>
      </c>
      <c r="I512" s="1">
        <v>1504331</v>
      </c>
      <c r="J512" s="14" t="s">
        <v>143</v>
      </c>
      <c r="K512" s="1" t="s">
        <v>144</v>
      </c>
      <c r="L512" s="1" t="s">
        <v>142</v>
      </c>
      <c r="M512" s="14">
        <v>1</v>
      </c>
      <c r="N512" s="2">
        <v>0.01</v>
      </c>
      <c r="O512" s="16">
        <v>0.01</v>
      </c>
      <c r="P512" s="14">
        <v>0</v>
      </c>
      <c r="Q512" s="14">
        <f t="shared" si="7"/>
        <v>0.01</v>
      </c>
      <c r="R512" s="1" t="s">
        <v>25</v>
      </c>
      <c r="S512" s="1" t="s">
        <v>25</v>
      </c>
      <c r="T512" s="1">
        <v>29</v>
      </c>
      <c r="U512" s="1">
        <v>1</v>
      </c>
      <c r="V512" s="1">
        <v>3</v>
      </c>
    </row>
    <row r="513" spans="1:22" x14ac:dyDescent="0.25">
      <c r="A513" s="3">
        <v>44774</v>
      </c>
      <c r="B513" s="4">
        <v>0.48900462962962965</v>
      </c>
      <c r="C513" s="1">
        <v>1312</v>
      </c>
      <c r="D513" s="1">
        <v>13002561</v>
      </c>
      <c r="E513" s="1">
        <v>13</v>
      </c>
      <c r="F513" s="1">
        <v>22589</v>
      </c>
      <c r="G513" s="1" t="s">
        <v>21</v>
      </c>
      <c r="H513" s="1">
        <v>18</v>
      </c>
      <c r="I513" s="1">
        <v>1504331</v>
      </c>
      <c r="J513" s="14" t="s">
        <v>143</v>
      </c>
      <c r="K513" s="1" t="s">
        <v>144</v>
      </c>
      <c r="L513" s="1" t="s">
        <v>142</v>
      </c>
      <c r="M513" s="14">
        <v>1</v>
      </c>
      <c r="N513" s="2">
        <v>0.01</v>
      </c>
      <c r="O513" s="16">
        <v>0.01</v>
      </c>
      <c r="P513" s="14">
        <v>0</v>
      </c>
      <c r="Q513" s="14">
        <f t="shared" si="7"/>
        <v>0.01</v>
      </c>
      <c r="R513" s="1" t="s">
        <v>25</v>
      </c>
      <c r="S513" s="1" t="s">
        <v>25</v>
      </c>
      <c r="T513" s="1">
        <v>29</v>
      </c>
      <c r="U513" s="1">
        <v>1</v>
      </c>
      <c r="V513" s="1">
        <v>2</v>
      </c>
    </row>
    <row r="514" spans="1:22" x14ac:dyDescent="0.25">
      <c r="A514" s="3">
        <v>44774</v>
      </c>
      <c r="B514" s="4">
        <v>0.7457407407407407</v>
      </c>
      <c r="C514" s="1">
        <v>1394</v>
      </c>
      <c r="D514" s="1">
        <v>13002561</v>
      </c>
      <c r="E514" s="1">
        <v>13</v>
      </c>
      <c r="F514" s="1">
        <v>22589</v>
      </c>
      <c r="G514" s="1" t="s">
        <v>21</v>
      </c>
      <c r="H514" s="1">
        <v>18</v>
      </c>
      <c r="I514" s="1">
        <v>1504331</v>
      </c>
      <c r="J514" s="14" t="s">
        <v>143</v>
      </c>
      <c r="K514" s="1" t="s">
        <v>144</v>
      </c>
      <c r="L514" s="1" t="s">
        <v>142</v>
      </c>
      <c r="M514" s="14">
        <v>1</v>
      </c>
      <c r="N514" s="2">
        <v>0.01</v>
      </c>
      <c r="O514" s="16">
        <v>0.01</v>
      </c>
      <c r="P514" s="14">
        <v>0</v>
      </c>
      <c r="Q514" s="14">
        <f t="shared" ref="Q514:Q577" si="8">M514*O514-P514</f>
        <v>0.01</v>
      </c>
      <c r="R514" s="1" t="s">
        <v>25</v>
      </c>
      <c r="S514" s="1" t="s">
        <v>25</v>
      </c>
      <c r="T514" s="1">
        <v>29</v>
      </c>
      <c r="U514" s="1">
        <v>1</v>
      </c>
      <c r="V514" s="1">
        <v>1</v>
      </c>
    </row>
    <row r="515" spans="1:22" x14ac:dyDescent="0.25">
      <c r="A515" s="3">
        <v>44775</v>
      </c>
      <c r="B515" s="4">
        <v>0.77778935185185183</v>
      </c>
      <c r="C515" s="1">
        <v>1525</v>
      </c>
      <c r="D515" s="1">
        <v>13002581</v>
      </c>
      <c r="E515" s="1">
        <v>13</v>
      </c>
      <c r="F515" s="1">
        <v>22589</v>
      </c>
      <c r="G515" s="1" t="s">
        <v>21</v>
      </c>
      <c r="H515" s="1">
        <v>18</v>
      </c>
      <c r="I515" s="1">
        <v>1504331</v>
      </c>
      <c r="J515" s="14" t="s">
        <v>143</v>
      </c>
      <c r="K515" s="1" t="s">
        <v>144</v>
      </c>
      <c r="L515" s="1" t="s">
        <v>377</v>
      </c>
      <c r="M515" s="14">
        <v>1</v>
      </c>
      <c r="N515" s="2">
        <v>0.01</v>
      </c>
      <c r="O515" s="16">
        <v>0.01</v>
      </c>
      <c r="P515" s="14">
        <v>0</v>
      </c>
      <c r="Q515" s="14">
        <f t="shared" si="8"/>
        <v>0.01</v>
      </c>
      <c r="R515" s="1" t="s">
        <v>25</v>
      </c>
      <c r="S515" s="1" t="s">
        <v>25</v>
      </c>
      <c r="T515" s="1">
        <v>29</v>
      </c>
      <c r="U515" s="1">
        <v>1</v>
      </c>
      <c r="V515" s="1">
        <v>1</v>
      </c>
    </row>
    <row r="516" spans="1:22" x14ac:dyDescent="0.25">
      <c r="A516" s="3">
        <v>44776</v>
      </c>
      <c r="B516" s="4">
        <v>0.47420138888888891</v>
      </c>
      <c r="C516" s="1">
        <v>1565</v>
      </c>
      <c r="D516" s="1">
        <v>13002595</v>
      </c>
      <c r="E516" s="1">
        <v>13</v>
      </c>
      <c r="F516" s="1">
        <v>22589</v>
      </c>
      <c r="G516" s="1" t="s">
        <v>21</v>
      </c>
      <c r="H516" s="1">
        <v>18</v>
      </c>
      <c r="I516" s="1">
        <v>1504331</v>
      </c>
      <c r="J516" s="14" t="s">
        <v>143</v>
      </c>
      <c r="K516" s="1" t="s">
        <v>144</v>
      </c>
      <c r="L516" s="1" t="s">
        <v>97</v>
      </c>
      <c r="M516" s="14">
        <v>1</v>
      </c>
      <c r="N516" s="2">
        <v>0.01</v>
      </c>
      <c r="O516" s="16">
        <v>0.01</v>
      </c>
      <c r="P516" s="14">
        <v>0</v>
      </c>
      <c r="Q516" s="14">
        <f t="shared" si="8"/>
        <v>0.01</v>
      </c>
      <c r="R516" s="1" t="s">
        <v>25</v>
      </c>
      <c r="S516" s="1" t="s">
        <v>25</v>
      </c>
      <c r="T516" s="1">
        <v>29</v>
      </c>
      <c r="U516" s="1">
        <v>1</v>
      </c>
      <c r="V516" s="1">
        <v>1</v>
      </c>
    </row>
    <row r="517" spans="1:22" x14ac:dyDescent="0.25">
      <c r="A517" s="3">
        <v>44776</v>
      </c>
      <c r="B517" s="4">
        <v>0.47851851851851851</v>
      </c>
      <c r="C517" s="1">
        <v>1567</v>
      </c>
      <c r="D517" s="1">
        <v>13002595</v>
      </c>
      <c r="E517" s="1">
        <v>13</v>
      </c>
      <c r="F517" s="1">
        <v>22589</v>
      </c>
      <c r="G517" s="1" t="s">
        <v>21</v>
      </c>
      <c r="H517" s="1">
        <v>18</v>
      </c>
      <c r="I517" s="1">
        <v>1504331</v>
      </c>
      <c r="J517" s="14" t="s">
        <v>143</v>
      </c>
      <c r="K517" s="1" t="s">
        <v>144</v>
      </c>
      <c r="L517" s="1" t="s">
        <v>97</v>
      </c>
      <c r="M517" s="14">
        <v>1</v>
      </c>
      <c r="N517" s="2">
        <v>0.01</v>
      </c>
      <c r="O517" s="16">
        <v>0.01</v>
      </c>
      <c r="P517" s="14">
        <v>0</v>
      </c>
      <c r="Q517" s="14">
        <f t="shared" si="8"/>
        <v>0.01</v>
      </c>
      <c r="R517" s="1" t="s">
        <v>25</v>
      </c>
      <c r="S517" s="1" t="s">
        <v>25</v>
      </c>
      <c r="T517" s="1">
        <v>29</v>
      </c>
      <c r="U517" s="1">
        <v>1</v>
      </c>
      <c r="V517" s="1">
        <v>2</v>
      </c>
    </row>
    <row r="518" spans="1:22" x14ac:dyDescent="0.25">
      <c r="A518" s="3">
        <v>44776</v>
      </c>
      <c r="B518" s="4">
        <v>0.50773148148148151</v>
      </c>
      <c r="C518" s="1">
        <v>1577</v>
      </c>
      <c r="D518" s="1">
        <v>13002595</v>
      </c>
      <c r="E518" s="1">
        <v>13</v>
      </c>
      <c r="F518" s="1">
        <v>22589</v>
      </c>
      <c r="G518" s="1" t="s">
        <v>21</v>
      </c>
      <c r="H518" s="1">
        <v>18</v>
      </c>
      <c r="I518" s="1">
        <v>1504331</v>
      </c>
      <c r="J518" s="14" t="s">
        <v>143</v>
      </c>
      <c r="K518" s="1" t="s">
        <v>144</v>
      </c>
      <c r="L518" s="1" t="s">
        <v>97</v>
      </c>
      <c r="M518" s="14">
        <v>1</v>
      </c>
      <c r="N518" s="2">
        <v>0.01</v>
      </c>
      <c r="O518" s="16">
        <v>0.01</v>
      </c>
      <c r="P518" s="14">
        <v>0</v>
      </c>
      <c r="Q518" s="14">
        <f t="shared" si="8"/>
        <v>0.01</v>
      </c>
      <c r="R518" s="1" t="s">
        <v>25</v>
      </c>
      <c r="S518" s="1" t="s">
        <v>25</v>
      </c>
      <c r="T518" s="1">
        <v>29</v>
      </c>
      <c r="U518" s="1">
        <v>1</v>
      </c>
      <c r="V518" s="1">
        <v>2</v>
      </c>
    </row>
    <row r="519" spans="1:22" x14ac:dyDescent="0.25">
      <c r="A519" s="3">
        <v>44777</v>
      </c>
      <c r="B519" s="4">
        <v>0.67237268518518523</v>
      </c>
      <c r="C519" s="1">
        <v>1743</v>
      </c>
      <c r="D519" s="1">
        <v>13002606</v>
      </c>
      <c r="E519" s="1">
        <v>13</v>
      </c>
      <c r="F519" s="1">
        <v>22589</v>
      </c>
      <c r="G519" s="1" t="s">
        <v>21</v>
      </c>
      <c r="H519" s="1">
        <v>18</v>
      </c>
      <c r="I519" s="1">
        <v>1504331</v>
      </c>
      <c r="J519" s="14" t="s">
        <v>143</v>
      </c>
      <c r="K519" s="1" t="s">
        <v>144</v>
      </c>
      <c r="L519" s="1" t="s">
        <v>118</v>
      </c>
      <c r="M519" s="14">
        <v>1</v>
      </c>
      <c r="N519" s="2">
        <v>0.01</v>
      </c>
      <c r="O519" s="16">
        <v>0.01</v>
      </c>
      <c r="P519" s="14">
        <v>0</v>
      </c>
      <c r="Q519" s="14">
        <f t="shared" si="8"/>
        <v>0.01</v>
      </c>
      <c r="R519" s="1" t="s">
        <v>25</v>
      </c>
      <c r="S519" s="1" t="s">
        <v>25</v>
      </c>
      <c r="T519" s="1">
        <v>50</v>
      </c>
      <c r="U519" s="1">
        <v>1</v>
      </c>
      <c r="V519" s="1">
        <v>3</v>
      </c>
    </row>
    <row r="520" spans="1:22" x14ac:dyDescent="0.25">
      <c r="A520" s="3">
        <v>44777</v>
      </c>
      <c r="B520" s="4">
        <v>0.72550925925925924</v>
      </c>
      <c r="C520" s="1">
        <v>1756</v>
      </c>
      <c r="D520" s="1">
        <v>13002606</v>
      </c>
      <c r="E520" s="1">
        <v>13</v>
      </c>
      <c r="F520" s="1">
        <v>22589</v>
      </c>
      <c r="G520" s="1" t="s">
        <v>21</v>
      </c>
      <c r="H520" s="1">
        <v>18</v>
      </c>
      <c r="I520" s="1">
        <v>1504331</v>
      </c>
      <c r="J520" s="14" t="s">
        <v>143</v>
      </c>
      <c r="K520" s="1" t="s">
        <v>144</v>
      </c>
      <c r="L520" s="1" t="s">
        <v>118</v>
      </c>
      <c r="M520" s="14">
        <v>1</v>
      </c>
      <c r="N520" s="2">
        <v>0.01</v>
      </c>
      <c r="O520" s="16">
        <v>0.01</v>
      </c>
      <c r="P520" s="14">
        <v>0</v>
      </c>
      <c r="Q520" s="14">
        <f t="shared" si="8"/>
        <v>0.01</v>
      </c>
      <c r="R520" s="1" t="s">
        <v>25</v>
      </c>
      <c r="S520" s="1" t="s">
        <v>25</v>
      </c>
      <c r="T520" s="1">
        <v>50</v>
      </c>
      <c r="U520" s="1">
        <v>1</v>
      </c>
      <c r="V520" s="1">
        <v>1</v>
      </c>
    </row>
    <row r="521" spans="1:22" x14ac:dyDescent="0.25">
      <c r="A521" s="3">
        <v>44778</v>
      </c>
      <c r="B521" s="4">
        <v>0.40599537037037037</v>
      </c>
      <c r="C521" s="1">
        <v>1805</v>
      </c>
      <c r="D521" s="1">
        <v>13002616</v>
      </c>
      <c r="E521" s="1">
        <v>13</v>
      </c>
      <c r="F521" s="1">
        <v>22589</v>
      </c>
      <c r="G521" s="1" t="s">
        <v>21</v>
      </c>
      <c r="H521" s="1">
        <v>15</v>
      </c>
      <c r="I521" s="1">
        <v>1504331</v>
      </c>
      <c r="J521" s="14" t="s">
        <v>143</v>
      </c>
      <c r="K521" s="1" t="s">
        <v>144</v>
      </c>
      <c r="L521" s="1" t="s">
        <v>822</v>
      </c>
      <c r="M521" s="14">
        <v>1</v>
      </c>
      <c r="N521" s="2">
        <v>0.01</v>
      </c>
      <c r="O521" s="16">
        <v>0.01</v>
      </c>
      <c r="P521" s="14">
        <v>0</v>
      </c>
      <c r="Q521" s="14">
        <f t="shared" si="8"/>
        <v>0.01</v>
      </c>
      <c r="R521" s="1" t="s">
        <v>25</v>
      </c>
      <c r="S521" s="1" t="s">
        <v>25</v>
      </c>
      <c r="T521" s="1">
        <v>50</v>
      </c>
      <c r="U521" s="1">
        <v>1</v>
      </c>
      <c r="V521" s="1">
        <v>1</v>
      </c>
    </row>
    <row r="522" spans="1:22" x14ac:dyDescent="0.25">
      <c r="A522" s="3">
        <v>44778</v>
      </c>
      <c r="B522" s="4">
        <v>0.51466435185185189</v>
      </c>
      <c r="C522" s="1">
        <v>1833</v>
      </c>
      <c r="D522" s="1">
        <v>13002616</v>
      </c>
      <c r="E522" s="1">
        <v>13</v>
      </c>
      <c r="F522" s="1">
        <v>22589</v>
      </c>
      <c r="G522" s="1" t="s">
        <v>21</v>
      </c>
      <c r="H522" s="1">
        <v>18</v>
      </c>
      <c r="I522" s="1">
        <v>1504331</v>
      </c>
      <c r="J522" s="14" t="s">
        <v>143</v>
      </c>
      <c r="K522" s="1" t="s">
        <v>144</v>
      </c>
      <c r="L522" s="1" t="s">
        <v>822</v>
      </c>
      <c r="M522" s="14">
        <v>1</v>
      </c>
      <c r="N522" s="2">
        <v>0.01</v>
      </c>
      <c r="O522" s="16">
        <v>0.01</v>
      </c>
      <c r="P522" s="14">
        <v>0</v>
      </c>
      <c r="Q522" s="14">
        <f t="shared" si="8"/>
        <v>0.01</v>
      </c>
      <c r="R522" s="1" t="s">
        <v>25</v>
      </c>
      <c r="S522" s="1" t="s">
        <v>25</v>
      </c>
      <c r="T522" s="1">
        <v>50</v>
      </c>
      <c r="U522" s="1">
        <v>1</v>
      </c>
      <c r="V522" s="1">
        <v>2</v>
      </c>
    </row>
    <row r="523" spans="1:22" x14ac:dyDescent="0.25">
      <c r="A523" s="3">
        <v>44778</v>
      </c>
      <c r="B523" s="4">
        <v>0.59703703703703703</v>
      </c>
      <c r="C523" s="1">
        <v>1853</v>
      </c>
      <c r="D523" s="1">
        <v>13002616</v>
      </c>
      <c r="E523" s="1">
        <v>13</v>
      </c>
      <c r="F523" s="1">
        <v>22589</v>
      </c>
      <c r="G523" s="1" t="s">
        <v>21</v>
      </c>
      <c r="H523" s="1">
        <v>18</v>
      </c>
      <c r="I523" s="1">
        <v>1504331</v>
      </c>
      <c r="J523" s="14" t="s">
        <v>143</v>
      </c>
      <c r="K523" s="1" t="s">
        <v>144</v>
      </c>
      <c r="L523" s="1" t="s">
        <v>822</v>
      </c>
      <c r="M523" s="14">
        <v>1</v>
      </c>
      <c r="N523" s="2">
        <v>0.01</v>
      </c>
      <c r="O523" s="16">
        <v>0.01</v>
      </c>
      <c r="P523" s="14">
        <v>0</v>
      </c>
      <c r="Q523" s="14">
        <f t="shared" si="8"/>
        <v>0.01</v>
      </c>
      <c r="R523" s="1" t="s">
        <v>25</v>
      </c>
      <c r="S523" s="1" t="s">
        <v>25</v>
      </c>
      <c r="T523" s="1">
        <v>50</v>
      </c>
      <c r="U523" s="1">
        <v>1</v>
      </c>
      <c r="V523" s="1">
        <v>1</v>
      </c>
    </row>
    <row r="524" spans="1:22" x14ac:dyDescent="0.25">
      <c r="A524" s="3">
        <v>44777</v>
      </c>
      <c r="B524" s="4">
        <v>0.5397453703703704</v>
      </c>
      <c r="C524" s="1">
        <v>1709</v>
      </c>
      <c r="D524" s="1">
        <v>13002606</v>
      </c>
      <c r="E524" s="1">
        <v>13</v>
      </c>
      <c r="F524" s="1">
        <v>22589</v>
      </c>
      <c r="G524" s="1" t="s">
        <v>21</v>
      </c>
      <c r="H524" s="1">
        <v>18</v>
      </c>
      <c r="I524" s="1">
        <v>1504330</v>
      </c>
      <c r="J524" s="14" t="s">
        <v>994</v>
      </c>
      <c r="K524" s="1" t="s">
        <v>144</v>
      </c>
      <c r="L524" s="1" t="s">
        <v>723</v>
      </c>
      <c r="M524" s="14">
        <v>1</v>
      </c>
      <c r="N524" s="2">
        <v>24.81</v>
      </c>
      <c r="O524" s="16">
        <v>25</v>
      </c>
      <c r="P524" s="14">
        <v>0</v>
      </c>
      <c r="Q524" s="14">
        <f t="shared" si="8"/>
        <v>25</v>
      </c>
      <c r="R524" s="1" t="s">
        <v>25</v>
      </c>
      <c r="S524" s="1" t="s">
        <v>25</v>
      </c>
      <c r="T524" s="1">
        <v>50</v>
      </c>
      <c r="U524" s="1">
        <v>1</v>
      </c>
      <c r="V524" s="1">
        <v>2</v>
      </c>
    </row>
    <row r="525" spans="1:22" x14ac:dyDescent="0.25">
      <c r="A525" s="3">
        <v>44778</v>
      </c>
      <c r="B525" s="4">
        <v>0.77109953703703704</v>
      </c>
      <c r="C525" s="1">
        <v>1890</v>
      </c>
      <c r="D525" s="1">
        <v>13002616</v>
      </c>
      <c r="E525" s="1">
        <v>13</v>
      </c>
      <c r="F525" s="1">
        <v>22589</v>
      </c>
      <c r="G525" s="1" t="s">
        <v>21</v>
      </c>
      <c r="H525" s="1">
        <v>18</v>
      </c>
      <c r="I525" s="1">
        <v>1504330</v>
      </c>
      <c r="J525" s="14" t="s">
        <v>994</v>
      </c>
      <c r="K525" s="1" t="s">
        <v>144</v>
      </c>
      <c r="L525" s="1" t="s">
        <v>80</v>
      </c>
      <c r="M525" s="14">
        <v>1</v>
      </c>
      <c r="N525" s="2">
        <v>24.81</v>
      </c>
      <c r="O525" s="16">
        <v>25</v>
      </c>
      <c r="P525" s="14">
        <v>0</v>
      </c>
      <c r="Q525" s="14">
        <f t="shared" si="8"/>
        <v>25</v>
      </c>
      <c r="R525" s="1" t="s">
        <v>25</v>
      </c>
      <c r="S525" s="1" t="s">
        <v>25</v>
      </c>
      <c r="T525" s="1">
        <v>50</v>
      </c>
      <c r="U525" s="1">
        <v>1</v>
      </c>
      <c r="V525" s="1">
        <v>2</v>
      </c>
    </row>
    <row r="526" spans="1:22" x14ac:dyDescent="0.25">
      <c r="A526" s="3">
        <v>44774</v>
      </c>
      <c r="B526" s="4">
        <v>0.79335648148148152</v>
      </c>
      <c r="C526" s="1">
        <v>1406</v>
      </c>
      <c r="D526" s="1">
        <v>13002561</v>
      </c>
      <c r="E526" s="1">
        <v>13</v>
      </c>
      <c r="F526" s="1">
        <v>22589</v>
      </c>
      <c r="G526" s="1" t="s">
        <v>21</v>
      </c>
      <c r="H526" s="1">
        <v>15</v>
      </c>
      <c r="I526" s="1">
        <v>546</v>
      </c>
      <c r="J526" s="14" t="s">
        <v>461</v>
      </c>
      <c r="K526" s="1" t="s">
        <v>117</v>
      </c>
      <c r="L526" s="1" t="s">
        <v>462</v>
      </c>
      <c r="M526" s="14">
        <v>1</v>
      </c>
      <c r="N526" s="2">
        <v>476.47</v>
      </c>
      <c r="O526" s="16">
        <v>629</v>
      </c>
      <c r="P526" s="14">
        <v>44</v>
      </c>
      <c r="Q526" s="14">
        <f t="shared" si="8"/>
        <v>585</v>
      </c>
      <c r="R526" s="1">
        <v>9</v>
      </c>
      <c r="S526" s="1">
        <v>200010022528</v>
      </c>
      <c r="T526" s="1">
        <v>29</v>
      </c>
      <c r="U526" s="1">
        <v>1</v>
      </c>
      <c r="V526" s="1">
        <v>4</v>
      </c>
    </row>
    <row r="527" spans="1:22" x14ac:dyDescent="0.25">
      <c r="A527" s="3">
        <v>44776</v>
      </c>
      <c r="B527" s="4">
        <v>0.62587962962962962</v>
      </c>
      <c r="C527" s="1">
        <v>1614</v>
      </c>
      <c r="D527" s="1">
        <v>13002595</v>
      </c>
      <c r="E527" s="1">
        <v>13</v>
      </c>
      <c r="F527" s="1">
        <v>22589</v>
      </c>
      <c r="G527" s="1" t="s">
        <v>21</v>
      </c>
      <c r="H527" s="1">
        <v>18</v>
      </c>
      <c r="I527" s="1">
        <v>188015</v>
      </c>
      <c r="J527" s="14" t="s">
        <v>861</v>
      </c>
      <c r="K527" s="1" t="s">
        <v>51</v>
      </c>
      <c r="L527" s="1" t="s">
        <v>862</v>
      </c>
      <c r="M527" s="14">
        <v>1</v>
      </c>
      <c r="N527" s="2">
        <v>147.82</v>
      </c>
      <c r="O527" s="16">
        <v>203</v>
      </c>
      <c r="P527" s="14">
        <v>14</v>
      </c>
      <c r="Q527" s="14">
        <f t="shared" si="8"/>
        <v>189</v>
      </c>
      <c r="R527" s="1">
        <v>9</v>
      </c>
      <c r="S527" s="1">
        <v>200010022358</v>
      </c>
      <c r="T527" s="1">
        <v>29</v>
      </c>
      <c r="U527" s="1">
        <v>1</v>
      </c>
      <c r="V527" s="1">
        <v>1</v>
      </c>
    </row>
    <row r="528" spans="1:22" x14ac:dyDescent="0.25">
      <c r="A528" s="3">
        <v>44776</v>
      </c>
      <c r="B528" s="4">
        <v>0.62587962962962962</v>
      </c>
      <c r="C528" s="1">
        <v>1614</v>
      </c>
      <c r="D528" s="1">
        <v>13002595</v>
      </c>
      <c r="E528" s="1">
        <v>13</v>
      </c>
      <c r="F528" s="1">
        <v>22589</v>
      </c>
      <c r="G528" s="1" t="s">
        <v>21</v>
      </c>
      <c r="H528" s="1">
        <v>18</v>
      </c>
      <c r="I528" s="1">
        <v>188015</v>
      </c>
      <c r="J528" s="14" t="s">
        <v>861</v>
      </c>
      <c r="K528" s="1" t="s">
        <v>29</v>
      </c>
      <c r="L528" s="1" t="s">
        <v>862</v>
      </c>
      <c r="M528" s="14">
        <v>1</v>
      </c>
      <c r="N528" s="2">
        <v>148.19</v>
      </c>
      <c r="O528" s="16">
        <v>204</v>
      </c>
      <c r="P528" s="14">
        <v>14</v>
      </c>
      <c r="Q528" s="14">
        <f t="shared" si="8"/>
        <v>190</v>
      </c>
      <c r="R528" s="1">
        <v>9</v>
      </c>
      <c r="S528" s="1">
        <v>200010022358</v>
      </c>
      <c r="T528" s="1">
        <v>29</v>
      </c>
      <c r="U528" s="1">
        <v>1</v>
      </c>
      <c r="V528" s="1">
        <v>2</v>
      </c>
    </row>
    <row r="529" spans="1:22" x14ac:dyDescent="0.25">
      <c r="A529" s="3">
        <v>44776</v>
      </c>
      <c r="B529" s="4">
        <v>0.57721064814814815</v>
      </c>
      <c r="C529" s="1">
        <v>1605</v>
      </c>
      <c r="D529" s="1">
        <v>13002595</v>
      </c>
      <c r="E529" s="1">
        <v>13</v>
      </c>
      <c r="F529" s="1">
        <v>22589</v>
      </c>
      <c r="G529" s="1" t="s">
        <v>21</v>
      </c>
      <c r="H529" s="1">
        <v>18</v>
      </c>
      <c r="I529" s="1">
        <v>47647</v>
      </c>
      <c r="J529" s="14" t="s">
        <v>841</v>
      </c>
      <c r="K529" s="1" t="s">
        <v>34</v>
      </c>
      <c r="L529" s="1" t="s">
        <v>842</v>
      </c>
      <c r="M529" s="14">
        <v>1</v>
      </c>
      <c r="N529" s="2">
        <v>562.03</v>
      </c>
      <c r="O529" s="16">
        <v>726</v>
      </c>
      <c r="P529" s="14">
        <v>0</v>
      </c>
      <c r="Q529" s="14">
        <f t="shared" si="8"/>
        <v>726</v>
      </c>
      <c r="R529" s="1" t="s">
        <v>25</v>
      </c>
      <c r="S529" s="1" t="s">
        <v>25</v>
      </c>
      <c r="T529" s="1">
        <v>29</v>
      </c>
      <c r="U529" s="1">
        <v>1</v>
      </c>
      <c r="V529" s="1">
        <v>1</v>
      </c>
    </row>
    <row r="530" spans="1:22" x14ac:dyDescent="0.25">
      <c r="A530" s="3">
        <v>44774</v>
      </c>
      <c r="B530" s="4">
        <v>0.44123842592592594</v>
      </c>
      <c r="C530" s="1">
        <v>1292</v>
      </c>
      <c r="D530" s="1">
        <v>13002561</v>
      </c>
      <c r="E530" s="1">
        <v>13</v>
      </c>
      <c r="F530" s="1">
        <v>22589</v>
      </c>
      <c r="G530" s="1" t="s">
        <v>21</v>
      </c>
      <c r="H530" s="1">
        <v>18</v>
      </c>
      <c r="I530" s="1">
        <v>41348</v>
      </c>
      <c r="J530" s="14" t="s">
        <v>111</v>
      </c>
      <c r="K530" s="1" t="s">
        <v>29</v>
      </c>
      <c r="L530" s="1" t="s">
        <v>112</v>
      </c>
      <c r="M530" s="14">
        <v>1</v>
      </c>
      <c r="N530" s="2">
        <v>205.78</v>
      </c>
      <c r="O530" s="16">
        <v>247</v>
      </c>
      <c r="P530" s="14">
        <v>12</v>
      </c>
      <c r="Q530" s="14">
        <f t="shared" si="8"/>
        <v>235</v>
      </c>
      <c r="R530" s="1">
        <v>9</v>
      </c>
      <c r="S530" s="1">
        <v>200010020276</v>
      </c>
      <c r="T530" s="1">
        <v>29</v>
      </c>
      <c r="U530" s="1">
        <v>1</v>
      </c>
      <c r="V530" s="1">
        <v>2</v>
      </c>
    </row>
    <row r="531" spans="1:22" x14ac:dyDescent="0.25">
      <c r="A531" s="3">
        <v>44774</v>
      </c>
      <c r="B531" s="4">
        <v>0.74195601851851856</v>
      </c>
      <c r="C531" s="1">
        <v>1391</v>
      </c>
      <c r="D531" s="1">
        <v>13002561</v>
      </c>
      <c r="E531" s="1">
        <v>13</v>
      </c>
      <c r="F531" s="1">
        <v>22589</v>
      </c>
      <c r="G531" s="1" t="s">
        <v>21</v>
      </c>
      <c r="H531" s="1">
        <v>15</v>
      </c>
      <c r="I531" s="1">
        <v>493777</v>
      </c>
      <c r="J531" s="14" t="s">
        <v>414</v>
      </c>
      <c r="K531" s="1" t="s">
        <v>34</v>
      </c>
      <c r="L531" s="1" t="s">
        <v>415</v>
      </c>
      <c r="M531" s="14">
        <v>1</v>
      </c>
      <c r="N531" s="2">
        <v>198.23</v>
      </c>
      <c r="O531" s="16">
        <v>272</v>
      </c>
      <c r="P531" s="14">
        <v>0</v>
      </c>
      <c r="Q531" s="14">
        <f t="shared" si="8"/>
        <v>272</v>
      </c>
      <c r="R531" s="1" t="s">
        <v>25</v>
      </c>
      <c r="S531" s="1" t="s">
        <v>25</v>
      </c>
      <c r="T531" s="1">
        <v>29</v>
      </c>
      <c r="U531" s="1">
        <v>1</v>
      </c>
      <c r="V531" s="1">
        <v>1</v>
      </c>
    </row>
    <row r="532" spans="1:22" x14ac:dyDescent="0.25">
      <c r="A532" s="3">
        <v>44774</v>
      </c>
      <c r="B532" s="4">
        <v>0.77875000000000005</v>
      </c>
      <c r="C532" s="1">
        <v>1400</v>
      </c>
      <c r="D532" s="1">
        <v>13002561</v>
      </c>
      <c r="E532" s="1">
        <v>13</v>
      </c>
      <c r="F532" s="1">
        <v>22589</v>
      </c>
      <c r="G532" s="1" t="s">
        <v>21</v>
      </c>
      <c r="H532" s="1">
        <v>15</v>
      </c>
      <c r="I532" s="1">
        <v>555</v>
      </c>
      <c r="J532" s="14" t="s">
        <v>439</v>
      </c>
      <c r="K532" s="1" t="s">
        <v>29</v>
      </c>
      <c r="L532" s="1" t="s">
        <v>35</v>
      </c>
      <c r="M532" s="14">
        <v>1</v>
      </c>
      <c r="N532" s="2">
        <v>113.8</v>
      </c>
      <c r="O532" s="16">
        <v>137</v>
      </c>
      <c r="P532" s="14">
        <v>6</v>
      </c>
      <c r="Q532" s="14">
        <f t="shared" si="8"/>
        <v>131</v>
      </c>
      <c r="R532" s="1">
        <v>9</v>
      </c>
      <c r="S532" s="1">
        <v>200010022584</v>
      </c>
      <c r="T532" s="1">
        <v>29</v>
      </c>
      <c r="U532" s="1">
        <v>1</v>
      </c>
      <c r="V532" s="1">
        <v>1</v>
      </c>
    </row>
    <row r="533" spans="1:22" x14ac:dyDescent="0.25">
      <c r="A533" s="3">
        <v>44774</v>
      </c>
      <c r="B533" s="4">
        <v>0.73576388888888888</v>
      </c>
      <c r="C533" s="1">
        <v>1389</v>
      </c>
      <c r="D533" s="1">
        <v>13002561</v>
      </c>
      <c r="E533" s="1">
        <v>13</v>
      </c>
      <c r="F533" s="1">
        <v>22589</v>
      </c>
      <c r="G533" s="1" t="s">
        <v>21</v>
      </c>
      <c r="H533" s="1">
        <v>15</v>
      </c>
      <c r="I533" s="1">
        <v>463100</v>
      </c>
      <c r="J533" s="14" t="s">
        <v>411</v>
      </c>
      <c r="K533" s="1" t="s">
        <v>51</v>
      </c>
      <c r="L533" s="1" t="s">
        <v>35</v>
      </c>
      <c r="M533" s="14">
        <v>1</v>
      </c>
      <c r="N533" s="2">
        <v>47.5</v>
      </c>
      <c r="O533" s="16">
        <v>73</v>
      </c>
      <c r="P533" s="14">
        <v>0</v>
      </c>
      <c r="Q533" s="14">
        <f t="shared" si="8"/>
        <v>73</v>
      </c>
      <c r="R533" s="1" t="s">
        <v>25</v>
      </c>
      <c r="S533" s="1" t="s">
        <v>25</v>
      </c>
      <c r="T533" s="1">
        <v>29</v>
      </c>
      <c r="U533" s="1">
        <v>1</v>
      </c>
      <c r="V533" s="1">
        <v>1</v>
      </c>
    </row>
    <row r="534" spans="1:22" x14ac:dyDescent="0.25">
      <c r="A534" s="3">
        <v>44776</v>
      </c>
      <c r="B534" s="4">
        <v>0.56975694444444447</v>
      </c>
      <c r="C534" s="1">
        <v>1601</v>
      </c>
      <c r="D534" s="1">
        <v>13002595</v>
      </c>
      <c r="E534" s="1">
        <v>13</v>
      </c>
      <c r="F534" s="1">
        <v>22589</v>
      </c>
      <c r="G534" s="1" t="s">
        <v>21</v>
      </c>
      <c r="H534" s="1">
        <v>15</v>
      </c>
      <c r="I534" s="1">
        <v>463100</v>
      </c>
      <c r="J534" s="14" t="s">
        <v>411</v>
      </c>
      <c r="K534" s="1" t="s">
        <v>51</v>
      </c>
      <c r="L534" s="1" t="s">
        <v>35</v>
      </c>
      <c r="M534" s="14">
        <v>1</v>
      </c>
      <c r="N534" s="2">
        <v>47.5</v>
      </c>
      <c r="O534" s="16">
        <v>73</v>
      </c>
      <c r="P534" s="14">
        <v>0</v>
      </c>
      <c r="Q534" s="14">
        <f t="shared" si="8"/>
        <v>73</v>
      </c>
      <c r="R534" s="1" t="s">
        <v>25</v>
      </c>
      <c r="S534" s="1" t="s">
        <v>25</v>
      </c>
      <c r="T534" s="1">
        <v>29</v>
      </c>
      <c r="U534" s="1">
        <v>1</v>
      </c>
      <c r="V534" s="1">
        <v>1</v>
      </c>
    </row>
    <row r="535" spans="1:22" x14ac:dyDescent="0.25">
      <c r="A535" s="3">
        <v>44776</v>
      </c>
      <c r="B535" s="4">
        <v>0.73636574074074079</v>
      </c>
      <c r="C535" s="1">
        <v>1638</v>
      </c>
      <c r="D535" s="1">
        <v>13002595</v>
      </c>
      <c r="E535" s="1">
        <v>13</v>
      </c>
      <c r="F535" s="1">
        <v>22589</v>
      </c>
      <c r="G535" s="1" t="s">
        <v>21</v>
      </c>
      <c r="H535" s="1">
        <v>18</v>
      </c>
      <c r="I535" s="1">
        <v>463100</v>
      </c>
      <c r="J535" s="14" t="s">
        <v>411</v>
      </c>
      <c r="K535" s="1" t="s">
        <v>51</v>
      </c>
      <c r="L535" s="1" t="s">
        <v>35</v>
      </c>
      <c r="M535" s="14">
        <v>1</v>
      </c>
      <c r="N535" s="2">
        <v>47.5</v>
      </c>
      <c r="O535" s="16">
        <v>73</v>
      </c>
      <c r="P535" s="14">
        <v>0</v>
      </c>
      <c r="Q535" s="14">
        <f t="shared" si="8"/>
        <v>73</v>
      </c>
      <c r="R535" s="1" t="s">
        <v>25</v>
      </c>
      <c r="S535" s="1" t="s">
        <v>25</v>
      </c>
      <c r="T535" s="1">
        <v>29</v>
      </c>
      <c r="U535" s="1">
        <v>1</v>
      </c>
      <c r="V535" s="1">
        <v>2</v>
      </c>
    </row>
    <row r="536" spans="1:22" x14ac:dyDescent="0.25">
      <c r="A536" s="3">
        <v>44777</v>
      </c>
      <c r="B536" s="4">
        <v>0.48922453703703705</v>
      </c>
      <c r="C536" s="1">
        <v>1686</v>
      </c>
      <c r="D536" s="1">
        <v>13002606</v>
      </c>
      <c r="E536" s="1">
        <v>13</v>
      </c>
      <c r="F536" s="1">
        <v>22589</v>
      </c>
      <c r="G536" s="1" t="s">
        <v>21</v>
      </c>
      <c r="H536" s="1">
        <v>15</v>
      </c>
      <c r="I536" s="1">
        <v>463100</v>
      </c>
      <c r="J536" s="14" t="s">
        <v>411</v>
      </c>
      <c r="K536" s="1" t="s">
        <v>51</v>
      </c>
      <c r="L536" s="1" t="s">
        <v>35</v>
      </c>
      <c r="M536" s="14">
        <v>1</v>
      </c>
      <c r="N536" s="2">
        <v>47.5</v>
      </c>
      <c r="O536" s="16">
        <v>73</v>
      </c>
      <c r="P536" s="14">
        <v>0</v>
      </c>
      <c r="Q536" s="14">
        <f t="shared" si="8"/>
        <v>73</v>
      </c>
      <c r="R536" s="1" t="s">
        <v>25</v>
      </c>
      <c r="S536" s="1" t="s">
        <v>25</v>
      </c>
      <c r="T536" s="1">
        <v>50</v>
      </c>
      <c r="U536" s="1">
        <v>1</v>
      </c>
      <c r="V536" s="1">
        <v>1</v>
      </c>
    </row>
    <row r="537" spans="1:22" x14ac:dyDescent="0.25">
      <c r="A537" s="3">
        <v>44778</v>
      </c>
      <c r="B537" s="4">
        <v>0.57835648148148144</v>
      </c>
      <c r="C537" s="1">
        <v>1847</v>
      </c>
      <c r="D537" s="1">
        <v>13002616</v>
      </c>
      <c r="E537" s="1">
        <v>13</v>
      </c>
      <c r="F537" s="1">
        <v>22589</v>
      </c>
      <c r="G537" s="1" t="s">
        <v>21</v>
      </c>
      <c r="H537" s="1">
        <v>15</v>
      </c>
      <c r="I537" s="1">
        <v>463100</v>
      </c>
      <c r="J537" s="14" t="s">
        <v>411</v>
      </c>
      <c r="K537" s="1" t="s">
        <v>51</v>
      </c>
      <c r="L537" s="1" t="s">
        <v>35</v>
      </c>
      <c r="M537" s="14">
        <v>1</v>
      </c>
      <c r="N537" s="2">
        <v>47.5</v>
      </c>
      <c r="O537" s="16">
        <v>73</v>
      </c>
      <c r="P537" s="14">
        <v>0</v>
      </c>
      <c r="Q537" s="14">
        <f t="shared" si="8"/>
        <v>73</v>
      </c>
      <c r="R537" s="1" t="s">
        <v>25</v>
      </c>
      <c r="S537" s="1" t="s">
        <v>25</v>
      </c>
      <c r="T537" s="1">
        <v>50</v>
      </c>
      <c r="U537" s="1">
        <v>1</v>
      </c>
      <c r="V537" s="1">
        <v>2</v>
      </c>
    </row>
    <row r="538" spans="1:22" x14ac:dyDescent="0.25">
      <c r="A538" s="3">
        <v>44778</v>
      </c>
      <c r="B538" s="4">
        <v>0.57835648148148144</v>
      </c>
      <c r="C538" s="1">
        <v>1847</v>
      </c>
      <c r="D538" s="1">
        <v>13002616</v>
      </c>
      <c r="E538" s="1">
        <v>13</v>
      </c>
      <c r="F538" s="1">
        <v>22589</v>
      </c>
      <c r="G538" s="1" t="s">
        <v>21</v>
      </c>
      <c r="H538" s="1">
        <v>15</v>
      </c>
      <c r="I538" s="1">
        <v>463100</v>
      </c>
      <c r="J538" s="14" t="s">
        <v>411</v>
      </c>
      <c r="K538" s="1" t="s">
        <v>51</v>
      </c>
      <c r="L538" s="1" t="s">
        <v>35</v>
      </c>
      <c r="M538" s="14">
        <v>1</v>
      </c>
      <c r="N538" s="2">
        <v>47.5</v>
      </c>
      <c r="O538" s="16">
        <v>73</v>
      </c>
      <c r="P538" s="14">
        <v>0</v>
      </c>
      <c r="Q538" s="14">
        <f t="shared" si="8"/>
        <v>73</v>
      </c>
      <c r="R538" s="1" t="s">
        <v>25</v>
      </c>
      <c r="S538" s="1" t="s">
        <v>25</v>
      </c>
      <c r="T538" s="1">
        <v>50</v>
      </c>
      <c r="U538" s="1">
        <v>1</v>
      </c>
      <c r="V538" s="1">
        <v>3</v>
      </c>
    </row>
    <row r="539" spans="1:22" x14ac:dyDescent="0.25">
      <c r="A539" s="3">
        <v>44778</v>
      </c>
      <c r="B539" s="4">
        <v>0.57835648148148144</v>
      </c>
      <c r="C539" s="1">
        <v>1847</v>
      </c>
      <c r="D539" s="1">
        <v>13002616</v>
      </c>
      <c r="E539" s="1">
        <v>13</v>
      </c>
      <c r="F539" s="1">
        <v>22589</v>
      </c>
      <c r="G539" s="1" t="s">
        <v>21</v>
      </c>
      <c r="H539" s="1">
        <v>15</v>
      </c>
      <c r="I539" s="1">
        <v>497948</v>
      </c>
      <c r="J539" s="14" t="s">
        <v>1158</v>
      </c>
      <c r="K539" s="1" t="s">
        <v>51</v>
      </c>
      <c r="L539" s="1" t="s">
        <v>65</v>
      </c>
      <c r="M539" s="14">
        <v>1</v>
      </c>
      <c r="N539" s="2">
        <v>31.6</v>
      </c>
      <c r="O539" s="16">
        <v>39</v>
      </c>
      <c r="P539" s="14">
        <v>0</v>
      </c>
      <c r="Q539" s="14">
        <f t="shared" si="8"/>
        <v>39</v>
      </c>
      <c r="R539" s="1" t="s">
        <v>25</v>
      </c>
      <c r="S539" s="1" t="s">
        <v>25</v>
      </c>
      <c r="T539" s="1">
        <v>50</v>
      </c>
      <c r="U539" s="1">
        <v>1</v>
      </c>
      <c r="V539" s="1">
        <v>4</v>
      </c>
    </row>
    <row r="540" spans="1:22" x14ac:dyDescent="0.25">
      <c r="A540" s="3">
        <v>44778</v>
      </c>
      <c r="B540" s="4">
        <v>0.57835648148148144</v>
      </c>
      <c r="C540" s="1">
        <v>1847</v>
      </c>
      <c r="D540" s="1">
        <v>13002616</v>
      </c>
      <c r="E540" s="1">
        <v>13</v>
      </c>
      <c r="F540" s="1">
        <v>22589</v>
      </c>
      <c r="G540" s="1" t="s">
        <v>21</v>
      </c>
      <c r="H540" s="1">
        <v>15</v>
      </c>
      <c r="I540" s="1">
        <v>497202</v>
      </c>
      <c r="J540" s="14" t="s">
        <v>1157</v>
      </c>
      <c r="K540" s="1" t="s">
        <v>51</v>
      </c>
      <c r="L540" s="1" t="s">
        <v>65</v>
      </c>
      <c r="M540" s="14">
        <v>1</v>
      </c>
      <c r="N540" s="2">
        <v>59.91</v>
      </c>
      <c r="O540" s="16">
        <v>74</v>
      </c>
      <c r="P540" s="14">
        <v>0</v>
      </c>
      <c r="Q540" s="14">
        <f t="shared" si="8"/>
        <v>74</v>
      </c>
      <c r="R540" s="1" t="s">
        <v>25</v>
      </c>
      <c r="S540" s="1" t="s">
        <v>25</v>
      </c>
      <c r="T540" s="1">
        <v>50</v>
      </c>
      <c r="U540" s="1">
        <v>1</v>
      </c>
      <c r="V540" s="1">
        <v>5</v>
      </c>
    </row>
    <row r="541" spans="1:22" x14ac:dyDescent="0.25">
      <c r="A541" s="3">
        <v>44776</v>
      </c>
      <c r="B541" s="4">
        <v>0.48996527777777776</v>
      </c>
      <c r="C541" s="1">
        <v>1571</v>
      </c>
      <c r="D541" s="1">
        <v>13002595</v>
      </c>
      <c r="E541" s="1">
        <v>13</v>
      </c>
      <c r="F541" s="1">
        <v>22589</v>
      </c>
      <c r="G541" s="1" t="s">
        <v>21</v>
      </c>
      <c r="H541" s="1">
        <v>18</v>
      </c>
      <c r="I541" s="1">
        <v>31353</v>
      </c>
      <c r="J541" s="14" t="s">
        <v>772</v>
      </c>
      <c r="K541" s="1" t="s">
        <v>117</v>
      </c>
      <c r="L541" s="1" t="s">
        <v>773</v>
      </c>
      <c r="M541" s="14">
        <v>1</v>
      </c>
      <c r="N541" s="2">
        <v>282.94</v>
      </c>
      <c r="O541" s="16">
        <v>431</v>
      </c>
      <c r="P541" s="14">
        <v>43</v>
      </c>
      <c r="Q541" s="14">
        <f t="shared" si="8"/>
        <v>388</v>
      </c>
      <c r="R541" s="1">
        <v>941</v>
      </c>
      <c r="S541" s="1">
        <v>200000000044</v>
      </c>
      <c r="T541" s="1">
        <v>29</v>
      </c>
      <c r="U541" s="1">
        <v>1</v>
      </c>
      <c r="V541" s="1">
        <v>3</v>
      </c>
    </row>
    <row r="542" spans="1:22" x14ac:dyDescent="0.25">
      <c r="A542" s="3">
        <v>44776</v>
      </c>
      <c r="B542" s="4">
        <v>0.57721064814814815</v>
      </c>
      <c r="C542" s="1">
        <v>1605</v>
      </c>
      <c r="D542" s="1">
        <v>13002595</v>
      </c>
      <c r="E542" s="1">
        <v>13</v>
      </c>
      <c r="F542" s="1">
        <v>22589</v>
      </c>
      <c r="G542" s="1" t="s">
        <v>21</v>
      </c>
      <c r="H542" s="1">
        <v>18</v>
      </c>
      <c r="I542" s="1">
        <v>153278</v>
      </c>
      <c r="J542" s="14" t="s">
        <v>843</v>
      </c>
      <c r="K542" s="1" t="s">
        <v>23</v>
      </c>
      <c r="L542" s="1" t="s">
        <v>844</v>
      </c>
      <c r="M542" s="14">
        <v>1</v>
      </c>
      <c r="N542" s="2">
        <v>255.76</v>
      </c>
      <c r="O542" s="16">
        <v>313</v>
      </c>
      <c r="P542" s="14">
        <v>0</v>
      </c>
      <c r="Q542" s="14">
        <f t="shared" si="8"/>
        <v>313</v>
      </c>
      <c r="R542" s="1" t="s">
        <v>25</v>
      </c>
      <c r="S542" s="1" t="s">
        <v>25</v>
      </c>
      <c r="T542" s="1">
        <v>29</v>
      </c>
      <c r="U542" s="1">
        <v>1</v>
      </c>
      <c r="V542" s="1">
        <v>2</v>
      </c>
    </row>
    <row r="543" spans="1:22" x14ac:dyDescent="0.25">
      <c r="A543" s="3">
        <v>44775</v>
      </c>
      <c r="B543" s="4">
        <v>0.78771990740740738</v>
      </c>
      <c r="C543" s="1">
        <v>1527</v>
      </c>
      <c r="D543" s="1">
        <v>13002581</v>
      </c>
      <c r="E543" s="1">
        <v>13</v>
      </c>
      <c r="F543" s="1">
        <v>22589</v>
      </c>
      <c r="G543" s="1" t="s">
        <v>21</v>
      </c>
      <c r="H543" s="1">
        <v>18</v>
      </c>
      <c r="I543" s="1">
        <v>294503</v>
      </c>
      <c r="J543" s="14" t="s">
        <v>692</v>
      </c>
      <c r="K543" s="1" t="s">
        <v>29</v>
      </c>
      <c r="L543" s="1" t="s">
        <v>159</v>
      </c>
      <c r="M543" s="14">
        <v>1</v>
      </c>
      <c r="N543" s="2">
        <v>419.1</v>
      </c>
      <c r="O543" s="16">
        <v>499</v>
      </c>
      <c r="P543" s="14">
        <v>24</v>
      </c>
      <c r="Q543" s="14">
        <f t="shared" si="8"/>
        <v>475</v>
      </c>
      <c r="R543" s="1">
        <v>9</v>
      </c>
      <c r="S543" s="1">
        <v>200010020455</v>
      </c>
      <c r="T543" s="1">
        <v>29</v>
      </c>
      <c r="U543" s="1">
        <v>1</v>
      </c>
      <c r="V543" s="1">
        <v>5</v>
      </c>
    </row>
    <row r="544" spans="1:22" x14ac:dyDescent="0.25">
      <c r="A544" s="3">
        <v>44775</v>
      </c>
      <c r="B544" s="4">
        <v>0.78771990740740738</v>
      </c>
      <c r="C544" s="1">
        <v>1527</v>
      </c>
      <c r="D544" s="1">
        <v>13002581</v>
      </c>
      <c r="E544" s="1">
        <v>13</v>
      </c>
      <c r="F544" s="1">
        <v>22589</v>
      </c>
      <c r="G544" s="1" t="s">
        <v>21</v>
      </c>
      <c r="H544" s="1">
        <v>18</v>
      </c>
      <c r="I544" s="1">
        <v>294503</v>
      </c>
      <c r="J544" s="14" t="s">
        <v>692</v>
      </c>
      <c r="K544" s="1" t="s">
        <v>29</v>
      </c>
      <c r="L544" s="1" t="s">
        <v>159</v>
      </c>
      <c r="M544" s="14">
        <v>1</v>
      </c>
      <c r="N544" s="2">
        <v>419.1</v>
      </c>
      <c r="O544" s="16">
        <v>499</v>
      </c>
      <c r="P544" s="14">
        <v>24</v>
      </c>
      <c r="Q544" s="14">
        <f t="shared" si="8"/>
        <v>475</v>
      </c>
      <c r="R544" s="1">
        <v>9</v>
      </c>
      <c r="S544" s="1">
        <v>200010020455</v>
      </c>
      <c r="T544" s="1">
        <v>29</v>
      </c>
      <c r="U544" s="1">
        <v>1</v>
      </c>
      <c r="V544" s="1">
        <v>6</v>
      </c>
    </row>
    <row r="545" spans="1:22" x14ac:dyDescent="0.25">
      <c r="A545" s="3">
        <v>44774</v>
      </c>
      <c r="B545" s="4">
        <v>0.48900462962962965</v>
      </c>
      <c r="C545" s="1">
        <v>1312</v>
      </c>
      <c r="D545" s="1">
        <v>13002561</v>
      </c>
      <c r="E545" s="1">
        <v>13</v>
      </c>
      <c r="F545" s="1">
        <v>22589</v>
      </c>
      <c r="G545" s="1" t="s">
        <v>21</v>
      </c>
      <c r="H545" s="1">
        <v>18</v>
      </c>
      <c r="I545" s="1">
        <v>82364</v>
      </c>
      <c r="J545" s="14" t="s">
        <v>187</v>
      </c>
      <c r="K545" s="1" t="s">
        <v>23</v>
      </c>
      <c r="L545" s="1" t="s">
        <v>188</v>
      </c>
      <c r="M545" s="14">
        <v>1</v>
      </c>
      <c r="N545" s="2">
        <v>73.069999999999993</v>
      </c>
      <c r="O545" s="16">
        <v>115</v>
      </c>
      <c r="P545" s="14">
        <v>0</v>
      </c>
      <c r="Q545" s="14">
        <f t="shared" si="8"/>
        <v>115</v>
      </c>
      <c r="R545" s="1" t="s">
        <v>25</v>
      </c>
      <c r="S545" s="1" t="s">
        <v>25</v>
      </c>
      <c r="T545" s="1">
        <v>29</v>
      </c>
      <c r="U545" s="1">
        <v>1</v>
      </c>
      <c r="V545" s="1">
        <v>1</v>
      </c>
    </row>
    <row r="546" spans="1:22" x14ac:dyDescent="0.25">
      <c r="A546" s="3">
        <v>44774</v>
      </c>
      <c r="B546" s="4">
        <v>0.37783564814814813</v>
      </c>
      <c r="C546" s="1">
        <v>1276</v>
      </c>
      <c r="D546" s="1">
        <v>13002561</v>
      </c>
      <c r="E546" s="1">
        <v>13</v>
      </c>
      <c r="F546" s="1">
        <v>22589</v>
      </c>
      <c r="G546" s="1" t="s">
        <v>21</v>
      </c>
      <c r="H546" s="1">
        <v>15</v>
      </c>
      <c r="I546" s="1">
        <v>338588</v>
      </c>
      <c r="J546" s="14" t="s">
        <v>36</v>
      </c>
      <c r="K546" s="1" t="s">
        <v>23</v>
      </c>
      <c r="L546" s="1" t="s">
        <v>37</v>
      </c>
      <c r="M546" s="14">
        <v>1</v>
      </c>
      <c r="N546" s="2">
        <v>383.7</v>
      </c>
      <c r="O546" s="16">
        <v>475</v>
      </c>
      <c r="P546" s="14">
        <v>23</v>
      </c>
      <c r="Q546" s="14">
        <f t="shared" si="8"/>
        <v>452</v>
      </c>
      <c r="R546" s="1">
        <v>9</v>
      </c>
      <c r="S546" s="1">
        <v>200010000734</v>
      </c>
      <c r="T546" s="1">
        <v>29</v>
      </c>
      <c r="U546" s="1">
        <v>1</v>
      </c>
      <c r="V546" s="1">
        <v>3</v>
      </c>
    </row>
    <row r="547" spans="1:22" x14ac:dyDescent="0.25">
      <c r="A547" s="3">
        <v>44775</v>
      </c>
      <c r="B547" s="4">
        <v>0.8175810185185185</v>
      </c>
      <c r="C547" s="1">
        <v>1533</v>
      </c>
      <c r="D547" s="1">
        <v>13002581</v>
      </c>
      <c r="E547" s="1">
        <v>13</v>
      </c>
      <c r="F547" s="1">
        <v>22589</v>
      </c>
      <c r="G547" s="1" t="s">
        <v>21</v>
      </c>
      <c r="H547" s="1">
        <v>18</v>
      </c>
      <c r="I547" s="1">
        <v>338588</v>
      </c>
      <c r="J547" s="14" t="s">
        <v>36</v>
      </c>
      <c r="K547" s="1" t="s">
        <v>23</v>
      </c>
      <c r="L547" s="1" t="s">
        <v>37</v>
      </c>
      <c r="M547" s="14">
        <v>1</v>
      </c>
      <c r="N547" s="2">
        <v>383.7</v>
      </c>
      <c r="O547" s="16">
        <v>475</v>
      </c>
      <c r="P547" s="14">
        <v>23</v>
      </c>
      <c r="Q547" s="14">
        <f t="shared" si="8"/>
        <v>452</v>
      </c>
      <c r="R547" s="1">
        <v>9</v>
      </c>
      <c r="S547" s="1">
        <v>200010009896</v>
      </c>
      <c r="T547" s="1">
        <v>29</v>
      </c>
      <c r="U547" s="1">
        <v>1</v>
      </c>
      <c r="V547" s="1">
        <v>2</v>
      </c>
    </row>
    <row r="548" spans="1:22" x14ac:dyDescent="0.25">
      <c r="A548" s="3">
        <v>44777</v>
      </c>
      <c r="B548" s="4">
        <v>0.73989583333333331</v>
      </c>
      <c r="C548" s="1">
        <v>1760</v>
      </c>
      <c r="D548" s="1">
        <v>13002606</v>
      </c>
      <c r="E548" s="1">
        <v>13</v>
      </c>
      <c r="F548" s="1">
        <v>22589</v>
      </c>
      <c r="G548" s="1" t="s">
        <v>21</v>
      </c>
      <c r="H548" s="1">
        <v>18</v>
      </c>
      <c r="I548" s="1">
        <v>338588</v>
      </c>
      <c r="J548" s="14" t="s">
        <v>36</v>
      </c>
      <c r="K548" s="1" t="s">
        <v>23</v>
      </c>
      <c r="L548" s="1" t="s">
        <v>37</v>
      </c>
      <c r="M548" s="14">
        <v>1</v>
      </c>
      <c r="N548" s="2">
        <v>358.64</v>
      </c>
      <c r="O548" s="16">
        <v>450</v>
      </c>
      <c r="P548" s="14">
        <v>22</v>
      </c>
      <c r="Q548" s="14">
        <f t="shared" si="8"/>
        <v>428</v>
      </c>
      <c r="R548" s="1">
        <v>9</v>
      </c>
      <c r="S548" s="1">
        <v>200010010154</v>
      </c>
      <c r="T548" s="1">
        <v>50</v>
      </c>
      <c r="U548" s="1">
        <v>1</v>
      </c>
      <c r="V548" s="1">
        <v>2</v>
      </c>
    </row>
    <row r="549" spans="1:22" x14ac:dyDescent="0.25">
      <c r="A549" s="3">
        <v>44778</v>
      </c>
      <c r="B549" s="4">
        <v>0.35789351851851853</v>
      </c>
      <c r="C549" s="1">
        <v>1789</v>
      </c>
      <c r="D549" s="1">
        <v>13002616</v>
      </c>
      <c r="E549" s="1">
        <v>13</v>
      </c>
      <c r="F549" s="1">
        <v>22589</v>
      </c>
      <c r="G549" s="1" t="s">
        <v>21</v>
      </c>
      <c r="H549" s="1">
        <v>15</v>
      </c>
      <c r="I549" s="1">
        <v>338588</v>
      </c>
      <c r="J549" s="14" t="s">
        <v>36</v>
      </c>
      <c r="K549" s="1" t="s">
        <v>23</v>
      </c>
      <c r="L549" s="1" t="s">
        <v>37</v>
      </c>
      <c r="M549" s="14">
        <v>1</v>
      </c>
      <c r="N549" s="2">
        <v>358.64</v>
      </c>
      <c r="O549" s="16">
        <v>450</v>
      </c>
      <c r="P549" s="14">
        <v>22</v>
      </c>
      <c r="Q549" s="14">
        <f t="shared" si="8"/>
        <v>428</v>
      </c>
      <c r="R549" s="1">
        <v>9</v>
      </c>
      <c r="S549" s="1">
        <v>200010002508</v>
      </c>
      <c r="T549" s="1">
        <v>50</v>
      </c>
      <c r="U549" s="1">
        <v>1</v>
      </c>
      <c r="V549" s="1">
        <v>1</v>
      </c>
    </row>
    <row r="550" spans="1:22" x14ac:dyDescent="0.25">
      <c r="A550" s="3">
        <v>44774</v>
      </c>
      <c r="B550" s="4">
        <v>0.39586805555555554</v>
      </c>
      <c r="C550" s="1">
        <v>1280</v>
      </c>
      <c r="D550" s="1">
        <v>13002561</v>
      </c>
      <c r="E550" s="1">
        <v>13</v>
      </c>
      <c r="F550" s="1">
        <v>22589</v>
      </c>
      <c r="G550" s="1" t="s">
        <v>21</v>
      </c>
      <c r="H550" s="1">
        <v>15</v>
      </c>
      <c r="I550" s="1">
        <v>21372</v>
      </c>
      <c r="J550" s="14" t="s">
        <v>53</v>
      </c>
      <c r="K550" s="1" t="s">
        <v>23</v>
      </c>
      <c r="L550" s="1" t="s">
        <v>54</v>
      </c>
      <c r="M550" s="14">
        <v>1</v>
      </c>
      <c r="N550" s="2">
        <v>86.28</v>
      </c>
      <c r="O550" s="16">
        <v>123</v>
      </c>
      <c r="P550" s="14">
        <v>0</v>
      </c>
      <c r="Q550" s="14">
        <f t="shared" si="8"/>
        <v>123</v>
      </c>
      <c r="R550" s="1" t="s">
        <v>25</v>
      </c>
      <c r="S550" s="1" t="s">
        <v>25</v>
      </c>
      <c r="T550" s="1">
        <v>29</v>
      </c>
      <c r="U550" s="1">
        <v>1</v>
      </c>
      <c r="V550" s="1">
        <v>1</v>
      </c>
    </row>
    <row r="551" spans="1:22" x14ac:dyDescent="0.25">
      <c r="A551" s="3">
        <v>44774</v>
      </c>
      <c r="B551" s="4">
        <v>0.37783564814814813</v>
      </c>
      <c r="C551" s="1">
        <v>1276</v>
      </c>
      <c r="D551" s="1">
        <v>13002561</v>
      </c>
      <c r="E551" s="1">
        <v>13</v>
      </c>
      <c r="F551" s="1">
        <v>22589</v>
      </c>
      <c r="G551" s="1" t="s">
        <v>21</v>
      </c>
      <c r="H551" s="1">
        <v>15</v>
      </c>
      <c r="I551" s="1">
        <v>397616</v>
      </c>
      <c r="J551" s="14" t="s">
        <v>38</v>
      </c>
      <c r="K551" s="1" t="s">
        <v>34</v>
      </c>
      <c r="L551" s="1" t="s">
        <v>39</v>
      </c>
      <c r="M551" s="14">
        <v>1</v>
      </c>
      <c r="N551" s="2">
        <v>536.82000000000005</v>
      </c>
      <c r="O551" s="16">
        <v>693</v>
      </c>
      <c r="P551" s="14">
        <v>48</v>
      </c>
      <c r="Q551" s="14">
        <f t="shared" si="8"/>
        <v>645</v>
      </c>
      <c r="R551" s="1">
        <v>9</v>
      </c>
      <c r="S551" s="1">
        <v>200010000734</v>
      </c>
      <c r="T551" s="1">
        <v>29</v>
      </c>
      <c r="U551" s="1">
        <v>1</v>
      </c>
      <c r="V551" s="1">
        <v>4</v>
      </c>
    </row>
    <row r="552" spans="1:22" x14ac:dyDescent="0.25">
      <c r="A552" s="3">
        <v>44778</v>
      </c>
      <c r="B552" s="4">
        <v>0.69196759259259255</v>
      </c>
      <c r="C552" s="1">
        <v>1876</v>
      </c>
      <c r="D552" s="1">
        <v>13002616</v>
      </c>
      <c r="E552" s="1">
        <v>13</v>
      </c>
      <c r="F552" s="1">
        <v>22589</v>
      </c>
      <c r="G552" s="1" t="s">
        <v>21</v>
      </c>
      <c r="H552" s="1">
        <v>18</v>
      </c>
      <c r="I552" s="1">
        <v>300319</v>
      </c>
      <c r="J552" s="14" t="s">
        <v>1198</v>
      </c>
      <c r="K552" s="1" t="s">
        <v>23</v>
      </c>
      <c r="L552" s="1" t="s">
        <v>39</v>
      </c>
      <c r="M552" s="14">
        <v>1</v>
      </c>
      <c r="N552" s="2">
        <v>317.11</v>
      </c>
      <c r="O552" s="16">
        <v>419</v>
      </c>
      <c r="P552" s="14">
        <v>29</v>
      </c>
      <c r="Q552" s="14">
        <f t="shared" si="8"/>
        <v>390</v>
      </c>
      <c r="R552" s="1">
        <v>9</v>
      </c>
      <c r="S552" s="1">
        <v>200010022526</v>
      </c>
      <c r="T552" s="1">
        <v>50</v>
      </c>
      <c r="U552" s="1">
        <v>1</v>
      </c>
      <c r="V552" s="1">
        <v>1</v>
      </c>
    </row>
    <row r="553" spans="1:22" x14ac:dyDescent="0.25">
      <c r="A553" s="3">
        <v>44778</v>
      </c>
      <c r="B553" s="4">
        <v>0.5577199074074074</v>
      </c>
      <c r="C553" s="1">
        <v>1844</v>
      </c>
      <c r="D553" s="1">
        <v>13002616</v>
      </c>
      <c r="E553" s="1">
        <v>13</v>
      </c>
      <c r="F553" s="1">
        <v>22589</v>
      </c>
      <c r="G553" s="1" t="s">
        <v>21</v>
      </c>
      <c r="H553" s="1">
        <v>18</v>
      </c>
      <c r="I553" s="1">
        <v>172615</v>
      </c>
      <c r="J553" s="14" t="s">
        <v>1149</v>
      </c>
      <c r="K553" s="1" t="s">
        <v>51</v>
      </c>
      <c r="L553" s="1" t="s">
        <v>76</v>
      </c>
      <c r="M553" s="14">
        <v>1</v>
      </c>
      <c r="N553" s="2">
        <v>174.59</v>
      </c>
      <c r="O553" s="16">
        <v>240</v>
      </c>
      <c r="P553" s="14">
        <v>0</v>
      </c>
      <c r="Q553" s="14">
        <f t="shared" si="8"/>
        <v>240</v>
      </c>
      <c r="R553" s="1" t="s">
        <v>25</v>
      </c>
      <c r="S553" s="1" t="s">
        <v>25</v>
      </c>
      <c r="T553" s="1">
        <v>50</v>
      </c>
      <c r="U553" s="1">
        <v>1</v>
      </c>
      <c r="V553" s="1">
        <v>4</v>
      </c>
    </row>
    <row r="554" spans="1:22" x14ac:dyDescent="0.25">
      <c r="A554" s="3">
        <v>44774</v>
      </c>
      <c r="B554" s="4">
        <v>0.55539351851851848</v>
      </c>
      <c r="C554" s="1">
        <v>1339</v>
      </c>
      <c r="D554" s="1">
        <v>13002561</v>
      </c>
      <c r="E554" s="1">
        <v>13</v>
      </c>
      <c r="F554" s="1">
        <v>22589</v>
      </c>
      <c r="G554" s="1" t="s">
        <v>21</v>
      </c>
      <c r="H554" s="1">
        <v>18</v>
      </c>
      <c r="I554" s="1">
        <v>291637</v>
      </c>
      <c r="J554" s="14" t="s">
        <v>283</v>
      </c>
      <c r="K554" s="1" t="s">
        <v>117</v>
      </c>
      <c r="L554" s="1" t="s">
        <v>284</v>
      </c>
      <c r="M554" s="14">
        <v>1</v>
      </c>
      <c r="N554" s="2">
        <v>1082.73</v>
      </c>
      <c r="O554" s="16">
        <v>1354</v>
      </c>
      <c r="P554" s="14">
        <v>94</v>
      </c>
      <c r="Q554" s="14">
        <f t="shared" si="8"/>
        <v>1260</v>
      </c>
      <c r="R554" s="1">
        <v>9</v>
      </c>
      <c r="S554" s="1">
        <v>200010016178</v>
      </c>
      <c r="T554" s="1">
        <v>29</v>
      </c>
      <c r="U554" s="1">
        <v>1</v>
      </c>
      <c r="V554" s="1">
        <v>1</v>
      </c>
    </row>
    <row r="555" spans="1:22" x14ac:dyDescent="0.25">
      <c r="A555" s="3">
        <v>44774</v>
      </c>
      <c r="B555" s="4">
        <v>0.61068287037037039</v>
      </c>
      <c r="C555" s="1">
        <v>1359</v>
      </c>
      <c r="D555" s="1">
        <v>13002561</v>
      </c>
      <c r="E555" s="1">
        <v>13</v>
      </c>
      <c r="F555" s="1">
        <v>22589</v>
      </c>
      <c r="G555" s="1" t="s">
        <v>21</v>
      </c>
      <c r="H555" s="1">
        <v>18</v>
      </c>
      <c r="I555" s="1">
        <v>34410</v>
      </c>
      <c r="J555" s="14" t="s">
        <v>337</v>
      </c>
      <c r="K555" s="1" t="s">
        <v>34</v>
      </c>
      <c r="L555" s="1" t="s">
        <v>338</v>
      </c>
      <c r="M555" s="14">
        <v>3</v>
      </c>
      <c r="N555" s="2">
        <v>155.88</v>
      </c>
      <c r="O555" s="16">
        <v>174</v>
      </c>
      <c r="P555" s="14">
        <v>0</v>
      </c>
      <c r="Q555" s="14">
        <f t="shared" si="8"/>
        <v>522</v>
      </c>
      <c r="R555" s="1" t="s">
        <v>25</v>
      </c>
      <c r="S555" s="1" t="s">
        <v>25</v>
      </c>
      <c r="T555" s="1">
        <v>29</v>
      </c>
      <c r="U555" s="1">
        <v>2</v>
      </c>
      <c r="V555" s="1">
        <v>1</v>
      </c>
    </row>
    <row r="556" spans="1:22" x14ac:dyDescent="0.25">
      <c r="A556" s="3">
        <v>44777</v>
      </c>
      <c r="B556" s="4">
        <v>0.43222222222222223</v>
      </c>
      <c r="C556" s="1">
        <v>1670</v>
      </c>
      <c r="D556" s="1">
        <v>13002606</v>
      </c>
      <c r="E556" s="1">
        <v>13</v>
      </c>
      <c r="F556" s="1">
        <v>22589</v>
      </c>
      <c r="G556" s="1" t="s">
        <v>21</v>
      </c>
      <c r="H556" s="1">
        <v>18</v>
      </c>
      <c r="I556" s="1">
        <v>11821</v>
      </c>
      <c r="J556" s="14" t="s">
        <v>936</v>
      </c>
      <c r="K556" s="1" t="s">
        <v>23</v>
      </c>
      <c r="L556" s="1" t="s">
        <v>937</v>
      </c>
      <c r="M556" s="14">
        <v>1</v>
      </c>
      <c r="N556" s="2">
        <v>185.36</v>
      </c>
      <c r="O556" s="16">
        <v>254</v>
      </c>
      <c r="P556" s="14">
        <v>17</v>
      </c>
      <c r="Q556" s="14">
        <f t="shared" si="8"/>
        <v>237</v>
      </c>
      <c r="R556" s="1">
        <v>9</v>
      </c>
      <c r="S556" s="1">
        <v>200010020276</v>
      </c>
      <c r="T556" s="1">
        <v>50</v>
      </c>
      <c r="U556" s="1">
        <v>1</v>
      </c>
      <c r="V556" s="1">
        <v>2</v>
      </c>
    </row>
    <row r="557" spans="1:22" x14ac:dyDescent="0.25">
      <c r="A557" s="3">
        <v>44778</v>
      </c>
      <c r="B557" s="4">
        <v>0.77721064814814811</v>
      </c>
      <c r="C557" s="1">
        <v>1891</v>
      </c>
      <c r="D557" s="1">
        <v>13002616</v>
      </c>
      <c r="E557" s="1">
        <v>13</v>
      </c>
      <c r="F557" s="1">
        <v>22589</v>
      </c>
      <c r="G557" s="1" t="s">
        <v>21</v>
      </c>
      <c r="H557" s="1">
        <v>18</v>
      </c>
      <c r="I557" s="1">
        <v>322471</v>
      </c>
      <c r="J557" s="14" t="s">
        <v>1213</v>
      </c>
      <c r="K557" s="1" t="s">
        <v>45</v>
      </c>
      <c r="L557" s="1" t="s">
        <v>1214</v>
      </c>
      <c r="M557" s="14">
        <v>1</v>
      </c>
      <c r="N557" s="2">
        <v>1322.63</v>
      </c>
      <c r="O557" s="16">
        <v>1812</v>
      </c>
      <c r="P557" s="14">
        <v>0</v>
      </c>
      <c r="Q557" s="14">
        <f t="shared" si="8"/>
        <v>1812</v>
      </c>
      <c r="R557" s="1" t="s">
        <v>25</v>
      </c>
      <c r="S557" s="1" t="s">
        <v>25</v>
      </c>
      <c r="T557" s="1">
        <v>50</v>
      </c>
      <c r="U557" s="1">
        <v>1</v>
      </c>
      <c r="V557" s="1">
        <v>1</v>
      </c>
    </row>
    <row r="558" spans="1:22" x14ac:dyDescent="0.25">
      <c r="A558" s="3">
        <v>44774</v>
      </c>
      <c r="B558" s="4">
        <v>0.55163194444444441</v>
      </c>
      <c r="C558" s="1">
        <v>1337</v>
      </c>
      <c r="D558" s="1">
        <v>13002561</v>
      </c>
      <c r="E558" s="1">
        <v>13</v>
      </c>
      <c r="F558" s="1">
        <v>22589</v>
      </c>
      <c r="G558" s="1" t="s">
        <v>21</v>
      </c>
      <c r="H558" s="1">
        <v>15</v>
      </c>
      <c r="I558" s="1">
        <v>60526</v>
      </c>
      <c r="J558" s="14" t="s">
        <v>280</v>
      </c>
      <c r="K558" s="1" t="s">
        <v>51</v>
      </c>
      <c r="L558" s="1" t="s">
        <v>197</v>
      </c>
      <c r="M558" s="14">
        <v>1</v>
      </c>
      <c r="N558" s="2">
        <v>263.64999999999998</v>
      </c>
      <c r="O558" s="16">
        <v>356</v>
      </c>
      <c r="P558" s="14">
        <v>24</v>
      </c>
      <c r="Q558" s="14">
        <f t="shared" si="8"/>
        <v>332</v>
      </c>
      <c r="R558" s="1">
        <v>9</v>
      </c>
      <c r="S558" s="1">
        <v>200010027862</v>
      </c>
      <c r="T558" s="1">
        <v>29</v>
      </c>
      <c r="U558" s="1">
        <v>1</v>
      </c>
      <c r="V558" s="1">
        <v>2</v>
      </c>
    </row>
    <row r="559" spans="1:22" x14ac:dyDescent="0.25">
      <c r="A559" s="3">
        <v>44777</v>
      </c>
      <c r="B559" s="4">
        <v>0.48834490740740738</v>
      </c>
      <c r="C559" s="1">
        <v>1685</v>
      </c>
      <c r="D559" s="1">
        <v>13002606</v>
      </c>
      <c r="E559" s="1">
        <v>13</v>
      </c>
      <c r="F559" s="1">
        <v>22589</v>
      </c>
      <c r="G559" s="1" t="s">
        <v>21</v>
      </c>
      <c r="H559" s="1">
        <v>18</v>
      </c>
      <c r="I559" s="1">
        <v>60526</v>
      </c>
      <c r="J559" s="14" t="s">
        <v>280</v>
      </c>
      <c r="K559" s="1" t="s">
        <v>51</v>
      </c>
      <c r="L559" s="1" t="s">
        <v>197</v>
      </c>
      <c r="M559" s="14">
        <v>1</v>
      </c>
      <c r="N559" s="2">
        <v>266.95</v>
      </c>
      <c r="O559" s="16">
        <v>361</v>
      </c>
      <c r="P559" s="14">
        <v>25</v>
      </c>
      <c r="Q559" s="14">
        <f t="shared" si="8"/>
        <v>336</v>
      </c>
      <c r="R559" s="1">
        <v>9</v>
      </c>
      <c r="S559" s="1">
        <v>200010022986</v>
      </c>
      <c r="T559" s="1">
        <v>50</v>
      </c>
      <c r="U559" s="1">
        <v>1</v>
      </c>
      <c r="V559" s="1">
        <v>3</v>
      </c>
    </row>
    <row r="560" spans="1:22" x14ac:dyDescent="0.25">
      <c r="A560" s="3">
        <v>44774</v>
      </c>
      <c r="B560" s="4">
        <v>0.49380787037037038</v>
      </c>
      <c r="C560" s="1">
        <v>1314</v>
      </c>
      <c r="D560" s="1">
        <v>13002561</v>
      </c>
      <c r="E560" s="1">
        <v>13</v>
      </c>
      <c r="F560" s="1">
        <v>22589</v>
      </c>
      <c r="G560" s="1" t="s">
        <v>21</v>
      </c>
      <c r="H560" s="1">
        <v>15</v>
      </c>
      <c r="I560" s="1">
        <v>115628</v>
      </c>
      <c r="J560" s="14" t="s">
        <v>196</v>
      </c>
      <c r="K560" s="1" t="s">
        <v>51</v>
      </c>
      <c r="L560" s="1" t="s">
        <v>197</v>
      </c>
      <c r="M560" s="14">
        <v>1</v>
      </c>
      <c r="N560" s="2">
        <v>469.87</v>
      </c>
      <c r="O560" s="16">
        <v>621</v>
      </c>
      <c r="P560" s="14">
        <v>43</v>
      </c>
      <c r="Q560" s="14">
        <f t="shared" si="8"/>
        <v>578</v>
      </c>
      <c r="R560" s="1">
        <v>9</v>
      </c>
      <c r="S560" s="1">
        <v>200010001041</v>
      </c>
      <c r="T560" s="1">
        <v>29</v>
      </c>
      <c r="U560" s="1">
        <v>1</v>
      </c>
      <c r="V560" s="1">
        <v>3</v>
      </c>
    </row>
    <row r="561" spans="1:22" x14ac:dyDescent="0.25">
      <c r="A561" s="3">
        <v>44776</v>
      </c>
      <c r="B561" s="4">
        <v>0.82079861111111108</v>
      </c>
      <c r="C561" s="1">
        <v>1657</v>
      </c>
      <c r="D561" s="1">
        <v>13002595</v>
      </c>
      <c r="E561" s="1">
        <v>13</v>
      </c>
      <c r="F561" s="1">
        <v>22589</v>
      </c>
      <c r="G561" s="1" t="s">
        <v>21</v>
      </c>
      <c r="H561" s="1">
        <v>18</v>
      </c>
      <c r="I561" s="1">
        <v>67418</v>
      </c>
      <c r="J561" s="14" t="s">
        <v>924</v>
      </c>
      <c r="K561" s="1" t="s">
        <v>23</v>
      </c>
      <c r="L561" s="1" t="s">
        <v>67</v>
      </c>
      <c r="M561" s="14">
        <v>1</v>
      </c>
      <c r="N561" s="2">
        <v>197.01</v>
      </c>
      <c r="O561" s="16">
        <v>247</v>
      </c>
      <c r="P561" s="14">
        <v>32.56</v>
      </c>
      <c r="Q561" s="14">
        <f t="shared" si="8"/>
        <v>214.44</v>
      </c>
      <c r="R561" s="1">
        <v>925</v>
      </c>
      <c r="S561" s="1">
        <v>200000000492</v>
      </c>
      <c r="T561" s="1">
        <v>29</v>
      </c>
      <c r="U561" s="1">
        <v>1</v>
      </c>
      <c r="V561" s="1">
        <v>1</v>
      </c>
    </row>
    <row r="562" spans="1:22" x14ac:dyDescent="0.25">
      <c r="A562" s="3">
        <v>44775</v>
      </c>
      <c r="B562" s="4">
        <v>0.49857638888888889</v>
      </c>
      <c r="C562" s="1">
        <v>1455</v>
      </c>
      <c r="D562" s="1">
        <v>13002581</v>
      </c>
      <c r="E562" s="1">
        <v>13</v>
      </c>
      <c r="F562" s="1">
        <v>22589</v>
      </c>
      <c r="G562" s="1" t="s">
        <v>21</v>
      </c>
      <c r="H562" s="1">
        <v>18</v>
      </c>
      <c r="I562" s="1">
        <v>58685</v>
      </c>
      <c r="J562" s="14" t="s">
        <v>557</v>
      </c>
      <c r="K562" s="1" t="s">
        <v>51</v>
      </c>
      <c r="L562" s="1" t="s">
        <v>197</v>
      </c>
      <c r="M562" s="14">
        <v>1</v>
      </c>
      <c r="N562" s="2">
        <v>155.87</v>
      </c>
      <c r="O562" s="16">
        <v>214</v>
      </c>
      <c r="P562" s="14">
        <v>0</v>
      </c>
      <c r="Q562" s="14">
        <f t="shared" si="8"/>
        <v>214</v>
      </c>
      <c r="R562" s="1" t="s">
        <v>25</v>
      </c>
      <c r="S562" s="1" t="s">
        <v>25</v>
      </c>
      <c r="T562" s="1">
        <v>29</v>
      </c>
      <c r="U562" s="1">
        <v>1</v>
      </c>
      <c r="V562" s="1">
        <v>1</v>
      </c>
    </row>
    <row r="563" spans="1:22" x14ac:dyDescent="0.25">
      <c r="A563" s="3">
        <v>44778</v>
      </c>
      <c r="B563" s="4">
        <v>0.56238425925925928</v>
      </c>
      <c r="C563" s="1">
        <v>1846</v>
      </c>
      <c r="D563" s="1">
        <v>13002616</v>
      </c>
      <c r="E563" s="1">
        <v>13</v>
      </c>
      <c r="F563" s="1">
        <v>22589</v>
      </c>
      <c r="G563" s="1" t="s">
        <v>21</v>
      </c>
      <c r="H563" s="1">
        <v>15</v>
      </c>
      <c r="I563" s="1">
        <v>7485</v>
      </c>
      <c r="J563" s="14" t="s">
        <v>1156</v>
      </c>
      <c r="K563" s="1" t="s">
        <v>34</v>
      </c>
      <c r="L563" s="1" t="s">
        <v>157</v>
      </c>
      <c r="M563" s="14">
        <v>1</v>
      </c>
      <c r="N563" s="2">
        <v>250.91</v>
      </c>
      <c r="O563" s="16">
        <v>310.5</v>
      </c>
      <c r="P563" s="14">
        <v>0</v>
      </c>
      <c r="Q563" s="14">
        <f t="shared" si="8"/>
        <v>310.5</v>
      </c>
      <c r="R563" s="1" t="s">
        <v>25</v>
      </c>
      <c r="S563" s="1" t="s">
        <v>25</v>
      </c>
      <c r="T563" s="1">
        <v>50</v>
      </c>
      <c r="U563" s="1">
        <v>1</v>
      </c>
      <c r="V563" s="1">
        <v>1</v>
      </c>
    </row>
    <row r="564" spans="1:22" x14ac:dyDescent="0.25">
      <c r="A564" s="3">
        <v>44774</v>
      </c>
      <c r="B564" s="4">
        <v>0.66700231481481487</v>
      </c>
      <c r="C564" s="1">
        <v>1370</v>
      </c>
      <c r="D564" s="1">
        <v>13002561</v>
      </c>
      <c r="E564" s="1">
        <v>13</v>
      </c>
      <c r="F564" s="1">
        <v>22589</v>
      </c>
      <c r="G564" s="1" t="s">
        <v>21</v>
      </c>
      <c r="H564" s="1">
        <v>18</v>
      </c>
      <c r="I564" s="1">
        <v>6125</v>
      </c>
      <c r="J564" s="14" t="s">
        <v>365</v>
      </c>
      <c r="K564" s="1" t="s">
        <v>29</v>
      </c>
      <c r="L564" s="1" t="s">
        <v>157</v>
      </c>
      <c r="M564" s="14">
        <v>1</v>
      </c>
      <c r="N564" s="2">
        <v>170.37</v>
      </c>
      <c r="O564" s="16">
        <v>207</v>
      </c>
      <c r="P564" s="14">
        <v>10</v>
      </c>
      <c r="Q564" s="14">
        <f t="shared" si="8"/>
        <v>197</v>
      </c>
      <c r="R564" s="1">
        <v>9</v>
      </c>
      <c r="S564" s="1">
        <v>200010016459</v>
      </c>
      <c r="T564" s="1">
        <v>29</v>
      </c>
      <c r="U564" s="1">
        <v>1</v>
      </c>
      <c r="V564" s="1">
        <v>1</v>
      </c>
    </row>
    <row r="565" spans="1:22" x14ac:dyDescent="0.25">
      <c r="A565" s="3">
        <v>44774</v>
      </c>
      <c r="B565" s="4">
        <v>0.45239583333333333</v>
      </c>
      <c r="C565" s="1">
        <v>1299</v>
      </c>
      <c r="D565" s="1">
        <v>13002561</v>
      </c>
      <c r="E565" s="1">
        <v>13</v>
      </c>
      <c r="F565" s="1">
        <v>22589</v>
      </c>
      <c r="G565" s="1" t="s">
        <v>21</v>
      </c>
      <c r="H565" s="1">
        <v>18</v>
      </c>
      <c r="I565" s="1">
        <v>22533</v>
      </c>
      <c r="J565" s="14" t="s">
        <v>156</v>
      </c>
      <c r="K565" s="1" t="s">
        <v>29</v>
      </c>
      <c r="L565" s="1" t="s">
        <v>157</v>
      </c>
      <c r="M565" s="14">
        <v>1</v>
      </c>
      <c r="N565" s="2">
        <v>130.83000000000001</v>
      </c>
      <c r="O565" s="16">
        <v>151</v>
      </c>
      <c r="P565" s="14">
        <v>7</v>
      </c>
      <c r="Q565" s="14">
        <f t="shared" si="8"/>
        <v>144</v>
      </c>
      <c r="R565" s="1">
        <v>9</v>
      </c>
      <c r="S565" s="1">
        <v>200010023919</v>
      </c>
      <c r="T565" s="1">
        <v>29</v>
      </c>
      <c r="U565" s="1">
        <v>1</v>
      </c>
      <c r="V565" s="1">
        <v>3</v>
      </c>
    </row>
    <row r="566" spans="1:22" x14ac:dyDescent="0.25">
      <c r="A566" s="3">
        <v>44774</v>
      </c>
      <c r="B566" s="4">
        <v>0.66700231481481487</v>
      </c>
      <c r="C566" s="1">
        <v>1370</v>
      </c>
      <c r="D566" s="1">
        <v>13002561</v>
      </c>
      <c r="E566" s="1">
        <v>13</v>
      </c>
      <c r="F566" s="1">
        <v>22589</v>
      </c>
      <c r="G566" s="1" t="s">
        <v>21</v>
      </c>
      <c r="H566" s="1">
        <v>18</v>
      </c>
      <c r="I566" s="1">
        <v>22533</v>
      </c>
      <c r="J566" s="14" t="s">
        <v>156</v>
      </c>
      <c r="K566" s="1" t="s">
        <v>29</v>
      </c>
      <c r="L566" s="1" t="s">
        <v>157</v>
      </c>
      <c r="M566" s="14">
        <v>1</v>
      </c>
      <c r="N566" s="2">
        <v>130.83000000000001</v>
      </c>
      <c r="O566" s="16">
        <v>151</v>
      </c>
      <c r="P566" s="14">
        <v>7</v>
      </c>
      <c r="Q566" s="14">
        <f t="shared" si="8"/>
        <v>144</v>
      </c>
      <c r="R566" s="1">
        <v>9</v>
      </c>
      <c r="S566" s="1">
        <v>200010016459</v>
      </c>
      <c r="T566" s="1">
        <v>29</v>
      </c>
      <c r="U566" s="1">
        <v>1</v>
      </c>
      <c r="V566" s="1">
        <v>2</v>
      </c>
    </row>
    <row r="567" spans="1:22" x14ac:dyDescent="0.25">
      <c r="A567" s="3">
        <v>44776</v>
      </c>
      <c r="B567" s="4">
        <v>0.50604166666666661</v>
      </c>
      <c r="C567" s="1">
        <v>1575</v>
      </c>
      <c r="D567" s="1">
        <v>13002595</v>
      </c>
      <c r="E567" s="1">
        <v>13</v>
      </c>
      <c r="F567" s="1">
        <v>22589</v>
      </c>
      <c r="G567" s="1" t="s">
        <v>21</v>
      </c>
      <c r="H567" s="1">
        <v>18</v>
      </c>
      <c r="I567" s="1">
        <v>22533</v>
      </c>
      <c r="J567" s="14" t="s">
        <v>156</v>
      </c>
      <c r="K567" s="1" t="s">
        <v>466</v>
      </c>
      <c r="L567" s="1" t="s">
        <v>781</v>
      </c>
      <c r="M567" s="14">
        <v>1</v>
      </c>
      <c r="N567" s="2">
        <v>145.63999999999999</v>
      </c>
      <c r="O567" s="16">
        <v>160</v>
      </c>
      <c r="P567" s="14">
        <v>0</v>
      </c>
      <c r="Q567" s="14">
        <f t="shared" si="8"/>
        <v>160</v>
      </c>
      <c r="R567" s="1" t="s">
        <v>25</v>
      </c>
      <c r="S567" s="1" t="s">
        <v>25</v>
      </c>
      <c r="T567" s="1">
        <v>29</v>
      </c>
      <c r="U567" s="1">
        <v>2</v>
      </c>
      <c r="V567" s="1">
        <v>10</v>
      </c>
    </row>
    <row r="568" spans="1:22" x14ac:dyDescent="0.25">
      <c r="A568" s="3">
        <v>44776</v>
      </c>
      <c r="B568" s="4">
        <v>0.50604166666666661</v>
      </c>
      <c r="C568" s="1">
        <v>1575</v>
      </c>
      <c r="D568" s="1">
        <v>13002595</v>
      </c>
      <c r="E568" s="1">
        <v>13</v>
      </c>
      <c r="F568" s="1">
        <v>22589</v>
      </c>
      <c r="G568" s="1" t="s">
        <v>21</v>
      </c>
      <c r="H568" s="1">
        <v>18</v>
      </c>
      <c r="I568" s="1">
        <v>22533</v>
      </c>
      <c r="J568" s="14" t="s">
        <v>156</v>
      </c>
      <c r="K568" s="1" t="s">
        <v>466</v>
      </c>
      <c r="L568" s="1" t="s">
        <v>781</v>
      </c>
      <c r="M568" s="14">
        <v>1</v>
      </c>
      <c r="N568" s="2">
        <v>145.63999999999999</v>
      </c>
      <c r="O568" s="16">
        <v>160</v>
      </c>
      <c r="P568" s="14">
        <v>0</v>
      </c>
      <c r="Q568" s="14">
        <f t="shared" si="8"/>
        <v>160</v>
      </c>
      <c r="R568" s="1" t="s">
        <v>25</v>
      </c>
      <c r="S568" s="1" t="s">
        <v>25</v>
      </c>
      <c r="T568" s="1">
        <v>29</v>
      </c>
      <c r="U568" s="1">
        <v>2</v>
      </c>
      <c r="V568" s="1">
        <v>11</v>
      </c>
    </row>
    <row r="569" spans="1:22" x14ac:dyDescent="0.25">
      <c r="A569" s="3">
        <v>44776</v>
      </c>
      <c r="B569" s="4">
        <v>0.67155092592592591</v>
      </c>
      <c r="C569" s="1">
        <v>1623</v>
      </c>
      <c r="D569" s="1">
        <v>13002595</v>
      </c>
      <c r="E569" s="1">
        <v>13</v>
      </c>
      <c r="F569" s="1">
        <v>22589</v>
      </c>
      <c r="G569" s="1" t="s">
        <v>21</v>
      </c>
      <c r="H569" s="1">
        <v>18</v>
      </c>
      <c r="I569" s="1">
        <v>22533</v>
      </c>
      <c r="J569" s="14" t="s">
        <v>156</v>
      </c>
      <c r="K569" s="1" t="s">
        <v>29</v>
      </c>
      <c r="L569" s="1" t="s">
        <v>157</v>
      </c>
      <c r="M569" s="14">
        <v>1</v>
      </c>
      <c r="N569" s="2">
        <v>130.83000000000001</v>
      </c>
      <c r="O569" s="16">
        <v>158</v>
      </c>
      <c r="P569" s="14">
        <v>7</v>
      </c>
      <c r="Q569" s="14">
        <f t="shared" si="8"/>
        <v>151</v>
      </c>
      <c r="R569" s="1">
        <v>9</v>
      </c>
      <c r="S569" s="1">
        <v>200010023600</v>
      </c>
      <c r="T569" s="1">
        <v>29</v>
      </c>
      <c r="U569" s="1">
        <v>1</v>
      </c>
      <c r="V569" s="1">
        <v>2</v>
      </c>
    </row>
    <row r="570" spans="1:22" x14ac:dyDescent="0.25">
      <c r="A570" s="3">
        <v>44777</v>
      </c>
      <c r="B570" s="4">
        <v>0.49413194444444447</v>
      </c>
      <c r="C570" s="1">
        <v>1689</v>
      </c>
      <c r="D570" s="1">
        <v>13002606</v>
      </c>
      <c r="E570" s="1">
        <v>13</v>
      </c>
      <c r="F570" s="1">
        <v>22589</v>
      </c>
      <c r="G570" s="1" t="s">
        <v>21</v>
      </c>
      <c r="H570" s="1">
        <v>18</v>
      </c>
      <c r="I570" s="1">
        <v>22533</v>
      </c>
      <c r="J570" s="14" t="s">
        <v>156</v>
      </c>
      <c r="K570" s="1" t="s">
        <v>29</v>
      </c>
      <c r="L570" s="1" t="s">
        <v>157</v>
      </c>
      <c r="M570" s="14">
        <v>1</v>
      </c>
      <c r="N570" s="2">
        <v>130.83000000000001</v>
      </c>
      <c r="O570" s="16">
        <v>158</v>
      </c>
      <c r="P570" s="14">
        <v>7</v>
      </c>
      <c r="Q570" s="14">
        <f t="shared" si="8"/>
        <v>151</v>
      </c>
      <c r="R570" s="1">
        <v>9</v>
      </c>
      <c r="S570" s="1">
        <v>200010020219</v>
      </c>
      <c r="T570" s="1">
        <v>50</v>
      </c>
      <c r="U570" s="1">
        <v>1</v>
      </c>
      <c r="V570" s="1">
        <v>1</v>
      </c>
    </row>
    <row r="571" spans="1:22" x14ac:dyDescent="0.25">
      <c r="A571" s="3">
        <v>44777</v>
      </c>
      <c r="B571" s="4">
        <v>0.54130787037037043</v>
      </c>
      <c r="C571" s="1">
        <v>1712</v>
      </c>
      <c r="D571" s="1">
        <v>13002606</v>
      </c>
      <c r="E571" s="1">
        <v>13</v>
      </c>
      <c r="F571" s="1">
        <v>22589</v>
      </c>
      <c r="G571" s="1" t="s">
        <v>21</v>
      </c>
      <c r="H571" s="1">
        <v>15</v>
      </c>
      <c r="I571" s="1">
        <v>22533</v>
      </c>
      <c r="J571" s="14" t="s">
        <v>156</v>
      </c>
      <c r="K571" s="1" t="s">
        <v>29</v>
      </c>
      <c r="L571" s="1" t="s">
        <v>157</v>
      </c>
      <c r="M571" s="14">
        <v>1</v>
      </c>
      <c r="N571" s="2">
        <v>130.83000000000001</v>
      </c>
      <c r="O571" s="16">
        <v>158</v>
      </c>
      <c r="P571" s="14">
        <v>0</v>
      </c>
      <c r="Q571" s="14">
        <f t="shared" si="8"/>
        <v>158</v>
      </c>
      <c r="R571" s="1" t="s">
        <v>25</v>
      </c>
      <c r="S571" s="1" t="s">
        <v>25</v>
      </c>
      <c r="T571" s="1">
        <v>50</v>
      </c>
      <c r="U571" s="1">
        <v>1</v>
      </c>
      <c r="V571" s="1">
        <v>1</v>
      </c>
    </row>
    <row r="572" spans="1:22" x14ac:dyDescent="0.25">
      <c r="A572" s="3">
        <v>44777</v>
      </c>
      <c r="B572" s="4">
        <v>0.60799768518518515</v>
      </c>
      <c r="C572" s="1">
        <v>1732</v>
      </c>
      <c r="D572" s="1">
        <v>13002606</v>
      </c>
      <c r="E572" s="1">
        <v>13</v>
      </c>
      <c r="F572" s="1">
        <v>22589</v>
      </c>
      <c r="G572" s="1" t="s">
        <v>21</v>
      </c>
      <c r="H572" s="1">
        <v>15</v>
      </c>
      <c r="I572" s="1">
        <v>22533</v>
      </c>
      <c r="J572" s="14" t="s">
        <v>156</v>
      </c>
      <c r="K572" s="1" t="s">
        <v>29</v>
      </c>
      <c r="L572" s="1" t="s">
        <v>157</v>
      </c>
      <c r="M572" s="14">
        <v>1</v>
      </c>
      <c r="N572" s="2">
        <v>130.83000000000001</v>
      </c>
      <c r="O572" s="16">
        <v>158</v>
      </c>
      <c r="P572" s="14">
        <v>7</v>
      </c>
      <c r="Q572" s="14">
        <f t="shared" si="8"/>
        <v>151</v>
      </c>
      <c r="R572" s="1">
        <v>9</v>
      </c>
      <c r="S572" s="1">
        <v>200010004094</v>
      </c>
      <c r="T572" s="1">
        <v>50</v>
      </c>
      <c r="U572" s="1">
        <v>1</v>
      </c>
      <c r="V572" s="1">
        <v>1</v>
      </c>
    </row>
    <row r="573" spans="1:22" x14ac:dyDescent="0.25">
      <c r="A573" s="3">
        <v>44777</v>
      </c>
      <c r="B573" s="4">
        <v>0.6507060185185185</v>
      </c>
      <c r="C573" s="1">
        <v>1741</v>
      </c>
      <c r="D573" s="1">
        <v>13002606</v>
      </c>
      <c r="E573" s="1">
        <v>13</v>
      </c>
      <c r="F573" s="1">
        <v>22589</v>
      </c>
      <c r="G573" s="1" t="s">
        <v>21</v>
      </c>
      <c r="H573" s="1">
        <v>15</v>
      </c>
      <c r="I573" s="1">
        <v>22533</v>
      </c>
      <c r="J573" s="14" t="s">
        <v>156</v>
      </c>
      <c r="K573" s="1" t="s">
        <v>29</v>
      </c>
      <c r="L573" s="1" t="s">
        <v>157</v>
      </c>
      <c r="M573" s="14">
        <v>1</v>
      </c>
      <c r="N573" s="2">
        <v>130.83000000000001</v>
      </c>
      <c r="O573" s="16">
        <v>158</v>
      </c>
      <c r="P573" s="14">
        <v>7</v>
      </c>
      <c r="Q573" s="14">
        <f t="shared" si="8"/>
        <v>151</v>
      </c>
      <c r="R573" s="1">
        <v>9</v>
      </c>
      <c r="S573" s="1">
        <v>200010026890</v>
      </c>
      <c r="T573" s="1">
        <v>50</v>
      </c>
      <c r="U573" s="1">
        <v>1</v>
      </c>
      <c r="V573" s="1">
        <v>1</v>
      </c>
    </row>
    <row r="574" spans="1:22" x14ac:dyDescent="0.25">
      <c r="A574" s="3">
        <v>44774</v>
      </c>
      <c r="B574" s="4">
        <v>0.50835648148148149</v>
      </c>
      <c r="C574" s="1">
        <v>1321</v>
      </c>
      <c r="D574" s="1">
        <v>13002561</v>
      </c>
      <c r="E574" s="1">
        <v>13</v>
      </c>
      <c r="F574" s="1">
        <v>22589</v>
      </c>
      <c r="G574" s="1" t="s">
        <v>21</v>
      </c>
      <c r="H574" s="1">
        <v>18</v>
      </c>
      <c r="I574" s="1">
        <v>162483</v>
      </c>
      <c r="J574" s="14" t="s">
        <v>225</v>
      </c>
      <c r="K574" s="1" t="s">
        <v>51</v>
      </c>
      <c r="L574" s="1" t="s">
        <v>226</v>
      </c>
      <c r="M574" s="14">
        <v>1</v>
      </c>
      <c r="N574" s="2">
        <v>8.08</v>
      </c>
      <c r="O574" s="16">
        <v>14</v>
      </c>
      <c r="P574" s="14">
        <v>1</v>
      </c>
      <c r="Q574" s="14">
        <f t="shared" si="8"/>
        <v>13</v>
      </c>
      <c r="R574" s="1">
        <v>9</v>
      </c>
      <c r="S574" s="1">
        <v>200010022507</v>
      </c>
      <c r="T574" s="1">
        <v>29</v>
      </c>
      <c r="U574" s="1">
        <v>1</v>
      </c>
      <c r="V574" s="1">
        <v>1</v>
      </c>
    </row>
    <row r="575" spans="1:22" x14ac:dyDescent="0.25">
      <c r="A575" s="3">
        <v>44775</v>
      </c>
      <c r="B575" s="4">
        <v>0.79348379629629628</v>
      </c>
      <c r="C575" s="1">
        <v>1529</v>
      </c>
      <c r="D575" s="1">
        <v>13002581</v>
      </c>
      <c r="E575" s="1">
        <v>13</v>
      </c>
      <c r="F575" s="1">
        <v>22589</v>
      </c>
      <c r="G575" s="1" t="s">
        <v>21</v>
      </c>
      <c r="H575" s="1">
        <v>15</v>
      </c>
      <c r="I575" s="1">
        <v>162483</v>
      </c>
      <c r="J575" s="14" t="s">
        <v>225</v>
      </c>
      <c r="K575" s="1" t="s">
        <v>51</v>
      </c>
      <c r="L575" s="1" t="s">
        <v>226</v>
      </c>
      <c r="M575" s="14">
        <v>2</v>
      </c>
      <c r="N575" s="2">
        <v>8.08</v>
      </c>
      <c r="O575" s="16">
        <v>14</v>
      </c>
      <c r="P575" s="14">
        <v>2</v>
      </c>
      <c r="Q575" s="14">
        <f t="shared" si="8"/>
        <v>26</v>
      </c>
      <c r="R575" s="1">
        <v>9</v>
      </c>
      <c r="S575" s="1">
        <v>200010022022</v>
      </c>
      <c r="T575" s="1">
        <v>29</v>
      </c>
      <c r="U575" s="1">
        <v>1</v>
      </c>
      <c r="V575" s="1">
        <v>1</v>
      </c>
    </row>
    <row r="576" spans="1:22" x14ac:dyDescent="0.25">
      <c r="A576" s="3">
        <v>44776</v>
      </c>
      <c r="B576" s="4">
        <v>0.71657407407407403</v>
      </c>
      <c r="C576" s="1">
        <v>1631</v>
      </c>
      <c r="D576" s="1">
        <v>13002595</v>
      </c>
      <c r="E576" s="1">
        <v>13</v>
      </c>
      <c r="F576" s="1">
        <v>22589</v>
      </c>
      <c r="G576" s="1" t="s">
        <v>21</v>
      </c>
      <c r="H576" s="1">
        <v>15</v>
      </c>
      <c r="I576" s="1">
        <v>162483</v>
      </c>
      <c r="J576" s="14" t="s">
        <v>225</v>
      </c>
      <c r="K576" s="1" t="s">
        <v>51</v>
      </c>
      <c r="L576" s="1" t="s">
        <v>226</v>
      </c>
      <c r="M576" s="14">
        <v>2</v>
      </c>
      <c r="N576" s="2">
        <v>8.08</v>
      </c>
      <c r="O576" s="16">
        <v>14</v>
      </c>
      <c r="P576" s="14">
        <v>0</v>
      </c>
      <c r="Q576" s="14">
        <f t="shared" si="8"/>
        <v>28</v>
      </c>
      <c r="R576" s="1" t="s">
        <v>25</v>
      </c>
      <c r="S576" s="1" t="s">
        <v>25</v>
      </c>
      <c r="T576" s="1">
        <v>29</v>
      </c>
      <c r="U576" s="1">
        <v>1</v>
      </c>
      <c r="V576" s="1">
        <v>2</v>
      </c>
    </row>
    <row r="577" spans="1:22" x14ac:dyDescent="0.25">
      <c r="A577" s="3">
        <v>44777</v>
      </c>
      <c r="B577" s="4">
        <v>0.47739583333333335</v>
      </c>
      <c r="C577" s="1">
        <v>1682</v>
      </c>
      <c r="D577" s="1">
        <v>13002606</v>
      </c>
      <c r="E577" s="1">
        <v>13</v>
      </c>
      <c r="F577" s="1">
        <v>22589</v>
      </c>
      <c r="G577" s="1" t="s">
        <v>21</v>
      </c>
      <c r="H577" s="1">
        <v>18</v>
      </c>
      <c r="I577" s="1">
        <v>162483</v>
      </c>
      <c r="J577" s="14" t="s">
        <v>225</v>
      </c>
      <c r="K577" s="1" t="s">
        <v>141</v>
      </c>
      <c r="L577" s="1" t="s">
        <v>959</v>
      </c>
      <c r="M577" s="14">
        <v>4</v>
      </c>
      <c r="N577" s="2">
        <v>7.37</v>
      </c>
      <c r="O577" s="16">
        <v>12</v>
      </c>
      <c r="P577" s="14">
        <v>0</v>
      </c>
      <c r="Q577" s="14">
        <f t="shared" si="8"/>
        <v>48</v>
      </c>
      <c r="R577" s="1" t="s">
        <v>25</v>
      </c>
      <c r="S577" s="1" t="s">
        <v>25</v>
      </c>
      <c r="T577" s="1">
        <v>50</v>
      </c>
      <c r="U577" s="1">
        <v>1</v>
      </c>
      <c r="V577" s="1">
        <v>1</v>
      </c>
    </row>
    <row r="578" spans="1:22" x14ac:dyDescent="0.25">
      <c r="A578" s="3">
        <v>44777</v>
      </c>
      <c r="B578" s="4">
        <v>0.74052083333333329</v>
      </c>
      <c r="C578" s="1">
        <v>1761</v>
      </c>
      <c r="D578" s="1">
        <v>13002606</v>
      </c>
      <c r="E578" s="1">
        <v>13</v>
      </c>
      <c r="F578" s="1">
        <v>22589</v>
      </c>
      <c r="G578" s="1" t="s">
        <v>21</v>
      </c>
      <c r="H578" s="1">
        <v>18</v>
      </c>
      <c r="I578" s="1">
        <v>162483</v>
      </c>
      <c r="J578" s="14" t="s">
        <v>225</v>
      </c>
      <c r="K578" s="1" t="s">
        <v>141</v>
      </c>
      <c r="L578" s="1" t="s">
        <v>959</v>
      </c>
      <c r="M578" s="14">
        <v>1</v>
      </c>
      <c r="N578" s="2">
        <v>7.37</v>
      </c>
      <c r="O578" s="16">
        <v>12</v>
      </c>
      <c r="P578" s="14">
        <v>0</v>
      </c>
      <c r="Q578" s="14">
        <f t="shared" ref="Q578:Q641" si="9">M578*O578-P578</f>
        <v>12</v>
      </c>
      <c r="R578" s="1" t="s">
        <v>25</v>
      </c>
      <c r="S578" s="1" t="s">
        <v>25</v>
      </c>
      <c r="T578" s="1">
        <v>50</v>
      </c>
      <c r="U578" s="1">
        <v>1</v>
      </c>
      <c r="V578" s="1">
        <v>1</v>
      </c>
    </row>
    <row r="579" spans="1:22" x14ac:dyDescent="0.25">
      <c r="A579" s="3">
        <v>44777</v>
      </c>
      <c r="B579" s="4">
        <v>0.6431944444444444</v>
      </c>
      <c r="C579" s="1">
        <v>1739</v>
      </c>
      <c r="D579" s="1">
        <v>13002606</v>
      </c>
      <c r="E579" s="1">
        <v>13</v>
      </c>
      <c r="F579" s="1">
        <v>22589</v>
      </c>
      <c r="G579" s="1" t="s">
        <v>21</v>
      </c>
      <c r="H579" s="1">
        <v>18</v>
      </c>
      <c r="I579" s="1">
        <v>162483</v>
      </c>
      <c r="J579" s="14" t="s">
        <v>225</v>
      </c>
      <c r="K579" s="1" t="s">
        <v>51</v>
      </c>
      <c r="L579" s="1" t="s">
        <v>226</v>
      </c>
      <c r="M579" s="14">
        <v>1</v>
      </c>
      <c r="N579" s="2">
        <v>8.08</v>
      </c>
      <c r="O579" s="16">
        <v>14</v>
      </c>
      <c r="P579" s="14">
        <v>0</v>
      </c>
      <c r="Q579" s="14">
        <f t="shared" si="9"/>
        <v>14</v>
      </c>
      <c r="R579" s="1" t="s">
        <v>25</v>
      </c>
      <c r="S579" s="1" t="s">
        <v>25</v>
      </c>
      <c r="T579" s="1">
        <v>50</v>
      </c>
      <c r="U579" s="1">
        <v>1</v>
      </c>
      <c r="V579" s="1">
        <v>1</v>
      </c>
    </row>
    <row r="580" spans="1:22" x14ac:dyDescent="0.25">
      <c r="A580" s="3">
        <v>44774</v>
      </c>
      <c r="B580" s="4">
        <v>0.77875000000000005</v>
      </c>
      <c r="C580" s="1">
        <v>1400</v>
      </c>
      <c r="D580" s="1">
        <v>13002561</v>
      </c>
      <c r="E580" s="1">
        <v>13</v>
      </c>
      <c r="F580" s="1">
        <v>22589</v>
      </c>
      <c r="G580" s="1" t="s">
        <v>21</v>
      </c>
      <c r="H580" s="1">
        <v>15</v>
      </c>
      <c r="I580" s="1">
        <v>61476</v>
      </c>
      <c r="J580" s="14" t="s">
        <v>440</v>
      </c>
      <c r="K580" s="1" t="s">
        <v>29</v>
      </c>
      <c r="L580" s="1" t="s">
        <v>441</v>
      </c>
      <c r="M580" s="14">
        <v>1</v>
      </c>
      <c r="N580" s="2">
        <v>7.88</v>
      </c>
      <c r="O580" s="16">
        <v>14</v>
      </c>
      <c r="P580" s="14">
        <v>1</v>
      </c>
      <c r="Q580" s="14">
        <f t="shared" si="9"/>
        <v>13</v>
      </c>
      <c r="R580" s="1">
        <v>9</v>
      </c>
      <c r="S580" s="1">
        <v>200010022584</v>
      </c>
      <c r="T580" s="1">
        <v>29</v>
      </c>
      <c r="U580" s="1">
        <v>1</v>
      </c>
      <c r="V580" s="1">
        <v>2</v>
      </c>
    </row>
    <row r="581" spans="1:22" x14ac:dyDescent="0.25">
      <c r="A581" s="3">
        <v>44775</v>
      </c>
      <c r="B581" s="4">
        <v>0.79348379629629628</v>
      </c>
      <c r="C581" s="1">
        <v>1529</v>
      </c>
      <c r="D581" s="1">
        <v>13002581</v>
      </c>
      <c r="E581" s="1">
        <v>13</v>
      </c>
      <c r="F581" s="1">
        <v>22589</v>
      </c>
      <c r="G581" s="1" t="s">
        <v>21</v>
      </c>
      <c r="H581" s="1">
        <v>15</v>
      </c>
      <c r="I581" s="1">
        <v>61476</v>
      </c>
      <c r="J581" s="14" t="s">
        <v>440</v>
      </c>
      <c r="K581" s="1" t="s">
        <v>29</v>
      </c>
      <c r="L581" s="1" t="s">
        <v>441</v>
      </c>
      <c r="M581" s="14">
        <v>1</v>
      </c>
      <c r="N581" s="2">
        <v>7.88</v>
      </c>
      <c r="O581" s="16">
        <v>14</v>
      </c>
      <c r="P581" s="14">
        <v>1</v>
      </c>
      <c r="Q581" s="14">
        <f t="shared" si="9"/>
        <v>13</v>
      </c>
      <c r="R581" s="1">
        <v>9</v>
      </c>
      <c r="S581" s="1">
        <v>200010022022</v>
      </c>
      <c r="T581" s="1">
        <v>29</v>
      </c>
      <c r="U581" s="1">
        <v>1</v>
      </c>
      <c r="V581" s="1">
        <v>2</v>
      </c>
    </row>
    <row r="582" spans="1:22" x14ac:dyDescent="0.25">
      <c r="A582" s="3">
        <v>44774</v>
      </c>
      <c r="B582" s="4">
        <v>0.50835648148148149</v>
      </c>
      <c r="C582" s="1">
        <v>1321</v>
      </c>
      <c r="D582" s="1">
        <v>13002561</v>
      </c>
      <c r="E582" s="1">
        <v>13</v>
      </c>
      <c r="F582" s="1">
        <v>22589</v>
      </c>
      <c r="G582" s="1" t="s">
        <v>21</v>
      </c>
      <c r="H582" s="1">
        <v>18</v>
      </c>
      <c r="I582" s="1">
        <v>55575</v>
      </c>
      <c r="J582" s="14" t="s">
        <v>223</v>
      </c>
      <c r="K582" s="1" t="s">
        <v>51</v>
      </c>
      <c r="L582" s="1" t="s">
        <v>224</v>
      </c>
      <c r="M582" s="14">
        <v>1</v>
      </c>
      <c r="N582" s="2">
        <v>6.96</v>
      </c>
      <c r="O582" s="16">
        <v>12</v>
      </c>
      <c r="P582" s="14">
        <v>1</v>
      </c>
      <c r="Q582" s="14">
        <f t="shared" si="9"/>
        <v>11</v>
      </c>
      <c r="R582" s="1">
        <v>9</v>
      </c>
      <c r="S582" s="1">
        <v>200010022507</v>
      </c>
      <c r="T582" s="1">
        <v>29</v>
      </c>
      <c r="U582" s="1">
        <v>1</v>
      </c>
      <c r="V582" s="1">
        <v>2</v>
      </c>
    </row>
    <row r="583" spans="1:22" x14ac:dyDescent="0.25">
      <c r="A583" s="3">
        <v>44774</v>
      </c>
      <c r="B583" s="4">
        <v>0.78233796296296299</v>
      </c>
      <c r="C583" s="1">
        <v>1402</v>
      </c>
      <c r="D583" s="1">
        <v>13002561</v>
      </c>
      <c r="E583" s="1">
        <v>13</v>
      </c>
      <c r="F583" s="1">
        <v>22589</v>
      </c>
      <c r="G583" s="1" t="s">
        <v>21</v>
      </c>
      <c r="H583" s="1">
        <v>18</v>
      </c>
      <c r="I583" s="1">
        <v>55575</v>
      </c>
      <c r="J583" s="14" t="s">
        <v>223</v>
      </c>
      <c r="K583" s="1" t="s">
        <v>51</v>
      </c>
      <c r="L583" s="1" t="s">
        <v>224</v>
      </c>
      <c r="M583" s="14">
        <v>2</v>
      </c>
      <c r="N583" s="2">
        <v>6.96</v>
      </c>
      <c r="O583" s="16">
        <v>12</v>
      </c>
      <c r="P583" s="14">
        <v>2</v>
      </c>
      <c r="Q583" s="14">
        <f t="shared" si="9"/>
        <v>22</v>
      </c>
      <c r="R583" s="1">
        <v>9</v>
      </c>
      <c r="S583" s="1">
        <v>200010012073</v>
      </c>
      <c r="T583" s="1">
        <v>29</v>
      </c>
      <c r="U583" s="1">
        <v>1</v>
      </c>
      <c r="V583" s="1">
        <v>3</v>
      </c>
    </row>
    <row r="584" spans="1:22" x14ac:dyDescent="0.25">
      <c r="A584" s="3">
        <v>44775</v>
      </c>
      <c r="B584" s="4">
        <v>0.7326273148148148</v>
      </c>
      <c r="C584" s="1">
        <v>1513</v>
      </c>
      <c r="D584" s="1">
        <v>13002581</v>
      </c>
      <c r="E584" s="1">
        <v>13</v>
      </c>
      <c r="F584" s="1">
        <v>22589</v>
      </c>
      <c r="G584" s="1" t="s">
        <v>21</v>
      </c>
      <c r="H584" s="1">
        <v>18</v>
      </c>
      <c r="I584" s="1">
        <v>17778</v>
      </c>
      <c r="J584" s="14" t="s">
        <v>663</v>
      </c>
      <c r="K584" s="1" t="s">
        <v>58</v>
      </c>
      <c r="L584" s="1" t="s">
        <v>664</v>
      </c>
      <c r="M584" s="14">
        <v>1</v>
      </c>
      <c r="N584" s="2">
        <v>417.62</v>
      </c>
      <c r="O584" s="16">
        <v>614</v>
      </c>
      <c r="P584" s="14">
        <v>0</v>
      </c>
      <c r="Q584" s="14">
        <f t="shared" si="9"/>
        <v>614</v>
      </c>
      <c r="R584" s="1" t="s">
        <v>25</v>
      </c>
      <c r="S584" s="1" t="s">
        <v>25</v>
      </c>
      <c r="T584" s="1">
        <v>29</v>
      </c>
      <c r="U584" s="1">
        <v>1</v>
      </c>
      <c r="V584" s="1">
        <v>1</v>
      </c>
    </row>
    <row r="585" spans="1:22" x14ac:dyDescent="0.25">
      <c r="A585" s="3">
        <v>44774</v>
      </c>
      <c r="B585" s="4">
        <v>0.60496527777777775</v>
      </c>
      <c r="C585" s="1">
        <v>1357</v>
      </c>
      <c r="D585" s="1">
        <v>13002561</v>
      </c>
      <c r="E585" s="1">
        <v>13</v>
      </c>
      <c r="F585" s="1">
        <v>22589</v>
      </c>
      <c r="G585" s="1" t="s">
        <v>21</v>
      </c>
      <c r="H585" s="1">
        <v>15</v>
      </c>
      <c r="I585" s="1">
        <v>393397</v>
      </c>
      <c r="J585" s="14" t="s">
        <v>334</v>
      </c>
      <c r="K585" s="1" t="s">
        <v>29</v>
      </c>
      <c r="L585" s="1" t="s">
        <v>335</v>
      </c>
      <c r="M585" s="14">
        <v>1</v>
      </c>
      <c r="N585" s="2">
        <v>20.079999999999998</v>
      </c>
      <c r="O585" s="16">
        <v>26</v>
      </c>
      <c r="P585" s="14">
        <v>1</v>
      </c>
      <c r="Q585" s="14">
        <f t="shared" si="9"/>
        <v>25</v>
      </c>
      <c r="R585" s="1">
        <v>9</v>
      </c>
      <c r="S585" s="1">
        <v>200010002999</v>
      </c>
      <c r="T585" s="1">
        <v>29</v>
      </c>
      <c r="U585" s="1">
        <v>1</v>
      </c>
      <c r="V585" s="1">
        <v>1</v>
      </c>
    </row>
    <row r="586" spans="1:22" x14ac:dyDescent="0.25">
      <c r="A586" s="3">
        <v>44774</v>
      </c>
      <c r="B586" s="4">
        <v>0.72422453703703704</v>
      </c>
      <c r="C586" s="1">
        <v>1385</v>
      </c>
      <c r="D586" s="1">
        <v>13002561</v>
      </c>
      <c r="E586" s="1">
        <v>13</v>
      </c>
      <c r="F586" s="1">
        <v>22589</v>
      </c>
      <c r="G586" s="1" t="s">
        <v>21</v>
      </c>
      <c r="H586" s="1">
        <v>18</v>
      </c>
      <c r="I586" s="1">
        <v>393397</v>
      </c>
      <c r="J586" s="14" t="s">
        <v>334</v>
      </c>
      <c r="K586" s="1" t="s">
        <v>29</v>
      </c>
      <c r="L586" s="1" t="s">
        <v>335</v>
      </c>
      <c r="M586" s="14">
        <v>1</v>
      </c>
      <c r="N586" s="2">
        <v>20.079999999999998</v>
      </c>
      <c r="O586" s="16">
        <v>26</v>
      </c>
      <c r="P586" s="14">
        <v>0</v>
      </c>
      <c r="Q586" s="14">
        <f t="shared" si="9"/>
        <v>26</v>
      </c>
      <c r="R586" s="1" t="s">
        <v>25</v>
      </c>
      <c r="S586" s="1" t="s">
        <v>25</v>
      </c>
      <c r="T586" s="1">
        <v>29</v>
      </c>
      <c r="U586" s="1">
        <v>1</v>
      </c>
      <c r="V586" s="1">
        <v>1</v>
      </c>
    </row>
    <row r="587" spans="1:22" x14ac:dyDescent="0.25">
      <c r="A587" s="3">
        <v>44774</v>
      </c>
      <c r="B587" s="4">
        <v>0.72422453703703704</v>
      </c>
      <c r="C587" s="1">
        <v>1385</v>
      </c>
      <c r="D587" s="1">
        <v>13002561</v>
      </c>
      <c r="E587" s="1">
        <v>13</v>
      </c>
      <c r="F587" s="1">
        <v>22589</v>
      </c>
      <c r="G587" s="1" t="s">
        <v>21</v>
      </c>
      <c r="H587" s="1">
        <v>18</v>
      </c>
      <c r="I587" s="1">
        <v>393397</v>
      </c>
      <c r="J587" s="14" t="s">
        <v>334</v>
      </c>
      <c r="K587" s="1" t="s">
        <v>29</v>
      </c>
      <c r="L587" s="1" t="s">
        <v>335</v>
      </c>
      <c r="M587" s="14">
        <v>1</v>
      </c>
      <c r="N587" s="2">
        <v>20.079999999999998</v>
      </c>
      <c r="O587" s="16">
        <v>26</v>
      </c>
      <c r="P587" s="14">
        <v>0</v>
      </c>
      <c r="Q587" s="14">
        <f t="shared" si="9"/>
        <v>26</v>
      </c>
      <c r="R587" s="1" t="s">
        <v>25</v>
      </c>
      <c r="S587" s="1" t="s">
        <v>25</v>
      </c>
      <c r="T587" s="1">
        <v>29</v>
      </c>
      <c r="U587" s="1">
        <v>1</v>
      </c>
      <c r="V587" s="1">
        <v>2</v>
      </c>
    </row>
    <row r="588" spans="1:22" x14ac:dyDescent="0.25">
      <c r="A588" s="3">
        <v>44774</v>
      </c>
      <c r="B588" s="4">
        <v>0.74328703703703702</v>
      </c>
      <c r="C588" s="1">
        <v>1392</v>
      </c>
      <c r="D588" s="1">
        <v>13002561</v>
      </c>
      <c r="E588" s="1">
        <v>13</v>
      </c>
      <c r="F588" s="1">
        <v>22589</v>
      </c>
      <c r="G588" s="1" t="s">
        <v>21</v>
      </c>
      <c r="H588" s="1">
        <v>18</v>
      </c>
      <c r="I588" s="1">
        <v>393397</v>
      </c>
      <c r="J588" s="14" t="s">
        <v>334</v>
      </c>
      <c r="K588" s="1" t="s">
        <v>29</v>
      </c>
      <c r="L588" s="1" t="s">
        <v>335</v>
      </c>
      <c r="M588" s="14">
        <v>1</v>
      </c>
      <c r="N588" s="2">
        <v>20.079999999999998</v>
      </c>
      <c r="O588" s="16">
        <v>26</v>
      </c>
      <c r="P588" s="14">
        <v>0</v>
      </c>
      <c r="Q588" s="14">
        <f t="shared" si="9"/>
        <v>26</v>
      </c>
      <c r="R588" s="1" t="s">
        <v>25</v>
      </c>
      <c r="S588" s="1" t="s">
        <v>25</v>
      </c>
      <c r="T588" s="1">
        <v>29</v>
      </c>
      <c r="U588" s="1">
        <v>1</v>
      </c>
      <c r="V588" s="1">
        <v>3</v>
      </c>
    </row>
    <row r="589" spans="1:22" x14ac:dyDescent="0.25">
      <c r="A589" s="3">
        <v>44776</v>
      </c>
      <c r="B589" s="4">
        <v>0.56376157407407412</v>
      </c>
      <c r="C589" s="1">
        <v>1598</v>
      </c>
      <c r="D589" s="1">
        <v>13002595</v>
      </c>
      <c r="E589" s="1">
        <v>13</v>
      </c>
      <c r="F589" s="1">
        <v>22589</v>
      </c>
      <c r="G589" s="1" t="s">
        <v>21</v>
      </c>
      <c r="H589" s="1">
        <v>15</v>
      </c>
      <c r="I589" s="1">
        <v>393397</v>
      </c>
      <c r="J589" s="14" t="s">
        <v>334</v>
      </c>
      <c r="K589" s="1" t="s">
        <v>29</v>
      </c>
      <c r="L589" s="1" t="s">
        <v>335</v>
      </c>
      <c r="M589" s="14">
        <v>1</v>
      </c>
      <c r="N589" s="2">
        <v>20.079999999999998</v>
      </c>
      <c r="O589" s="16">
        <v>26</v>
      </c>
      <c r="P589" s="14">
        <v>1</v>
      </c>
      <c r="Q589" s="14">
        <f t="shared" si="9"/>
        <v>25</v>
      </c>
      <c r="R589" s="1">
        <v>9</v>
      </c>
      <c r="S589" s="1">
        <v>200010001803</v>
      </c>
      <c r="T589" s="1">
        <v>29</v>
      </c>
      <c r="U589" s="1">
        <v>1</v>
      </c>
      <c r="V589" s="1">
        <v>2</v>
      </c>
    </row>
    <row r="590" spans="1:22" x14ac:dyDescent="0.25">
      <c r="A590" s="3">
        <v>44776</v>
      </c>
      <c r="B590" s="4">
        <v>0.56376157407407412</v>
      </c>
      <c r="C590" s="1">
        <v>1598</v>
      </c>
      <c r="D590" s="1">
        <v>13002595</v>
      </c>
      <c r="E590" s="1">
        <v>13</v>
      </c>
      <c r="F590" s="1">
        <v>22589</v>
      </c>
      <c r="G590" s="1" t="s">
        <v>21</v>
      </c>
      <c r="H590" s="1">
        <v>15</v>
      </c>
      <c r="I590" s="1">
        <v>393397</v>
      </c>
      <c r="J590" s="14" t="s">
        <v>334</v>
      </c>
      <c r="K590" s="1" t="s">
        <v>29</v>
      </c>
      <c r="L590" s="1" t="s">
        <v>335</v>
      </c>
      <c r="M590" s="14">
        <v>1</v>
      </c>
      <c r="N590" s="2">
        <v>20.079999999999998</v>
      </c>
      <c r="O590" s="16">
        <v>26</v>
      </c>
      <c r="P590" s="14">
        <v>1</v>
      </c>
      <c r="Q590" s="14">
        <f t="shared" si="9"/>
        <v>25</v>
      </c>
      <c r="R590" s="1">
        <v>9</v>
      </c>
      <c r="S590" s="1">
        <v>200010001803</v>
      </c>
      <c r="T590" s="1">
        <v>29</v>
      </c>
      <c r="U590" s="1">
        <v>1</v>
      </c>
      <c r="V590" s="1">
        <v>3</v>
      </c>
    </row>
    <row r="591" spans="1:22" x14ac:dyDescent="0.25">
      <c r="A591" s="3">
        <v>44776</v>
      </c>
      <c r="B591" s="4">
        <v>0.56376157407407412</v>
      </c>
      <c r="C591" s="1">
        <v>1598</v>
      </c>
      <c r="D591" s="1">
        <v>13002595</v>
      </c>
      <c r="E591" s="1">
        <v>13</v>
      </c>
      <c r="F591" s="1">
        <v>22589</v>
      </c>
      <c r="G591" s="1" t="s">
        <v>21</v>
      </c>
      <c r="H591" s="1">
        <v>15</v>
      </c>
      <c r="I591" s="1">
        <v>393397</v>
      </c>
      <c r="J591" s="14" t="s">
        <v>334</v>
      </c>
      <c r="K591" s="1" t="s">
        <v>29</v>
      </c>
      <c r="L591" s="1" t="s">
        <v>335</v>
      </c>
      <c r="M591" s="14">
        <v>1</v>
      </c>
      <c r="N591" s="2">
        <v>20.079999999999998</v>
      </c>
      <c r="O591" s="16">
        <v>26</v>
      </c>
      <c r="P591" s="14">
        <v>1</v>
      </c>
      <c r="Q591" s="14">
        <f t="shared" si="9"/>
        <v>25</v>
      </c>
      <c r="R591" s="1">
        <v>9</v>
      </c>
      <c r="S591" s="1">
        <v>200010001803</v>
      </c>
      <c r="T591" s="1">
        <v>29</v>
      </c>
      <c r="U591" s="1">
        <v>1</v>
      </c>
      <c r="V591" s="1">
        <v>4</v>
      </c>
    </row>
    <row r="592" spans="1:22" x14ac:dyDescent="0.25">
      <c r="A592" s="3">
        <v>44776</v>
      </c>
      <c r="B592" s="4">
        <v>0.57343750000000004</v>
      </c>
      <c r="C592" s="1">
        <v>1604</v>
      </c>
      <c r="D592" s="1">
        <v>13002595</v>
      </c>
      <c r="E592" s="1">
        <v>13</v>
      </c>
      <c r="F592" s="1">
        <v>22589</v>
      </c>
      <c r="G592" s="1" t="s">
        <v>21</v>
      </c>
      <c r="H592" s="1">
        <v>15</v>
      </c>
      <c r="I592" s="1">
        <v>393397</v>
      </c>
      <c r="J592" s="14" t="s">
        <v>334</v>
      </c>
      <c r="K592" s="1" t="s">
        <v>29</v>
      </c>
      <c r="L592" s="1" t="s">
        <v>335</v>
      </c>
      <c r="M592" s="14">
        <v>1</v>
      </c>
      <c r="N592" s="2">
        <v>20.079999999999998</v>
      </c>
      <c r="O592" s="16">
        <v>26</v>
      </c>
      <c r="P592" s="14">
        <v>1</v>
      </c>
      <c r="Q592" s="14">
        <f t="shared" si="9"/>
        <v>25</v>
      </c>
      <c r="R592" s="1">
        <v>9</v>
      </c>
      <c r="S592" s="1">
        <v>200010001680</v>
      </c>
      <c r="T592" s="1">
        <v>29</v>
      </c>
      <c r="U592" s="1">
        <v>1</v>
      </c>
      <c r="V592" s="1">
        <v>1</v>
      </c>
    </row>
    <row r="593" spans="1:22" x14ac:dyDescent="0.25">
      <c r="A593" s="3">
        <v>44776</v>
      </c>
      <c r="B593" s="4">
        <v>0.57343750000000004</v>
      </c>
      <c r="C593" s="1">
        <v>1604</v>
      </c>
      <c r="D593" s="1">
        <v>13002595</v>
      </c>
      <c r="E593" s="1">
        <v>13</v>
      </c>
      <c r="F593" s="1">
        <v>22589</v>
      </c>
      <c r="G593" s="1" t="s">
        <v>21</v>
      </c>
      <c r="H593" s="1">
        <v>15</v>
      </c>
      <c r="I593" s="1">
        <v>393397</v>
      </c>
      <c r="J593" s="14" t="s">
        <v>334</v>
      </c>
      <c r="K593" s="1" t="s">
        <v>29</v>
      </c>
      <c r="L593" s="1" t="s">
        <v>335</v>
      </c>
      <c r="M593" s="14">
        <v>1</v>
      </c>
      <c r="N593" s="2">
        <v>20.079999999999998</v>
      </c>
      <c r="O593" s="16">
        <v>26</v>
      </c>
      <c r="P593" s="14">
        <v>1</v>
      </c>
      <c r="Q593" s="14">
        <f t="shared" si="9"/>
        <v>25</v>
      </c>
      <c r="R593" s="1">
        <v>9</v>
      </c>
      <c r="S593" s="1">
        <v>200010001680</v>
      </c>
      <c r="T593" s="1">
        <v>29</v>
      </c>
      <c r="U593" s="1">
        <v>1</v>
      </c>
      <c r="V593" s="1">
        <v>2</v>
      </c>
    </row>
    <row r="594" spans="1:22" x14ac:dyDescent="0.25">
      <c r="A594" s="3">
        <v>44776</v>
      </c>
      <c r="B594" s="4">
        <v>0.6519328703703704</v>
      </c>
      <c r="C594" s="1">
        <v>1618</v>
      </c>
      <c r="D594" s="1">
        <v>13002595</v>
      </c>
      <c r="E594" s="1">
        <v>13</v>
      </c>
      <c r="F594" s="1">
        <v>22589</v>
      </c>
      <c r="G594" s="1" t="s">
        <v>21</v>
      </c>
      <c r="H594" s="1">
        <v>18</v>
      </c>
      <c r="I594" s="1">
        <v>393397</v>
      </c>
      <c r="J594" s="14" t="s">
        <v>334</v>
      </c>
      <c r="K594" s="1" t="s">
        <v>29</v>
      </c>
      <c r="L594" s="1" t="s">
        <v>335</v>
      </c>
      <c r="M594" s="14">
        <v>1</v>
      </c>
      <c r="N594" s="2">
        <v>20.079999999999998</v>
      </c>
      <c r="O594" s="16">
        <v>26</v>
      </c>
      <c r="P594" s="14">
        <v>1</v>
      </c>
      <c r="Q594" s="14">
        <f t="shared" si="9"/>
        <v>25</v>
      </c>
      <c r="R594" s="1">
        <v>9</v>
      </c>
      <c r="S594" s="1">
        <v>200010004049</v>
      </c>
      <c r="T594" s="1">
        <v>29</v>
      </c>
      <c r="U594" s="1">
        <v>1</v>
      </c>
      <c r="V594" s="1">
        <v>4</v>
      </c>
    </row>
    <row r="595" spans="1:22" x14ac:dyDescent="0.25">
      <c r="A595" s="3">
        <v>44777</v>
      </c>
      <c r="B595" s="4">
        <v>0.62900462962962966</v>
      </c>
      <c r="C595" s="1">
        <v>1736</v>
      </c>
      <c r="D595" s="1">
        <v>13002606</v>
      </c>
      <c r="E595" s="1">
        <v>13</v>
      </c>
      <c r="F595" s="1">
        <v>22589</v>
      </c>
      <c r="G595" s="1" t="s">
        <v>21</v>
      </c>
      <c r="H595" s="1">
        <v>15</v>
      </c>
      <c r="I595" s="1">
        <v>393397</v>
      </c>
      <c r="J595" s="14" t="s">
        <v>334</v>
      </c>
      <c r="K595" s="1" t="s">
        <v>29</v>
      </c>
      <c r="L595" s="1" t="s">
        <v>335</v>
      </c>
      <c r="M595" s="14">
        <v>1</v>
      </c>
      <c r="N595" s="2">
        <v>20.079999999999998</v>
      </c>
      <c r="O595" s="16">
        <v>26</v>
      </c>
      <c r="P595" s="14">
        <v>1</v>
      </c>
      <c r="Q595" s="14">
        <f t="shared" si="9"/>
        <v>25</v>
      </c>
      <c r="R595" s="1">
        <v>9</v>
      </c>
      <c r="S595" s="1">
        <v>200010013015</v>
      </c>
      <c r="T595" s="1">
        <v>50</v>
      </c>
      <c r="U595" s="1">
        <v>1</v>
      </c>
      <c r="V595" s="1">
        <v>3</v>
      </c>
    </row>
    <row r="596" spans="1:22" x14ac:dyDescent="0.25">
      <c r="A596" s="3">
        <v>44777</v>
      </c>
      <c r="B596" s="4">
        <v>0.62900462962962966</v>
      </c>
      <c r="C596" s="1">
        <v>1736</v>
      </c>
      <c r="D596" s="1">
        <v>13002606</v>
      </c>
      <c r="E596" s="1">
        <v>13</v>
      </c>
      <c r="F596" s="1">
        <v>22589</v>
      </c>
      <c r="G596" s="1" t="s">
        <v>21</v>
      </c>
      <c r="H596" s="1">
        <v>15</v>
      </c>
      <c r="I596" s="1">
        <v>393397</v>
      </c>
      <c r="J596" s="14" t="s">
        <v>334</v>
      </c>
      <c r="K596" s="1" t="s">
        <v>29</v>
      </c>
      <c r="L596" s="1" t="s">
        <v>335</v>
      </c>
      <c r="M596" s="14">
        <v>1</v>
      </c>
      <c r="N596" s="2">
        <v>20.079999999999998</v>
      </c>
      <c r="O596" s="16">
        <v>26</v>
      </c>
      <c r="P596" s="14">
        <v>1</v>
      </c>
      <c r="Q596" s="14">
        <f t="shared" si="9"/>
        <v>25</v>
      </c>
      <c r="R596" s="1">
        <v>9</v>
      </c>
      <c r="S596" s="1">
        <v>200010013015</v>
      </c>
      <c r="T596" s="1">
        <v>50</v>
      </c>
      <c r="U596" s="1">
        <v>1</v>
      </c>
      <c r="V596" s="1">
        <v>4</v>
      </c>
    </row>
    <row r="597" spans="1:22" x14ac:dyDescent="0.25">
      <c r="A597" s="3">
        <v>44777</v>
      </c>
      <c r="B597" s="4">
        <v>0.62900462962962966</v>
      </c>
      <c r="C597" s="1">
        <v>1736</v>
      </c>
      <c r="D597" s="1">
        <v>13002606</v>
      </c>
      <c r="E597" s="1">
        <v>13</v>
      </c>
      <c r="F597" s="1">
        <v>22589</v>
      </c>
      <c r="G597" s="1" t="s">
        <v>21</v>
      </c>
      <c r="H597" s="1">
        <v>15</v>
      </c>
      <c r="I597" s="1">
        <v>393397</v>
      </c>
      <c r="J597" s="14" t="s">
        <v>334</v>
      </c>
      <c r="K597" s="1" t="s">
        <v>29</v>
      </c>
      <c r="L597" s="1" t="s">
        <v>335</v>
      </c>
      <c r="M597" s="14">
        <v>1</v>
      </c>
      <c r="N597" s="2">
        <v>20.079999999999998</v>
      </c>
      <c r="O597" s="16">
        <v>26</v>
      </c>
      <c r="P597" s="14">
        <v>1</v>
      </c>
      <c r="Q597" s="14">
        <f t="shared" si="9"/>
        <v>25</v>
      </c>
      <c r="R597" s="1">
        <v>9</v>
      </c>
      <c r="S597" s="1">
        <v>200010013015</v>
      </c>
      <c r="T597" s="1">
        <v>50</v>
      </c>
      <c r="U597" s="1">
        <v>1</v>
      </c>
      <c r="V597" s="1">
        <v>5</v>
      </c>
    </row>
    <row r="598" spans="1:22" x14ac:dyDescent="0.25">
      <c r="A598" s="3">
        <v>44778</v>
      </c>
      <c r="B598" s="4">
        <v>0.61123842592592592</v>
      </c>
      <c r="C598" s="1">
        <v>1857</v>
      </c>
      <c r="D598" s="1">
        <v>13002616</v>
      </c>
      <c r="E598" s="1">
        <v>13</v>
      </c>
      <c r="F598" s="1">
        <v>22589</v>
      </c>
      <c r="G598" s="1" t="s">
        <v>21</v>
      </c>
      <c r="H598" s="1">
        <v>15</v>
      </c>
      <c r="I598" s="1">
        <v>393397</v>
      </c>
      <c r="J598" s="14" t="s">
        <v>334</v>
      </c>
      <c r="K598" s="1" t="s">
        <v>29</v>
      </c>
      <c r="L598" s="1" t="s">
        <v>335</v>
      </c>
      <c r="M598" s="14">
        <v>1</v>
      </c>
      <c r="N598" s="2">
        <v>20.079999999999998</v>
      </c>
      <c r="O598" s="16">
        <v>26</v>
      </c>
      <c r="P598" s="14">
        <v>1</v>
      </c>
      <c r="Q598" s="14">
        <f t="shared" si="9"/>
        <v>25</v>
      </c>
      <c r="R598" s="1">
        <v>9</v>
      </c>
      <c r="S598" s="1">
        <v>200010009724</v>
      </c>
      <c r="T598" s="1">
        <v>50</v>
      </c>
      <c r="U598" s="1">
        <v>1</v>
      </c>
      <c r="V598" s="1">
        <v>3</v>
      </c>
    </row>
    <row r="599" spans="1:22" x14ac:dyDescent="0.25">
      <c r="A599" s="3">
        <v>44776</v>
      </c>
      <c r="B599" s="4">
        <v>0.39648148148148149</v>
      </c>
      <c r="C599" s="1">
        <v>1546</v>
      </c>
      <c r="D599" s="1">
        <v>13002595</v>
      </c>
      <c r="E599" s="1">
        <v>13</v>
      </c>
      <c r="F599" s="1">
        <v>22589</v>
      </c>
      <c r="G599" s="1" t="s">
        <v>21</v>
      </c>
      <c r="H599" s="1">
        <v>15</v>
      </c>
      <c r="I599" s="1">
        <v>573255</v>
      </c>
      <c r="J599" s="14" t="s">
        <v>724</v>
      </c>
      <c r="K599" s="1" t="s">
        <v>51</v>
      </c>
      <c r="L599" s="1" t="s">
        <v>725</v>
      </c>
      <c r="M599" s="14">
        <v>1</v>
      </c>
      <c r="N599" s="2">
        <v>106.4</v>
      </c>
      <c r="O599" s="16">
        <v>146</v>
      </c>
      <c r="P599" s="14">
        <v>0</v>
      </c>
      <c r="Q599" s="14">
        <f t="shared" si="9"/>
        <v>146</v>
      </c>
      <c r="R599" s="1" t="s">
        <v>25</v>
      </c>
      <c r="S599" s="1" t="s">
        <v>25</v>
      </c>
      <c r="T599" s="1">
        <v>29</v>
      </c>
      <c r="U599" s="1">
        <v>1</v>
      </c>
      <c r="V599" s="1">
        <v>1</v>
      </c>
    </row>
    <row r="600" spans="1:22" x14ac:dyDescent="0.25">
      <c r="A600" s="3">
        <v>44776</v>
      </c>
      <c r="B600" s="4">
        <v>0.82486111111111116</v>
      </c>
      <c r="C600" s="1">
        <v>1659</v>
      </c>
      <c r="D600" s="1">
        <v>13002595</v>
      </c>
      <c r="E600" s="1">
        <v>13</v>
      </c>
      <c r="F600" s="1">
        <v>22589</v>
      </c>
      <c r="G600" s="1" t="s">
        <v>21</v>
      </c>
      <c r="H600" s="1">
        <v>15</v>
      </c>
      <c r="I600" s="1">
        <v>573255</v>
      </c>
      <c r="J600" s="14" t="s">
        <v>724</v>
      </c>
      <c r="K600" s="1" t="s">
        <v>51</v>
      </c>
      <c r="L600" s="1" t="s">
        <v>725</v>
      </c>
      <c r="M600" s="14">
        <v>1</v>
      </c>
      <c r="N600" s="2">
        <v>106.4</v>
      </c>
      <c r="O600" s="16">
        <v>146</v>
      </c>
      <c r="P600" s="14">
        <v>0</v>
      </c>
      <c r="Q600" s="14">
        <f t="shared" si="9"/>
        <v>146</v>
      </c>
      <c r="R600" s="1" t="s">
        <v>25</v>
      </c>
      <c r="S600" s="1" t="s">
        <v>25</v>
      </c>
      <c r="T600" s="1">
        <v>29</v>
      </c>
      <c r="U600" s="1">
        <v>1</v>
      </c>
      <c r="V600" s="1">
        <v>1</v>
      </c>
    </row>
    <row r="601" spans="1:22" x14ac:dyDescent="0.25">
      <c r="A601" s="3">
        <v>44777</v>
      </c>
      <c r="B601" s="4">
        <v>0.52053240740740736</v>
      </c>
      <c r="C601" s="1">
        <v>1699</v>
      </c>
      <c r="D601" s="1">
        <v>13002606</v>
      </c>
      <c r="E601" s="1">
        <v>13</v>
      </c>
      <c r="F601" s="1">
        <v>22589</v>
      </c>
      <c r="G601" s="1" t="s">
        <v>21</v>
      </c>
      <c r="H601" s="1">
        <v>15</v>
      </c>
      <c r="I601" s="1">
        <v>386692</v>
      </c>
      <c r="J601" s="14" t="s">
        <v>976</v>
      </c>
      <c r="K601" s="1" t="s">
        <v>34</v>
      </c>
      <c r="L601" s="1" t="s">
        <v>335</v>
      </c>
      <c r="M601" s="14">
        <v>1</v>
      </c>
      <c r="N601" s="2">
        <v>71.12</v>
      </c>
      <c r="O601" s="16">
        <v>101</v>
      </c>
      <c r="P601" s="14">
        <v>7</v>
      </c>
      <c r="Q601" s="14">
        <f t="shared" si="9"/>
        <v>94</v>
      </c>
      <c r="R601" s="1">
        <v>9</v>
      </c>
      <c r="S601" s="1">
        <v>200010001659</v>
      </c>
      <c r="T601" s="1">
        <v>50</v>
      </c>
      <c r="U601" s="1">
        <v>1</v>
      </c>
      <c r="V601" s="1">
        <v>2</v>
      </c>
    </row>
    <row r="602" spans="1:22" x14ac:dyDescent="0.25">
      <c r="A602" s="3">
        <v>44776</v>
      </c>
      <c r="B602" s="4">
        <v>0.65983796296296293</v>
      </c>
      <c r="C602" s="1">
        <v>1621</v>
      </c>
      <c r="D602" s="1">
        <v>13002595</v>
      </c>
      <c r="E602" s="1">
        <v>13</v>
      </c>
      <c r="F602" s="1">
        <v>22589</v>
      </c>
      <c r="G602" s="1" t="s">
        <v>21</v>
      </c>
      <c r="H602" s="1">
        <v>18</v>
      </c>
      <c r="I602" s="1">
        <v>21240</v>
      </c>
      <c r="J602" s="14" t="s">
        <v>873</v>
      </c>
      <c r="K602" s="1" t="s">
        <v>51</v>
      </c>
      <c r="L602" s="1" t="s">
        <v>874</v>
      </c>
      <c r="M602" s="14">
        <v>1</v>
      </c>
      <c r="N602" s="2">
        <v>261.47000000000003</v>
      </c>
      <c r="O602" s="16">
        <v>398</v>
      </c>
      <c r="P602" s="14">
        <v>0</v>
      </c>
      <c r="Q602" s="14">
        <f t="shared" si="9"/>
        <v>398</v>
      </c>
      <c r="R602" s="1" t="s">
        <v>25</v>
      </c>
      <c r="S602" s="1" t="s">
        <v>25</v>
      </c>
      <c r="T602" s="1">
        <v>29</v>
      </c>
      <c r="U602" s="1">
        <v>1</v>
      </c>
      <c r="V602" s="1">
        <v>3</v>
      </c>
    </row>
    <row r="603" spans="1:22" x14ac:dyDescent="0.25">
      <c r="A603" s="3">
        <v>44774</v>
      </c>
      <c r="B603" s="4">
        <v>0.62069444444444444</v>
      </c>
      <c r="C603" s="1">
        <v>1361</v>
      </c>
      <c r="D603" s="1">
        <v>13002561</v>
      </c>
      <c r="E603" s="1">
        <v>13</v>
      </c>
      <c r="F603" s="1">
        <v>22589</v>
      </c>
      <c r="G603" s="1" t="s">
        <v>21</v>
      </c>
      <c r="H603" s="1">
        <v>18</v>
      </c>
      <c r="I603" s="1">
        <v>29728</v>
      </c>
      <c r="J603" s="14" t="s">
        <v>342</v>
      </c>
      <c r="K603" s="1" t="s">
        <v>23</v>
      </c>
      <c r="L603" s="1" t="s">
        <v>343</v>
      </c>
      <c r="M603" s="14">
        <v>1</v>
      </c>
      <c r="N603" s="2">
        <v>681.05</v>
      </c>
      <c r="O603" s="16">
        <v>879</v>
      </c>
      <c r="P603" s="14">
        <v>61</v>
      </c>
      <c r="Q603" s="14">
        <f t="shared" si="9"/>
        <v>818</v>
      </c>
      <c r="R603" s="1">
        <v>9</v>
      </c>
      <c r="S603" s="1">
        <v>200010020276</v>
      </c>
      <c r="T603" s="1">
        <v>29</v>
      </c>
      <c r="U603" s="1">
        <v>1</v>
      </c>
      <c r="V603" s="1">
        <v>1</v>
      </c>
    </row>
    <row r="604" spans="1:22" x14ac:dyDescent="0.25">
      <c r="A604" s="3">
        <v>44775</v>
      </c>
      <c r="B604" s="4">
        <v>0.72568287037037038</v>
      </c>
      <c r="C604" s="1">
        <v>1508</v>
      </c>
      <c r="D604" s="1">
        <v>13002581</v>
      </c>
      <c r="E604" s="1">
        <v>13</v>
      </c>
      <c r="F604" s="1">
        <v>22589</v>
      </c>
      <c r="G604" s="1" t="s">
        <v>21</v>
      </c>
      <c r="H604" s="1">
        <v>18</v>
      </c>
      <c r="I604" s="1">
        <v>29728</v>
      </c>
      <c r="J604" s="14" t="s">
        <v>342</v>
      </c>
      <c r="K604" s="1" t="s">
        <v>23</v>
      </c>
      <c r="L604" s="1" t="s">
        <v>343</v>
      </c>
      <c r="M604" s="14">
        <v>1</v>
      </c>
      <c r="N604" s="2">
        <v>671.51</v>
      </c>
      <c r="O604" s="16">
        <v>867</v>
      </c>
      <c r="P604" s="14">
        <v>60</v>
      </c>
      <c r="Q604" s="14">
        <f t="shared" si="9"/>
        <v>807</v>
      </c>
      <c r="R604" s="1">
        <v>9</v>
      </c>
      <c r="S604" s="1">
        <v>200010000485</v>
      </c>
      <c r="T604" s="1">
        <v>29</v>
      </c>
      <c r="U604" s="1">
        <v>1</v>
      </c>
      <c r="V604" s="1">
        <v>1</v>
      </c>
    </row>
    <row r="605" spans="1:22" x14ac:dyDescent="0.25">
      <c r="A605" s="3">
        <v>44777</v>
      </c>
      <c r="B605" s="4">
        <v>0.63406249999999997</v>
      </c>
      <c r="C605" s="1">
        <v>1737</v>
      </c>
      <c r="D605" s="1">
        <v>13002606</v>
      </c>
      <c r="E605" s="1">
        <v>13</v>
      </c>
      <c r="F605" s="1">
        <v>22589</v>
      </c>
      <c r="G605" s="1" t="s">
        <v>21</v>
      </c>
      <c r="H605" s="1">
        <v>18</v>
      </c>
      <c r="I605" s="1">
        <v>163657</v>
      </c>
      <c r="J605" s="14" t="s">
        <v>1032</v>
      </c>
      <c r="K605" s="1" t="s">
        <v>58</v>
      </c>
      <c r="L605" s="1" t="s">
        <v>1033</v>
      </c>
      <c r="M605" s="14">
        <v>1</v>
      </c>
      <c r="N605" s="2">
        <v>157.53</v>
      </c>
      <c r="O605" s="16">
        <v>245</v>
      </c>
      <c r="P605" s="14">
        <v>0</v>
      </c>
      <c r="Q605" s="14">
        <f t="shared" si="9"/>
        <v>245</v>
      </c>
      <c r="R605" s="1" t="s">
        <v>25</v>
      </c>
      <c r="S605" s="1" t="s">
        <v>25</v>
      </c>
      <c r="T605" s="1">
        <v>50</v>
      </c>
      <c r="U605" s="1">
        <v>1</v>
      </c>
      <c r="V605" s="1">
        <v>1</v>
      </c>
    </row>
    <row r="606" spans="1:22" x14ac:dyDescent="0.25">
      <c r="A606" s="3">
        <v>44774</v>
      </c>
      <c r="B606" s="4">
        <v>0.59075231481481483</v>
      </c>
      <c r="C606" s="1">
        <v>1353</v>
      </c>
      <c r="D606" s="1">
        <v>13002561</v>
      </c>
      <c r="E606" s="1">
        <v>13</v>
      </c>
      <c r="F606" s="1">
        <v>22589</v>
      </c>
      <c r="G606" s="1" t="s">
        <v>21</v>
      </c>
      <c r="H606" s="1">
        <v>18</v>
      </c>
      <c r="I606" s="1">
        <v>141664</v>
      </c>
      <c r="J606" s="14" t="s">
        <v>324</v>
      </c>
      <c r="K606" s="1" t="s">
        <v>51</v>
      </c>
      <c r="L606" s="1" t="s">
        <v>80</v>
      </c>
      <c r="M606" s="14">
        <v>2</v>
      </c>
      <c r="N606" s="2">
        <v>37.78</v>
      </c>
      <c r="O606" s="16">
        <v>62</v>
      </c>
      <c r="P606" s="14">
        <v>12</v>
      </c>
      <c r="Q606" s="14">
        <f t="shared" si="9"/>
        <v>112</v>
      </c>
      <c r="R606" s="1">
        <v>9</v>
      </c>
      <c r="S606" s="1">
        <v>200010021962</v>
      </c>
      <c r="T606" s="1">
        <v>29</v>
      </c>
      <c r="U606" s="1">
        <v>1</v>
      </c>
      <c r="V606" s="1">
        <v>3</v>
      </c>
    </row>
    <row r="607" spans="1:22" x14ac:dyDescent="0.25">
      <c r="A607" s="3">
        <v>44776</v>
      </c>
      <c r="B607" s="4">
        <v>0.6519328703703704</v>
      </c>
      <c r="C607" s="1">
        <v>1618</v>
      </c>
      <c r="D607" s="1">
        <v>13002595</v>
      </c>
      <c r="E607" s="1">
        <v>13</v>
      </c>
      <c r="F607" s="1">
        <v>22589</v>
      </c>
      <c r="G607" s="1" t="s">
        <v>21</v>
      </c>
      <c r="H607" s="1">
        <v>18</v>
      </c>
      <c r="I607" s="1">
        <v>141664</v>
      </c>
      <c r="J607" s="14" t="s">
        <v>324</v>
      </c>
      <c r="K607" s="1" t="s">
        <v>51</v>
      </c>
      <c r="L607" s="1" t="s">
        <v>80</v>
      </c>
      <c r="M607" s="14">
        <v>1</v>
      </c>
      <c r="N607" s="2">
        <v>38.14</v>
      </c>
      <c r="O607" s="16">
        <v>62</v>
      </c>
      <c r="P607" s="14">
        <v>6</v>
      </c>
      <c r="Q607" s="14">
        <f t="shared" si="9"/>
        <v>56</v>
      </c>
      <c r="R607" s="1">
        <v>9</v>
      </c>
      <c r="S607" s="1">
        <v>200010004049</v>
      </c>
      <c r="T607" s="1">
        <v>29</v>
      </c>
      <c r="U607" s="1">
        <v>1</v>
      </c>
      <c r="V607" s="1">
        <v>5</v>
      </c>
    </row>
    <row r="608" spans="1:22" x14ac:dyDescent="0.25">
      <c r="A608" s="3">
        <v>44777</v>
      </c>
      <c r="B608" s="4">
        <v>0.73825231481481479</v>
      </c>
      <c r="C608" s="1">
        <v>1759</v>
      </c>
      <c r="D608" s="1">
        <v>13002606</v>
      </c>
      <c r="E608" s="1">
        <v>13</v>
      </c>
      <c r="F608" s="1">
        <v>22589</v>
      </c>
      <c r="G608" s="1" t="s">
        <v>21</v>
      </c>
      <c r="H608" s="1">
        <v>15</v>
      </c>
      <c r="I608" s="1">
        <v>2583</v>
      </c>
      <c r="J608" s="14" t="s">
        <v>1056</v>
      </c>
      <c r="K608" s="1" t="s">
        <v>23</v>
      </c>
      <c r="L608" s="1" t="s">
        <v>59</v>
      </c>
      <c r="M608" s="14">
        <v>1</v>
      </c>
      <c r="N608" s="2">
        <v>276.83</v>
      </c>
      <c r="O608" s="16">
        <v>319</v>
      </c>
      <c r="P608" s="14">
        <v>15</v>
      </c>
      <c r="Q608" s="14">
        <f t="shared" si="9"/>
        <v>304</v>
      </c>
      <c r="R608" s="1">
        <v>941</v>
      </c>
      <c r="S608" s="1">
        <v>200000000044</v>
      </c>
      <c r="T608" s="1">
        <v>50</v>
      </c>
      <c r="U608" s="1">
        <v>1</v>
      </c>
      <c r="V608" s="1">
        <v>1</v>
      </c>
    </row>
    <row r="609" spans="1:22" x14ac:dyDescent="0.25">
      <c r="A609" s="3">
        <v>44776</v>
      </c>
      <c r="B609" s="4">
        <v>0.52645833333333336</v>
      </c>
      <c r="C609" s="1">
        <v>1585</v>
      </c>
      <c r="D609" s="1">
        <v>13002595</v>
      </c>
      <c r="E609" s="1">
        <v>13</v>
      </c>
      <c r="F609" s="1">
        <v>22589</v>
      </c>
      <c r="G609" s="1" t="s">
        <v>21</v>
      </c>
      <c r="H609" s="1">
        <v>18</v>
      </c>
      <c r="I609" s="1">
        <v>5874</v>
      </c>
      <c r="J609" s="14" t="s">
        <v>808</v>
      </c>
      <c r="K609" s="1" t="s">
        <v>110</v>
      </c>
      <c r="L609" s="1" t="s">
        <v>59</v>
      </c>
      <c r="M609" s="14">
        <v>1</v>
      </c>
      <c r="N609" s="2">
        <v>534.92999999999995</v>
      </c>
      <c r="O609" s="16">
        <v>592</v>
      </c>
      <c r="P609" s="14">
        <v>0</v>
      </c>
      <c r="Q609" s="14">
        <f t="shared" si="9"/>
        <v>592</v>
      </c>
      <c r="R609" s="1" t="s">
        <v>25</v>
      </c>
      <c r="S609" s="1" t="s">
        <v>25</v>
      </c>
      <c r="T609" s="1">
        <v>29</v>
      </c>
      <c r="U609" s="1">
        <v>1</v>
      </c>
      <c r="V609" s="1">
        <v>1</v>
      </c>
    </row>
    <row r="610" spans="1:22" x14ac:dyDescent="0.25">
      <c r="A610" s="3">
        <v>44775</v>
      </c>
      <c r="B610" s="4">
        <v>0.69490740740740742</v>
      </c>
      <c r="C610" s="1">
        <v>1498</v>
      </c>
      <c r="D610" s="1">
        <v>13002581</v>
      </c>
      <c r="E610" s="1">
        <v>13</v>
      </c>
      <c r="F610" s="1">
        <v>22589</v>
      </c>
      <c r="G610" s="1" t="s">
        <v>21</v>
      </c>
      <c r="H610" s="1">
        <v>18</v>
      </c>
      <c r="I610" s="1">
        <v>23336</v>
      </c>
      <c r="J610" s="14" t="s">
        <v>644</v>
      </c>
      <c r="K610" s="1" t="s">
        <v>141</v>
      </c>
      <c r="L610" s="1" t="s">
        <v>377</v>
      </c>
      <c r="M610" s="14">
        <v>1</v>
      </c>
      <c r="N610" s="2">
        <v>781.33</v>
      </c>
      <c r="O610" s="16">
        <v>899</v>
      </c>
      <c r="P610" s="14">
        <v>62</v>
      </c>
      <c r="Q610" s="14">
        <f t="shared" si="9"/>
        <v>837</v>
      </c>
      <c r="R610" s="1">
        <v>9</v>
      </c>
      <c r="S610" s="1">
        <v>200010012147</v>
      </c>
      <c r="T610" s="1">
        <v>29</v>
      </c>
      <c r="U610" s="1">
        <v>1</v>
      </c>
      <c r="V610" s="1">
        <v>2</v>
      </c>
    </row>
    <row r="611" spans="1:22" x14ac:dyDescent="0.25">
      <c r="A611" s="3">
        <v>44774</v>
      </c>
      <c r="B611" s="4">
        <v>0.69328703703703709</v>
      </c>
      <c r="C611" s="1">
        <v>1376</v>
      </c>
      <c r="D611" s="1">
        <v>13002561</v>
      </c>
      <c r="E611" s="1">
        <v>13</v>
      </c>
      <c r="F611" s="1">
        <v>22589</v>
      </c>
      <c r="G611" s="1" t="s">
        <v>21</v>
      </c>
      <c r="H611" s="1">
        <v>15</v>
      </c>
      <c r="I611" s="1">
        <v>159765</v>
      </c>
      <c r="J611" s="14" t="s">
        <v>376</v>
      </c>
      <c r="K611" s="1" t="s">
        <v>23</v>
      </c>
      <c r="L611" s="1" t="s">
        <v>377</v>
      </c>
      <c r="M611" s="14">
        <v>0.33333333999999998</v>
      </c>
      <c r="N611" s="2">
        <v>1870</v>
      </c>
      <c r="O611" s="16">
        <v>2151</v>
      </c>
      <c r="P611" s="14">
        <v>50</v>
      </c>
      <c r="Q611" s="14">
        <f t="shared" si="9"/>
        <v>667.00001434000001</v>
      </c>
      <c r="R611" s="1">
        <v>9</v>
      </c>
      <c r="S611" s="1">
        <v>200010001149</v>
      </c>
      <c r="T611" s="1">
        <v>29</v>
      </c>
      <c r="U611" s="1">
        <v>1</v>
      </c>
      <c r="V611" s="1">
        <v>1</v>
      </c>
    </row>
    <row r="612" spans="1:22" x14ac:dyDescent="0.25">
      <c r="A612" s="3">
        <v>44774</v>
      </c>
      <c r="B612" s="4">
        <v>0.58592592592592596</v>
      </c>
      <c r="C612" s="1">
        <v>1351</v>
      </c>
      <c r="D612" s="1">
        <v>13002561</v>
      </c>
      <c r="E612" s="1">
        <v>13</v>
      </c>
      <c r="F612" s="1">
        <v>22589</v>
      </c>
      <c r="G612" s="1" t="s">
        <v>21</v>
      </c>
      <c r="H612" s="1">
        <v>15</v>
      </c>
      <c r="I612" s="1">
        <v>545136</v>
      </c>
      <c r="J612" s="14" t="s">
        <v>317</v>
      </c>
      <c r="K612" s="1" t="s">
        <v>51</v>
      </c>
      <c r="L612" s="1" t="s">
        <v>318</v>
      </c>
      <c r="M612" s="14">
        <v>0.14285713999999999</v>
      </c>
      <c r="N612" s="2">
        <v>9586.56</v>
      </c>
      <c r="O612" s="16">
        <v>10775.7</v>
      </c>
      <c r="P612" s="14">
        <v>153.38999999999999</v>
      </c>
      <c r="Q612" s="14">
        <f t="shared" si="9"/>
        <v>1385.9956834979998</v>
      </c>
      <c r="R612" s="1">
        <v>27</v>
      </c>
      <c r="S612" s="1">
        <v>200010000015</v>
      </c>
      <c r="T612" s="1">
        <v>29</v>
      </c>
      <c r="U612" s="1">
        <v>1</v>
      </c>
      <c r="V612" s="1">
        <v>1</v>
      </c>
    </row>
    <row r="613" spans="1:22" x14ac:dyDescent="0.25">
      <c r="A613" s="3">
        <v>44778</v>
      </c>
      <c r="B613" s="4">
        <v>0.80744212962962958</v>
      </c>
      <c r="C613" s="1">
        <v>1898</v>
      </c>
      <c r="D613" s="1">
        <v>13002616</v>
      </c>
      <c r="E613" s="1">
        <v>13</v>
      </c>
      <c r="F613" s="1">
        <v>22589</v>
      </c>
      <c r="G613" s="1" t="s">
        <v>21</v>
      </c>
      <c r="H613" s="1">
        <v>18</v>
      </c>
      <c r="I613" s="1">
        <v>8394</v>
      </c>
      <c r="J613" s="14" t="s">
        <v>1222</v>
      </c>
      <c r="K613" s="1" t="s">
        <v>29</v>
      </c>
      <c r="L613" s="1" t="s">
        <v>269</v>
      </c>
      <c r="M613" s="14">
        <v>1</v>
      </c>
      <c r="N613" s="2">
        <v>23.31</v>
      </c>
      <c r="O613" s="16">
        <v>29.9</v>
      </c>
      <c r="P613" s="14">
        <v>0</v>
      </c>
      <c r="Q613" s="14">
        <f t="shared" si="9"/>
        <v>29.9</v>
      </c>
      <c r="R613" s="1" t="s">
        <v>25</v>
      </c>
      <c r="S613" s="1" t="s">
        <v>25</v>
      </c>
      <c r="T613" s="1">
        <v>50</v>
      </c>
      <c r="U613" s="1">
        <v>1</v>
      </c>
      <c r="V613" s="1">
        <v>2</v>
      </c>
    </row>
    <row r="614" spans="1:22" x14ac:dyDescent="0.25">
      <c r="A614" s="3">
        <v>44774</v>
      </c>
      <c r="B614" s="4">
        <v>0.50565972222222222</v>
      </c>
      <c r="C614" s="1">
        <v>1319</v>
      </c>
      <c r="D614" s="1">
        <v>13002561</v>
      </c>
      <c r="E614" s="1">
        <v>13</v>
      </c>
      <c r="F614" s="1">
        <v>22589</v>
      </c>
      <c r="G614" s="1" t="s">
        <v>21</v>
      </c>
      <c r="H614" s="1">
        <v>18</v>
      </c>
      <c r="I614" s="1">
        <v>413067</v>
      </c>
      <c r="J614" s="14" t="s">
        <v>211</v>
      </c>
      <c r="K614" s="1" t="s">
        <v>51</v>
      </c>
      <c r="L614" s="1" t="s">
        <v>212</v>
      </c>
      <c r="M614" s="14">
        <v>1</v>
      </c>
      <c r="N614" s="2">
        <v>46.56</v>
      </c>
      <c r="O614" s="16">
        <v>59</v>
      </c>
      <c r="P614" s="14">
        <v>2</v>
      </c>
      <c r="Q614" s="14">
        <f t="shared" si="9"/>
        <v>57</v>
      </c>
      <c r="R614" s="1">
        <v>9</v>
      </c>
      <c r="S614" s="1">
        <v>200010015482</v>
      </c>
      <c r="T614" s="1">
        <v>29</v>
      </c>
      <c r="U614" s="1">
        <v>1</v>
      </c>
      <c r="V614" s="1">
        <v>2</v>
      </c>
    </row>
    <row r="615" spans="1:22" x14ac:dyDescent="0.25">
      <c r="A615" s="3">
        <v>44774</v>
      </c>
      <c r="B615" s="4">
        <v>0.37849537037037034</v>
      </c>
      <c r="C615" s="1">
        <v>1277</v>
      </c>
      <c r="D615" s="1">
        <v>13002561</v>
      </c>
      <c r="E615" s="1">
        <v>13</v>
      </c>
      <c r="F615" s="1">
        <v>22589</v>
      </c>
      <c r="G615" s="1" t="s">
        <v>21</v>
      </c>
      <c r="H615" s="1">
        <v>18</v>
      </c>
      <c r="I615" s="1">
        <v>122156</v>
      </c>
      <c r="J615" s="14" t="s">
        <v>42</v>
      </c>
      <c r="K615" s="1" t="s">
        <v>23</v>
      </c>
      <c r="L615" s="1" t="s">
        <v>43</v>
      </c>
      <c r="M615" s="14">
        <v>1</v>
      </c>
      <c r="N615" s="2">
        <v>210.25</v>
      </c>
      <c r="O615" s="16">
        <v>284</v>
      </c>
      <c r="P615" s="14">
        <v>0</v>
      </c>
      <c r="Q615" s="14">
        <f t="shared" si="9"/>
        <v>284</v>
      </c>
      <c r="R615" s="1" t="s">
        <v>25</v>
      </c>
      <c r="S615" s="1" t="s">
        <v>25</v>
      </c>
      <c r="T615" s="1">
        <v>29</v>
      </c>
      <c r="U615" s="1">
        <v>1</v>
      </c>
      <c r="V615" s="1">
        <v>1</v>
      </c>
    </row>
    <row r="616" spans="1:22" x14ac:dyDescent="0.25">
      <c r="A616" s="3">
        <v>44774</v>
      </c>
      <c r="B616" s="4">
        <v>0.42930555555555555</v>
      </c>
      <c r="C616" s="1">
        <v>1287</v>
      </c>
      <c r="D616" s="1">
        <v>13002561</v>
      </c>
      <c r="E616" s="1">
        <v>13</v>
      </c>
      <c r="F616" s="1">
        <v>22589</v>
      </c>
      <c r="G616" s="1" t="s">
        <v>21</v>
      </c>
      <c r="H616" s="1">
        <v>18</v>
      </c>
      <c r="I616" s="1">
        <v>297336</v>
      </c>
      <c r="J616" s="14" t="s">
        <v>79</v>
      </c>
      <c r="K616" s="1" t="s">
        <v>34</v>
      </c>
      <c r="L616" s="1" t="s">
        <v>80</v>
      </c>
      <c r="M616" s="14">
        <v>1</v>
      </c>
      <c r="N616" s="2">
        <v>45.17</v>
      </c>
      <c r="O616" s="16">
        <v>74</v>
      </c>
      <c r="P616" s="14">
        <v>30.41</v>
      </c>
      <c r="Q616" s="14">
        <f t="shared" si="9"/>
        <v>43.59</v>
      </c>
      <c r="R616" s="1">
        <v>925</v>
      </c>
      <c r="S616" s="1">
        <v>200000000492</v>
      </c>
      <c r="T616" s="1">
        <v>29</v>
      </c>
      <c r="U616" s="1">
        <v>1</v>
      </c>
      <c r="V616" s="1">
        <v>1</v>
      </c>
    </row>
    <row r="617" spans="1:22" x14ac:dyDescent="0.25">
      <c r="A617" s="3">
        <v>44777</v>
      </c>
      <c r="B617" s="4">
        <v>0.74494212962962958</v>
      </c>
      <c r="C617" s="1">
        <v>1762</v>
      </c>
      <c r="D617" s="1">
        <v>13002606</v>
      </c>
      <c r="E617" s="1">
        <v>13</v>
      </c>
      <c r="F617" s="1">
        <v>22589</v>
      </c>
      <c r="G617" s="1" t="s">
        <v>21</v>
      </c>
      <c r="H617" s="1">
        <v>18</v>
      </c>
      <c r="I617" s="1">
        <v>297336</v>
      </c>
      <c r="J617" s="14" t="s">
        <v>79</v>
      </c>
      <c r="K617" s="1" t="s">
        <v>34</v>
      </c>
      <c r="L617" s="1" t="s">
        <v>80</v>
      </c>
      <c r="M617" s="14">
        <v>1</v>
      </c>
      <c r="N617" s="2">
        <v>44.6</v>
      </c>
      <c r="O617" s="16">
        <v>73</v>
      </c>
      <c r="P617" s="14">
        <v>7</v>
      </c>
      <c r="Q617" s="14">
        <f t="shared" si="9"/>
        <v>66</v>
      </c>
      <c r="R617" s="1">
        <v>9</v>
      </c>
      <c r="S617" s="1">
        <v>200010001162</v>
      </c>
      <c r="T617" s="1">
        <v>50</v>
      </c>
      <c r="U617" s="1">
        <v>1</v>
      </c>
      <c r="V617" s="1">
        <v>1</v>
      </c>
    </row>
    <row r="618" spans="1:22" x14ac:dyDescent="0.25">
      <c r="A618" s="3">
        <v>44776</v>
      </c>
      <c r="B618" s="4">
        <v>0.77439814814814811</v>
      </c>
      <c r="C618" s="1">
        <v>1646</v>
      </c>
      <c r="D618" s="1">
        <v>13002595</v>
      </c>
      <c r="E618" s="1">
        <v>13</v>
      </c>
      <c r="F618" s="1">
        <v>22589</v>
      </c>
      <c r="G618" s="1" t="s">
        <v>21</v>
      </c>
      <c r="H618" s="1">
        <v>15</v>
      </c>
      <c r="I618" s="1">
        <v>91889</v>
      </c>
      <c r="J618" s="14" t="s">
        <v>907</v>
      </c>
      <c r="K618" s="1" t="s">
        <v>29</v>
      </c>
      <c r="L618" s="1" t="s">
        <v>908</v>
      </c>
      <c r="M618" s="14">
        <v>1</v>
      </c>
      <c r="N618" s="2">
        <v>340.03</v>
      </c>
      <c r="O618" s="16">
        <v>449</v>
      </c>
      <c r="P618" s="14">
        <v>31</v>
      </c>
      <c r="Q618" s="14">
        <f t="shared" si="9"/>
        <v>418</v>
      </c>
      <c r="R618" s="1">
        <v>9</v>
      </c>
      <c r="S618" s="1">
        <v>200010013101</v>
      </c>
      <c r="T618" s="1">
        <v>29</v>
      </c>
      <c r="U618" s="1">
        <v>1</v>
      </c>
      <c r="V618" s="1">
        <v>1</v>
      </c>
    </row>
    <row r="619" spans="1:22" x14ac:dyDescent="0.25">
      <c r="A619" s="3">
        <v>44774</v>
      </c>
      <c r="B619" s="4">
        <v>0.58928240740740745</v>
      </c>
      <c r="C619" s="1">
        <v>1352</v>
      </c>
      <c r="D619" s="1">
        <v>13002561</v>
      </c>
      <c r="E619" s="1">
        <v>13</v>
      </c>
      <c r="F619" s="1">
        <v>22589</v>
      </c>
      <c r="G619" s="1" t="s">
        <v>21</v>
      </c>
      <c r="H619" s="1">
        <v>15</v>
      </c>
      <c r="I619" s="1">
        <v>48094</v>
      </c>
      <c r="J619" s="14" t="s">
        <v>323</v>
      </c>
      <c r="K619" s="1" t="s">
        <v>34</v>
      </c>
      <c r="L619" s="1" t="s">
        <v>118</v>
      </c>
      <c r="M619" s="14">
        <v>1</v>
      </c>
      <c r="N619" s="2">
        <v>105.58</v>
      </c>
      <c r="O619" s="16">
        <v>154</v>
      </c>
      <c r="P619" s="14">
        <v>0</v>
      </c>
      <c r="Q619" s="14">
        <f t="shared" si="9"/>
        <v>154</v>
      </c>
      <c r="R619" s="1" t="s">
        <v>25</v>
      </c>
      <c r="S619" s="1" t="s">
        <v>25</v>
      </c>
      <c r="T619" s="1">
        <v>29</v>
      </c>
      <c r="U619" s="1">
        <v>1</v>
      </c>
      <c r="V619" s="1">
        <v>1</v>
      </c>
    </row>
    <row r="620" spans="1:22" x14ac:dyDescent="0.25">
      <c r="A620" s="3">
        <v>44774</v>
      </c>
      <c r="B620" s="4">
        <v>0.58928240740740745</v>
      </c>
      <c r="C620" s="1">
        <v>1352</v>
      </c>
      <c r="D620" s="1">
        <v>13002561</v>
      </c>
      <c r="E620" s="1">
        <v>13</v>
      </c>
      <c r="F620" s="1">
        <v>22589</v>
      </c>
      <c r="G620" s="1" t="s">
        <v>21</v>
      </c>
      <c r="H620" s="1">
        <v>15</v>
      </c>
      <c r="I620" s="1">
        <v>326881</v>
      </c>
      <c r="J620" s="14" t="s">
        <v>321</v>
      </c>
      <c r="K620" s="1" t="s">
        <v>51</v>
      </c>
      <c r="L620" s="1" t="s">
        <v>322</v>
      </c>
      <c r="M620" s="14">
        <v>1</v>
      </c>
      <c r="N620" s="2">
        <v>92.38</v>
      </c>
      <c r="O620" s="16">
        <v>132</v>
      </c>
      <c r="P620" s="14">
        <v>0</v>
      </c>
      <c r="Q620" s="14">
        <f t="shared" si="9"/>
        <v>132</v>
      </c>
      <c r="R620" s="1" t="s">
        <v>25</v>
      </c>
      <c r="S620" s="1" t="s">
        <v>25</v>
      </c>
      <c r="T620" s="1">
        <v>29</v>
      </c>
      <c r="U620" s="1">
        <v>1</v>
      </c>
      <c r="V620" s="1">
        <v>2</v>
      </c>
    </row>
    <row r="621" spans="1:22" x14ac:dyDescent="0.25">
      <c r="A621" s="3">
        <v>44774</v>
      </c>
      <c r="B621" s="4">
        <v>0.58928240740740745</v>
      </c>
      <c r="C621" s="1">
        <v>1352</v>
      </c>
      <c r="D621" s="1">
        <v>13002561</v>
      </c>
      <c r="E621" s="1">
        <v>13</v>
      </c>
      <c r="F621" s="1">
        <v>22589</v>
      </c>
      <c r="G621" s="1" t="s">
        <v>21</v>
      </c>
      <c r="H621" s="1">
        <v>15</v>
      </c>
      <c r="I621" s="1">
        <v>326881</v>
      </c>
      <c r="J621" s="14" t="s">
        <v>321</v>
      </c>
      <c r="K621" s="1" t="s">
        <v>51</v>
      </c>
      <c r="L621" s="1" t="s">
        <v>322</v>
      </c>
      <c r="M621" s="14">
        <v>1</v>
      </c>
      <c r="N621" s="2">
        <v>92.38</v>
      </c>
      <c r="O621" s="16">
        <v>132</v>
      </c>
      <c r="P621" s="14">
        <v>0</v>
      </c>
      <c r="Q621" s="14">
        <f t="shared" si="9"/>
        <v>132</v>
      </c>
      <c r="R621" s="1" t="s">
        <v>25</v>
      </c>
      <c r="S621" s="1" t="s">
        <v>25</v>
      </c>
      <c r="T621" s="1">
        <v>29</v>
      </c>
      <c r="U621" s="1">
        <v>1</v>
      </c>
      <c r="V621" s="1">
        <v>3</v>
      </c>
    </row>
    <row r="622" spans="1:22" x14ac:dyDescent="0.25">
      <c r="A622" s="3">
        <v>44778</v>
      </c>
      <c r="B622" s="4">
        <v>0.49717592592592591</v>
      </c>
      <c r="C622" s="1">
        <v>1828</v>
      </c>
      <c r="D622" s="1">
        <v>13002616</v>
      </c>
      <c r="E622" s="1">
        <v>13</v>
      </c>
      <c r="F622" s="1">
        <v>22589</v>
      </c>
      <c r="G622" s="1" t="s">
        <v>21</v>
      </c>
      <c r="H622" s="1">
        <v>18</v>
      </c>
      <c r="I622" s="1">
        <v>4240</v>
      </c>
      <c r="J622" s="14" t="s">
        <v>1123</v>
      </c>
      <c r="K622" s="1" t="s">
        <v>34</v>
      </c>
      <c r="L622" s="1" t="s">
        <v>1124</v>
      </c>
      <c r="M622" s="14">
        <v>1</v>
      </c>
      <c r="N622" s="2">
        <v>223.32</v>
      </c>
      <c r="O622" s="16">
        <v>302</v>
      </c>
      <c r="P622" s="14">
        <v>21</v>
      </c>
      <c r="Q622" s="14">
        <f t="shared" si="9"/>
        <v>281</v>
      </c>
      <c r="R622" s="1">
        <v>9</v>
      </c>
      <c r="S622" s="1">
        <v>200010013119</v>
      </c>
      <c r="T622" s="1">
        <v>50</v>
      </c>
      <c r="U622" s="1">
        <v>1</v>
      </c>
      <c r="V622" s="1">
        <v>1</v>
      </c>
    </row>
    <row r="623" spans="1:22" x14ac:dyDescent="0.25">
      <c r="A623" s="3">
        <v>44774</v>
      </c>
      <c r="B623" s="4">
        <v>0.7107175925925926</v>
      </c>
      <c r="C623" s="1">
        <v>1382</v>
      </c>
      <c r="D623" s="1">
        <v>13002561</v>
      </c>
      <c r="E623" s="1">
        <v>13</v>
      </c>
      <c r="F623" s="1">
        <v>22589</v>
      </c>
      <c r="G623" s="1" t="s">
        <v>21</v>
      </c>
      <c r="H623" s="1">
        <v>18</v>
      </c>
      <c r="I623" s="1">
        <v>39416</v>
      </c>
      <c r="J623" s="14" t="s">
        <v>395</v>
      </c>
      <c r="K623" s="1" t="s">
        <v>23</v>
      </c>
      <c r="L623" s="1" t="s">
        <v>175</v>
      </c>
      <c r="M623" s="14">
        <v>1</v>
      </c>
      <c r="N623" s="2">
        <v>150.94</v>
      </c>
      <c r="O623" s="16">
        <v>207</v>
      </c>
      <c r="P623" s="14">
        <v>14</v>
      </c>
      <c r="Q623" s="14">
        <f t="shared" si="9"/>
        <v>193</v>
      </c>
      <c r="R623" s="1">
        <v>9</v>
      </c>
      <c r="S623" s="1">
        <v>200010017788</v>
      </c>
      <c r="T623" s="1">
        <v>29</v>
      </c>
      <c r="U623" s="1">
        <v>1</v>
      </c>
      <c r="V623" s="1">
        <v>3</v>
      </c>
    </row>
    <row r="624" spans="1:22" x14ac:dyDescent="0.25">
      <c r="A624" s="3">
        <v>44774</v>
      </c>
      <c r="B624" s="4">
        <v>0.79040509259259262</v>
      </c>
      <c r="C624" s="1">
        <v>1405</v>
      </c>
      <c r="D624" s="1">
        <v>13002561</v>
      </c>
      <c r="E624" s="1">
        <v>13</v>
      </c>
      <c r="F624" s="1">
        <v>22589</v>
      </c>
      <c r="G624" s="1" t="s">
        <v>21</v>
      </c>
      <c r="H624" s="1">
        <v>18</v>
      </c>
      <c r="I624" s="1">
        <v>39416</v>
      </c>
      <c r="J624" s="14" t="s">
        <v>395</v>
      </c>
      <c r="K624" s="1" t="s">
        <v>23</v>
      </c>
      <c r="L624" s="1" t="s">
        <v>175</v>
      </c>
      <c r="M624" s="14">
        <v>1</v>
      </c>
      <c r="N624" s="2">
        <v>150.94</v>
      </c>
      <c r="O624" s="16">
        <v>207</v>
      </c>
      <c r="P624" s="14">
        <v>0</v>
      </c>
      <c r="Q624" s="14">
        <f t="shared" si="9"/>
        <v>207</v>
      </c>
      <c r="R624" s="1" t="s">
        <v>25</v>
      </c>
      <c r="S624" s="1" t="s">
        <v>25</v>
      </c>
      <c r="T624" s="1">
        <v>29</v>
      </c>
      <c r="U624" s="1">
        <v>1</v>
      </c>
      <c r="V624" s="1">
        <v>2</v>
      </c>
    </row>
    <row r="625" spans="1:22" x14ac:dyDescent="0.25">
      <c r="A625" s="3">
        <v>44777</v>
      </c>
      <c r="B625" s="4">
        <v>0.56767361111111114</v>
      </c>
      <c r="C625" s="1">
        <v>1719</v>
      </c>
      <c r="D625" s="1">
        <v>13002606</v>
      </c>
      <c r="E625" s="1">
        <v>13</v>
      </c>
      <c r="F625" s="1">
        <v>22589</v>
      </c>
      <c r="G625" s="1" t="s">
        <v>21</v>
      </c>
      <c r="H625" s="1">
        <v>18</v>
      </c>
      <c r="I625" s="1">
        <v>39416</v>
      </c>
      <c r="J625" s="14" t="s">
        <v>395</v>
      </c>
      <c r="K625" s="1" t="s">
        <v>23</v>
      </c>
      <c r="L625" s="1" t="s">
        <v>175</v>
      </c>
      <c r="M625" s="14">
        <v>1</v>
      </c>
      <c r="N625" s="2">
        <v>150.94</v>
      </c>
      <c r="O625" s="16">
        <v>207</v>
      </c>
      <c r="P625" s="14">
        <v>14</v>
      </c>
      <c r="Q625" s="14">
        <f t="shared" si="9"/>
        <v>193</v>
      </c>
      <c r="R625" s="1">
        <v>9</v>
      </c>
      <c r="S625" s="1">
        <v>200010009626</v>
      </c>
      <c r="T625" s="1">
        <v>50</v>
      </c>
      <c r="U625" s="1">
        <v>1</v>
      </c>
      <c r="V625" s="1">
        <v>1</v>
      </c>
    </row>
    <row r="626" spans="1:22" x14ac:dyDescent="0.25">
      <c r="A626" s="3">
        <v>44777</v>
      </c>
      <c r="B626" s="4">
        <v>0.71232638888888888</v>
      </c>
      <c r="C626" s="1">
        <v>1754</v>
      </c>
      <c r="D626" s="1">
        <v>13002606</v>
      </c>
      <c r="E626" s="1">
        <v>13</v>
      </c>
      <c r="F626" s="1">
        <v>22589</v>
      </c>
      <c r="G626" s="1" t="s">
        <v>21</v>
      </c>
      <c r="H626" s="1">
        <v>15</v>
      </c>
      <c r="I626" s="1">
        <v>435596</v>
      </c>
      <c r="J626" s="14" t="s">
        <v>1053</v>
      </c>
      <c r="K626" s="1" t="s">
        <v>23</v>
      </c>
      <c r="L626" s="1" t="s">
        <v>453</v>
      </c>
      <c r="M626" s="14">
        <v>1</v>
      </c>
      <c r="N626" s="2">
        <v>11.59</v>
      </c>
      <c r="O626" s="16">
        <v>18</v>
      </c>
      <c r="P626" s="14">
        <v>0</v>
      </c>
      <c r="Q626" s="14">
        <f t="shared" si="9"/>
        <v>18</v>
      </c>
      <c r="R626" s="1" t="s">
        <v>25</v>
      </c>
      <c r="S626" s="1" t="s">
        <v>25</v>
      </c>
      <c r="T626" s="1">
        <v>50</v>
      </c>
      <c r="U626" s="1">
        <v>1</v>
      </c>
      <c r="V626" s="1">
        <v>1</v>
      </c>
    </row>
    <row r="627" spans="1:22" x14ac:dyDescent="0.25">
      <c r="A627" s="3">
        <v>44778</v>
      </c>
      <c r="B627" s="4">
        <v>0.41304398148148147</v>
      </c>
      <c r="C627" s="1">
        <v>1807</v>
      </c>
      <c r="D627" s="1">
        <v>13002616</v>
      </c>
      <c r="E627" s="1">
        <v>13</v>
      </c>
      <c r="F627" s="1">
        <v>22589</v>
      </c>
      <c r="G627" s="1" t="s">
        <v>21</v>
      </c>
      <c r="H627" s="1">
        <v>15</v>
      </c>
      <c r="I627" s="1">
        <v>435596</v>
      </c>
      <c r="J627" s="14" t="s">
        <v>1053</v>
      </c>
      <c r="K627" s="1" t="s">
        <v>51</v>
      </c>
      <c r="L627" s="1" t="s">
        <v>453</v>
      </c>
      <c r="M627" s="14">
        <v>1</v>
      </c>
      <c r="N627" s="2">
        <v>12.53</v>
      </c>
      <c r="O627" s="16">
        <v>20</v>
      </c>
      <c r="P627" s="14">
        <v>1</v>
      </c>
      <c r="Q627" s="14">
        <f t="shared" si="9"/>
        <v>19</v>
      </c>
      <c r="R627" s="1">
        <v>9</v>
      </c>
      <c r="S627" s="1">
        <v>200010001691</v>
      </c>
      <c r="T627" s="1">
        <v>50</v>
      </c>
      <c r="U627" s="1">
        <v>1</v>
      </c>
      <c r="V627" s="1">
        <v>3</v>
      </c>
    </row>
    <row r="628" spans="1:22" x14ac:dyDescent="0.25">
      <c r="A628" s="3">
        <v>44778</v>
      </c>
      <c r="B628" s="4">
        <v>0.58947916666666667</v>
      </c>
      <c r="C628" s="1">
        <v>1851</v>
      </c>
      <c r="D628" s="1">
        <v>13002616</v>
      </c>
      <c r="E628" s="1">
        <v>13</v>
      </c>
      <c r="F628" s="1">
        <v>22589</v>
      </c>
      <c r="G628" s="1" t="s">
        <v>21</v>
      </c>
      <c r="H628" s="1">
        <v>18</v>
      </c>
      <c r="I628" s="1">
        <v>442497</v>
      </c>
      <c r="J628" s="14" t="s">
        <v>1166</v>
      </c>
      <c r="K628" s="1" t="s">
        <v>117</v>
      </c>
      <c r="L628" s="1" t="s">
        <v>383</v>
      </c>
      <c r="M628" s="14">
        <v>1</v>
      </c>
      <c r="N628" s="2">
        <v>26.63</v>
      </c>
      <c r="O628" s="16">
        <v>41</v>
      </c>
      <c r="P628" s="14">
        <v>0</v>
      </c>
      <c r="Q628" s="14">
        <f t="shared" si="9"/>
        <v>41</v>
      </c>
      <c r="R628" s="1" t="s">
        <v>25</v>
      </c>
      <c r="S628" s="1" t="s">
        <v>25</v>
      </c>
      <c r="T628" s="1">
        <v>50</v>
      </c>
      <c r="U628" s="1">
        <v>1</v>
      </c>
      <c r="V628" s="1">
        <v>2</v>
      </c>
    </row>
    <row r="629" spans="1:22" x14ac:dyDescent="0.25">
      <c r="A629" s="3">
        <v>44778</v>
      </c>
      <c r="B629" s="4">
        <v>0.58947916666666667</v>
      </c>
      <c r="C629" s="1">
        <v>1851</v>
      </c>
      <c r="D629" s="1">
        <v>13002616</v>
      </c>
      <c r="E629" s="1">
        <v>13</v>
      </c>
      <c r="F629" s="1">
        <v>22589</v>
      </c>
      <c r="G629" s="1" t="s">
        <v>21</v>
      </c>
      <c r="H629" s="1">
        <v>18</v>
      </c>
      <c r="I629" s="1">
        <v>442497</v>
      </c>
      <c r="J629" s="14" t="s">
        <v>1166</v>
      </c>
      <c r="K629" s="1" t="s">
        <v>117</v>
      </c>
      <c r="L629" s="1" t="s">
        <v>383</v>
      </c>
      <c r="M629" s="14">
        <v>1</v>
      </c>
      <c r="N629" s="2">
        <v>26.63</v>
      </c>
      <c r="O629" s="16">
        <v>41</v>
      </c>
      <c r="P629" s="14">
        <v>0</v>
      </c>
      <c r="Q629" s="14">
        <f t="shared" si="9"/>
        <v>41</v>
      </c>
      <c r="R629" s="1" t="s">
        <v>25</v>
      </c>
      <c r="S629" s="1" t="s">
        <v>25</v>
      </c>
      <c r="T629" s="1">
        <v>50</v>
      </c>
      <c r="U629" s="1">
        <v>1</v>
      </c>
      <c r="V629" s="1">
        <v>3</v>
      </c>
    </row>
    <row r="630" spans="1:22" x14ac:dyDescent="0.25">
      <c r="A630" s="3">
        <v>44774</v>
      </c>
      <c r="B630" s="4">
        <v>0.57680555555555557</v>
      </c>
      <c r="C630" s="1">
        <v>1348</v>
      </c>
      <c r="D630" s="1">
        <v>13002561</v>
      </c>
      <c r="E630" s="1">
        <v>13</v>
      </c>
      <c r="F630" s="1">
        <v>22589</v>
      </c>
      <c r="G630" s="1" t="s">
        <v>21</v>
      </c>
      <c r="H630" s="1">
        <v>15</v>
      </c>
      <c r="I630" s="1">
        <v>397294</v>
      </c>
      <c r="J630" s="14" t="s">
        <v>307</v>
      </c>
      <c r="K630" s="1" t="s">
        <v>51</v>
      </c>
      <c r="L630" s="1" t="s">
        <v>76</v>
      </c>
      <c r="M630" s="14">
        <v>1</v>
      </c>
      <c r="N630" s="2">
        <v>394.06</v>
      </c>
      <c r="O630" s="16">
        <v>476</v>
      </c>
      <c r="P630" s="14">
        <v>23</v>
      </c>
      <c r="Q630" s="14">
        <f t="shared" si="9"/>
        <v>453</v>
      </c>
      <c r="R630" s="1">
        <v>9</v>
      </c>
      <c r="S630" s="1">
        <v>200010021953</v>
      </c>
      <c r="T630" s="1">
        <v>29</v>
      </c>
      <c r="U630" s="1">
        <v>1</v>
      </c>
      <c r="V630" s="1">
        <v>5</v>
      </c>
    </row>
    <row r="631" spans="1:22" x14ac:dyDescent="0.25">
      <c r="A631" s="3">
        <v>44775</v>
      </c>
      <c r="B631" s="4">
        <v>0.78771990740740738</v>
      </c>
      <c r="C631" s="1">
        <v>1527</v>
      </c>
      <c r="D631" s="1">
        <v>13002581</v>
      </c>
      <c r="E631" s="1">
        <v>13</v>
      </c>
      <c r="F631" s="1">
        <v>22589</v>
      </c>
      <c r="G631" s="1" t="s">
        <v>21</v>
      </c>
      <c r="H631" s="1">
        <v>18</v>
      </c>
      <c r="I631" s="1">
        <v>397294</v>
      </c>
      <c r="J631" s="14" t="s">
        <v>307</v>
      </c>
      <c r="K631" s="1" t="s">
        <v>51</v>
      </c>
      <c r="L631" s="1" t="s">
        <v>76</v>
      </c>
      <c r="M631" s="14">
        <v>1</v>
      </c>
      <c r="N631" s="2">
        <v>361.09</v>
      </c>
      <c r="O631" s="16">
        <v>443</v>
      </c>
      <c r="P631" s="14">
        <v>22</v>
      </c>
      <c r="Q631" s="14">
        <f t="shared" si="9"/>
        <v>421</v>
      </c>
      <c r="R631" s="1">
        <v>9</v>
      </c>
      <c r="S631" s="1">
        <v>200010020455</v>
      </c>
      <c r="T631" s="1">
        <v>29</v>
      </c>
      <c r="U631" s="1">
        <v>1</v>
      </c>
      <c r="V631" s="1">
        <v>7</v>
      </c>
    </row>
    <row r="632" spans="1:22" x14ac:dyDescent="0.25">
      <c r="A632" s="3">
        <v>44775</v>
      </c>
      <c r="B632" s="4">
        <v>0.78771990740740738</v>
      </c>
      <c r="C632" s="1">
        <v>1527</v>
      </c>
      <c r="D632" s="1">
        <v>13002581</v>
      </c>
      <c r="E632" s="1">
        <v>13</v>
      </c>
      <c r="F632" s="1">
        <v>22589</v>
      </c>
      <c r="G632" s="1" t="s">
        <v>21</v>
      </c>
      <c r="H632" s="1">
        <v>18</v>
      </c>
      <c r="I632" s="1">
        <v>397294</v>
      </c>
      <c r="J632" s="14" t="s">
        <v>307</v>
      </c>
      <c r="K632" s="1" t="s">
        <v>51</v>
      </c>
      <c r="L632" s="1" t="s">
        <v>76</v>
      </c>
      <c r="M632" s="14">
        <v>1</v>
      </c>
      <c r="N632" s="2">
        <v>361.09</v>
      </c>
      <c r="O632" s="16">
        <v>443</v>
      </c>
      <c r="P632" s="14">
        <v>22</v>
      </c>
      <c r="Q632" s="14">
        <f t="shared" si="9"/>
        <v>421</v>
      </c>
      <c r="R632" s="1">
        <v>9</v>
      </c>
      <c r="S632" s="1">
        <v>200010020455</v>
      </c>
      <c r="T632" s="1">
        <v>29</v>
      </c>
      <c r="U632" s="1">
        <v>1</v>
      </c>
      <c r="V632" s="1">
        <v>8</v>
      </c>
    </row>
    <row r="633" spans="1:22" x14ac:dyDescent="0.25">
      <c r="A633" s="3">
        <v>44778</v>
      </c>
      <c r="B633" s="4">
        <v>0.48697916666666669</v>
      </c>
      <c r="C633" s="1">
        <v>1823</v>
      </c>
      <c r="D633" s="1">
        <v>13002616</v>
      </c>
      <c r="E633" s="1">
        <v>13</v>
      </c>
      <c r="F633" s="1">
        <v>22589</v>
      </c>
      <c r="G633" s="1" t="s">
        <v>21</v>
      </c>
      <c r="H633" s="1">
        <v>15</v>
      </c>
      <c r="I633" s="1">
        <v>16027</v>
      </c>
      <c r="J633" s="14" t="s">
        <v>1115</v>
      </c>
      <c r="K633" s="1" t="s">
        <v>117</v>
      </c>
      <c r="L633" s="1" t="s">
        <v>1116</v>
      </c>
      <c r="M633" s="14">
        <v>1</v>
      </c>
      <c r="N633" s="2">
        <v>68.069999999999993</v>
      </c>
      <c r="O633" s="16">
        <v>107</v>
      </c>
      <c r="P633" s="14">
        <v>10</v>
      </c>
      <c r="Q633" s="14">
        <f t="shared" si="9"/>
        <v>97</v>
      </c>
      <c r="R633" s="1">
        <v>9</v>
      </c>
      <c r="S633" s="1">
        <v>200010009407</v>
      </c>
      <c r="T633" s="1">
        <v>50</v>
      </c>
      <c r="U633" s="1">
        <v>1</v>
      </c>
      <c r="V633" s="1">
        <v>2</v>
      </c>
    </row>
    <row r="634" spans="1:22" x14ac:dyDescent="0.25">
      <c r="A634" s="3">
        <v>44778</v>
      </c>
      <c r="B634" s="4">
        <v>0.40408564814814812</v>
      </c>
      <c r="C634" s="1">
        <v>1804</v>
      </c>
      <c r="D634" s="1">
        <v>13002616</v>
      </c>
      <c r="E634" s="1">
        <v>13</v>
      </c>
      <c r="F634" s="1">
        <v>22589</v>
      </c>
      <c r="G634" s="1" t="s">
        <v>21</v>
      </c>
      <c r="H634" s="1">
        <v>15</v>
      </c>
      <c r="I634" s="1">
        <v>259492</v>
      </c>
      <c r="J634" s="14" t="s">
        <v>1097</v>
      </c>
      <c r="K634" s="1" t="s">
        <v>64</v>
      </c>
      <c r="L634" s="1" t="s">
        <v>1098</v>
      </c>
      <c r="M634" s="14">
        <v>1</v>
      </c>
      <c r="N634" s="2">
        <v>91.91</v>
      </c>
      <c r="O634" s="16">
        <v>145</v>
      </c>
      <c r="P634" s="14">
        <v>14</v>
      </c>
      <c r="Q634" s="14">
        <f t="shared" si="9"/>
        <v>131</v>
      </c>
      <c r="R634" s="1">
        <v>9</v>
      </c>
      <c r="S634" s="1">
        <v>200010002967</v>
      </c>
      <c r="T634" s="1">
        <v>50</v>
      </c>
      <c r="U634" s="1">
        <v>1</v>
      </c>
      <c r="V634" s="1">
        <v>2</v>
      </c>
    </row>
    <row r="635" spans="1:22" x14ac:dyDescent="0.25">
      <c r="A635" s="3">
        <v>44778</v>
      </c>
      <c r="B635" s="4">
        <v>0.46134259259259258</v>
      </c>
      <c r="C635" s="1">
        <v>1818</v>
      </c>
      <c r="D635" s="1">
        <v>13002616</v>
      </c>
      <c r="E635" s="1">
        <v>13</v>
      </c>
      <c r="F635" s="1">
        <v>22589</v>
      </c>
      <c r="G635" s="1" t="s">
        <v>21</v>
      </c>
      <c r="H635" s="1">
        <v>18</v>
      </c>
      <c r="I635" s="1">
        <v>259492</v>
      </c>
      <c r="J635" s="14" t="s">
        <v>1097</v>
      </c>
      <c r="K635" s="1" t="s">
        <v>64</v>
      </c>
      <c r="L635" s="1" t="s">
        <v>1098</v>
      </c>
      <c r="M635" s="14">
        <v>1</v>
      </c>
      <c r="N635" s="2">
        <v>91.91</v>
      </c>
      <c r="O635" s="16">
        <v>145</v>
      </c>
      <c r="P635" s="14">
        <v>0</v>
      </c>
      <c r="Q635" s="14">
        <f t="shared" si="9"/>
        <v>145</v>
      </c>
      <c r="R635" s="1" t="s">
        <v>25</v>
      </c>
      <c r="S635" s="1" t="s">
        <v>25</v>
      </c>
      <c r="T635" s="1">
        <v>50</v>
      </c>
      <c r="U635" s="1">
        <v>1</v>
      </c>
      <c r="V635" s="1">
        <v>1</v>
      </c>
    </row>
    <row r="636" spans="1:22" x14ac:dyDescent="0.25">
      <c r="A636" s="3">
        <v>44775</v>
      </c>
      <c r="B636" s="4">
        <v>0.74813657407407408</v>
      </c>
      <c r="C636" s="1">
        <v>1520</v>
      </c>
      <c r="D636" s="1">
        <v>13002581</v>
      </c>
      <c r="E636" s="1">
        <v>13</v>
      </c>
      <c r="F636" s="1">
        <v>22589</v>
      </c>
      <c r="G636" s="1" t="s">
        <v>21</v>
      </c>
      <c r="H636" s="1">
        <v>15</v>
      </c>
      <c r="I636" s="1">
        <v>39338</v>
      </c>
      <c r="J636" s="14" t="s">
        <v>675</v>
      </c>
      <c r="K636" s="1" t="s">
        <v>51</v>
      </c>
      <c r="L636" s="1" t="s">
        <v>269</v>
      </c>
      <c r="M636" s="14">
        <v>1</v>
      </c>
      <c r="N636" s="2">
        <v>16.78</v>
      </c>
      <c r="O636" s="16">
        <v>28</v>
      </c>
      <c r="P636" s="14">
        <v>0</v>
      </c>
      <c r="Q636" s="14">
        <f t="shared" si="9"/>
        <v>28</v>
      </c>
      <c r="R636" s="1" t="s">
        <v>25</v>
      </c>
      <c r="S636" s="1" t="s">
        <v>25</v>
      </c>
      <c r="T636" s="1">
        <v>29</v>
      </c>
      <c r="U636" s="1">
        <v>1</v>
      </c>
      <c r="V636" s="1">
        <v>1</v>
      </c>
    </row>
    <row r="637" spans="1:22" x14ac:dyDescent="0.25">
      <c r="A637" s="3">
        <v>44778</v>
      </c>
      <c r="B637" s="4">
        <v>0.73204861111111108</v>
      </c>
      <c r="C637" s="1">
        <v>1883</v>
      </c>
      <c r="D637" s="1">
        <v>13002616</v>
      </c>
      <c r="E637" s="1">
        <v>13</v>
      </c>
      <c r="F637" s="1">
        <v>22589</v>
      </c>
      <c r="G637" s="1" t="s">
        <v>21</v>
      </c>
      <c r="H637" s="1">
        <v>15</v>
      </c>
      <c r="I637" s="1">
        <v>39338</v>
      </c>
      <c r="J637" s="14" t="s">
        <v>675</v>
      </c>
      <c r="K637" s="1" t="s">
        <v>51</v>
      </c>
      <c r="L637" s="1" t="s">
        <v>269</v>
      </c>
      <c r="M637" s="14">
        <v>1</v>
      </c>
      <c r="N637" s="2">
        <v>16.78</v>
      </c>
      <c r="O637" s="16">
        <v>28</v>
      </c>
      <c r="P637" s="14">
        <v>2</v>
      </c>
      <c r="Q637" s="14">
        <f t="shared" si="9"/>
        <v>26</v>
      </c>
      <c r="R637" s="1">
        <v>9</v>
      </c>
      <c r="S637" s="1">
        <v>200010016190</v>
      </c>
      <c r="T637" s="1">
        <v>50</v>
      </c>
      <c r="U637" s="1">
        <v>1</v>
      </c>
      <c r="V637" s="1">
        <v>2</v>
      </c>
    </row>
    <row r="638" spans="1:22" x14ac:dyDescent="0.25">
      <c r="A638" s="3">
        <v>44774</v>
      </c>
      <c r="B638" s="4">
        <v>0.53408564814814818</v>
      </c>
      <c r="C638" s="1">
        <v>1333</v>
      </c>
      <c r="D638" s="1">
        <v>13002561</v>
      </c>
      <c r="E638" s="1">
        <v>13</v>
      </c>
      <c r="F638" s="1">
        <v>22589</v>
      </c>
      <c r="G638" s="1" t="s">
        <v>21</v>
      </c>
      <c r="H638" s="1">
        <v>15</v>
      </c>
      <c r="I638" s="1">
        <v>72603</v>
      </c>
      <c r="J638" s="14" t="s">
        <v>268</v>
      </c>
      <c r="K638" s="1" t="s">
        <v>51</v>
      </c>
      <c r="L638" s="1" t="s">
        <v>269</v>
      </c>
      <c r="M638" s="14">
        <v>1</v>
      </c>
      <c r="N638" s="2">
        <v>29.11</v>
      </c>
      <c r="O638" s="16">
        <v>48</v>
      </c>
      <c r="P638" s="14">
        <v>4</v>
      </c>
      <c r="Q638" s="14">
        <f t="shared" si="9"/>
        <v>44</v>
      </c>
      <c r="R638" s="1">
        <v>9</v>
      </c>
      <c r="S638" s="1">
        <v>200010002141</v>
      </c>
      <c r="T638" s="1">
        <v>29</v>
      </c>
      <c r="U638" s="1">
        <v>1</v>
      </c>
      <c r="V638" s="1">
        <v>1</v>
      </c>
    </row>
    <row r="639" spans="1:22" x14ac:dyDescent="0.25">
      <c r="A639" s="3">
        <v>44775</v>
      </c>
      <c r="B639" s="4">
        <v>0.77998842592592588</v>
      </c>
      <c r="C639" s="1">
        <v>1526</v>
      </c>
      <c r="D639" s="1">
        <v>13002581</v>
      </c>
      <c r="E639" s="1">
        <v>13</v>
      </c>
      <c r="F639" s="1">
        <v>22589</v>
      </c>
      <c r="G639" s="1" t="s">
        <v>21</v>
      </c>
      <c r="H639" s="1">
        <v>15</v>
      </c>
      <c r="I639" s="1">
        <v>72603</v>
      </c>
      <c r="J639" s="14" t="s">
        <v>268</v>
      </c>
      <c r="K639" s="1" t="s">
        <v>51</v>
      </c>
      <c r="L639" s="1" t="s">
        <v>269</v>
      </c>
      <c r="M639" s="14">
        <v>1</v>
      </c>
      <c r="N639" s="2">
        <v>29.11</v>
      </c>
      <c r="O639" s="16">
        <v>48</v>
      </c>
      <c r="P639" s="14">
        <v>4</v>
      </c>
      <c r="Q639" s="14">
        <f t="shared" si="9"/>
        <v>44</v>
      </c>
      <c r="R639" s="1">
        <v>9</v>
      </c>
      <c r="S639" s="1">
        <v>200010003645</v>
      </c>
      <c r="T639" s="1">
        <v>29</v>
      </c>
      <c r="U639" s="1">
        <v>1</v>
      </c>
      <c r="V639" s="1">
        <v>1</v>
      </c>
    </row>
    <row r="640" spans="1:22" x14ac:dyDescent="0.25">
      <c r="A640" s="3">
        <v>44776</v>
      </c>
      <c r="B640" s="4">
        <v>0.6519328703703704</v>
      </c>
      <c r="C640" s="1">
        <v>1618</v>
      </c>
      <c r="D640" s="1">
        <v>13002595</v>
      </c>
      <c r="E640" s="1">
        <v>13</v>
      </c>
      <c r="F640" s="1">
        <v>22589</v>
      </c>
      <c r="G640" s="1" t="s">
        <v>21</v>
      </c>
      <c r="H640" s="1">
        <v>18</v>
      </c>
      <c r="I640" s="1">
        <v>72603</v>
      </c>
      <c r="J640" s="14" t="s">
        <v>268</v>
      </c>
      <c r="K640" s="1" t="s">
        <v>51</v>
      </c>
      <c r="L640" s="1" t="s">
        <v>269</v>
      </c>
      <c r="M640" s="14">
        <v>1</v>
      </c>
      <c r="N640" s="2">
        <v>29.11</v>
      </c>
      <c r="O640" s="16">
        <v>48</v>
      </c>
      <c r="P640" s="14">
        <v>4</v>
      </c>
      <c r="Q640" s="14">
        <f t="shared" si="9"/>
        <v>44</v>
      </c>
      <c r="R640" s="1">
        <v>9</v>
      </c>
      <c r="S640" s="1">
        <v>200010004049</v>
      </c>
      <c r="T640" s="1">
        <v>29</v>
      </c>
      <c r="U640" s="1">
        <v>1</v>
      </c>
      <c r="V640" s="1">
        <v>6</v>
      </c>
    </row>
    <row r="641" spans="1:22" x14ac:dyDescent="0.25">
      <c r="A641" s="3">
        <v>44778</v>
      </c>
      <c r="B641" s="4">
        <v>0.62300925925925921</v>
      </c>
      <c r="C641" s="1">
        <v>1861</v>
      </c>
      <c r="D641" s="1">
        <v>13002616</v>
      </c>
      <c r="E641" s="1">
        <v>13</v>
      </c>
      <c r="F641" s="1">
        <v>22589</v>
      </c>
      <c r="G641" s="1" t="s">
        <v>21</v>
      </c>
      <c r="H641" s="1">
        <v>18</v>
      </c>
      <c r="I641" s="1">
        <v>72603</v>
      </c>
      <c r="J641" s="14" t="s">
        <v>268</v>
      </c>
      <c r="K641" s="1" t="s">
        <v>51</v>
      </c>
      <c r="L641" s="1" t="s">
        <v>269</v>
      </c>
      <c r="M641" s="14">
        <v>1</v>
      </c>
      <c r="N641" s="2">
        <v>29.11</v>
      </c>
      <c r="O641" s="16">
        <v>48</v>
      </c>
      <c r="P641" s="14">
        <v>4</v>
      </c>
      <c r="Q641" s="14">
        <f t="shared" si="9"/>
        <v>44</v>
      </c>
      <c r="R641" s="1">
        <v>9</v>
      </c>
      <c r="S641" s="1">
        <v>200010023583</v>
      </c>
      <c r="T641" s="1">
        <v>50</v>
      </c>
      <c r="U641" s="1">
        <v>1</v>
      </c>
      <c r="V641" s="1">
        <v>1</v>
      </c>
    </row>
    <row r="642" spans="1:22" x14ac:dyDescent="0.25">
      <c r="A642" s="3">
        <v>44776</v>
      </c>
      <c r="B642" s="4">
        <v>0.43873842592592593</v>
      </c>
      <c r="C642" s="1">
        <v>1554</v>
      </c>
      <c r="D642" s="1">
        <v>13002595</v>
      </c>
      <c r="E642" s="1">
        <v>13</v>
      </c>
      <c r="F642" s="1">
        <v>22589</v>
      </c>
      <c r="G642" s="1" t="s">
        <v>21</v>
      </c>
      <c r="H642" s="1">
        <v>15</v>
      </c>
      <c r="I642" s="1">
        <v>82897</v>
      </c>
      <c r="J642" s="14" t="s">
        <v>736</v>
      </c>
      <c r="K642" s="1" t="s">
        <v>34</v>
      </c>
      <c r="L642" s="1" t="s">
        <v>212</v>
      </c>
      <c r="M642" s="14">
        <v>1</v>
      </c>
      <c r="N642" s="2">
        <v>49.94</v>
      </c>
      <c r="O642" s="16">
        <v>81</v>
      </c>
      <c r="P642" s="14">
        <v>8</v>
      </c>
      <c r="Q642" s="14">
        <f t="shared" ref="Q642:Q705" si="10">M642*O642-P642</f>
        <v>73</v>
      </c>
      <c r="R642" s="1">
        <v>9</v>
      </c>
      <c r="S642" s="1">
        <v>200010001632</v>
      </c>
      <c r="T642" s="1">
        <v>29</v>
      </c>
      <c r="U642" s="1">
        <v>1</v>
      </c>
      <c r="V642" s="1">
        <v>2</v>
      </c>
    </row>
    <row r="643" spans="1:22" x14ac:dyDescent="0.25">
      <c r="A643" s="3">
        <v>44774</v>
      </c>
      <c r="B643" s="4">
        <v>0.79040509259259262</v>
      </c>
      <c r="C643" s="1">
        <v>1405</v>
      </c>
      <c r="D643" s="1">
        <v>13002561</v>
      </c>
      <c r="E643" s="1">
        <v>13</v>
      </c>
      <c r="F643" s="1">
        <v>22589</v>
      </c>
      <c r="G643" s="1" t="s">
        <v>21</v>
      </c>
      <c r="H643" s="1">
        <v>18</v>
      </c>
      <c r="I643" s="1">
        <v>80861</v>
      </c>
      <c r="J643" s="14" t="s">
        <v>454</v>
      </c>
      <c r="K643" s="1" t="s">
        <v>51</v>
      </c>
      <c r="L643" s="1" t="s">
        <v>269</v>
      </c>
      <c r="M643" s="14">
        <v>1</v>
      </c>
      <c r="N643" s="2">
        <v>58.96</v>
      </c>
      <c r="O643" s="16">
        <v>93</v>
      </c>
      <c r="P643" s="14">
        <v>0</v>
      </c>
      <c r="Q643" s="14">
        <f t="shared" si="10"/>
        <v>93</v>
      </c>
      <c r="R643" s="1" t="s">
        <v>25</v>
      </c>
      <c r="S643" s="1" t="s">
        <v>25</v>
      </c>
      <c r="T643" s="1">
        <v>29</v>
      </c>
      <c r="U643" s="1">
        <v>1</v>
      </c>
      <c r="V643" s="1">
        <v>3</v>
      </c>
    </row>
    <row r="644" spans="1:22" x14ac:dyDescent="0.25">
      <c r="A644" s="3">
        <v>44774</v>
      </c>
      <c r="B644" s="4">
        <v>0.79040509259259262</v>
      </c>
      <c r="C644" s="1">
        <v>1405</v>
      </c>
      <c r="D644" s="1">
        <v>13002561</v>
      </c>
      <c r="E644" s="1">
        <v>13</v>
      </c>
      <c r="F644" s="1">
        <v>22589</v>
      </c>
      <c r="G644" s="1" t="s">
        <v>21</v>
      </c>
      <c r="H644" s="1">
        <v>18</v>
      </c>
      <c r="I644" s="1">
        <v>80861</v>
      </c>
      <c r="J644" s="14" t="s">
        <v>454</v>
      </c>
      <c r="K644" s="1" t="s">
        <v>51</v>
      </c>
      <c r="L644" s="1" t="s">
        <v>269</v>
      </c>
      <c r="M644" s="14">
        <v>1</v>
      </c>
      <c r="N644" s="2">
        <v>58.75</v>
      </c>
      <c r="O644" s="16">
        <v>93</v>
      </c>
      <c r="P644" s="14">
        <v>0</v>
      </c>
      <c r="Q644" s="14">
        <f t="shared" si="10"/>
        <v>93</v>
      </c>
      <c r="R644" s="1" t="s">
        <v>25</v>
      </c>
      <c r="S644" s="1" t="s">
        <v>25</v>
      </c>
      <c r="T644" s="1">
        <v>29</v>
      </c>
      <c r="U644" s="1">
        <v>1</v>
      </c>
      <c r="V644" s="1">
        <v>4</v>
      </c>
    </row>
    <row r="645" spans="1:22" x14ac:dyDescent="0.25">
      <c r="A645" s="3">
        <v>44774</v>
      </c>
      <c r="B645" s="4">
        <v>0.69435185185185189</v>
      </c>
      <c r="C645" s="1">
        <v>1377</v>
      </c>
      <c r="D645" s="1">
        <v>13002561</v>
      </c>
      <c r="E645" s="1">
        <v>13</v>
      </c>
      <c r="F645" s="1">
        <v>22589</v>
      </c>
      <c r="G645" s="1" t="s">
        <v>21</v>
      </c>
      <c r="H645" s="1">
        <v>15</v>
      </c>
      <c r="I645" s="1">
        <v>33001</v>
      </c>
      <c r="J645" s="14" t="s">
        <v>378</v>
      </c>
      <c r="K645" s="1" t="s">
        <v>29</v>
      </c>
      <c r="L645" s="1" t="s">
        <v>269</v>
      </c>
      <c r="M645" s="14">
        <v>24</v>
      </c>
      <c r="N645" s="2">
        <v>2.08</v>
      </c>
      <c r="O645" s="16">
        <v>4</v>
      </c>
      <c r="P645" s="14">
        <v>0</v>
      </c>
      <c r="Q645" s="14">
        <f t="shared" si="10"/>
        <v>96</v>
      </c>
      <c r="R645" s="1" t="s">
        <v>25</v>
      </c>
      <c r="S645" s="1" t="s">
        <v>25</v>
      </c>
      <c r="T645" s="1">
        <v>29</v>
      </c>
      <c r="U645" s="1">
        <v>1</v>
      </c>
      <c r="V645" s="1">
        <v>1</v>
      </c>
    </row>
    <row r="646" spans="1:22" x14ac:dyDescent="0.25">
      <c r="A646" s="3">
        <v>44776</v>
      </c>
      <c r="B646" s="4">
        <v>0.43873842592592593</v>
      </c>
      <c r="C646" s="1">
        <v>1554</v>
      </c>
      <c r="D646" s="1">
        <v>13002595</v>
      </c>
      <c r="E646" s="1">
        <v>13</v>
      </c>
      <c r="F646" s="1">
        <v>22589</v>
      </c>
      <c r="G646" s="1" t="s">
        <v>21</v>
      </c>
      <c r="H646" s="1">
        <v>15</v>
      </c>
      <c r="I646" s="1">
        <v>33001</v>
      </c>
      <c r="J646" s="14" t="s">
        <v>378</v>
      </c>
      <c r="K646" s="1" t="s">
        <v>29</v>
      </c>
      <c r="L646" s="1" t="s">
        <v>269</v>
      </c>
      <c r="M646" s="14">
        <v>4</v>
      </c>
      <c r="N646" s="2">
        <v>2.08</v>
      </c>
      <c r="O646" s="16">
        <v>4</v>
      </c>
      <c r="P646" s="14">
        <v>1</v>
      </c>
      <c r="Q646" s="14">
        <f t="shared" si="10"/>
        <v>15</v>
      </c>
      <c r="R646" s="1">
        <v>9</v>
      </c>
      <c r="S646" s="1">
        <v>200010001632</v>
      </c>
      <c r="T646" s="1">
        <v>29</v>
      </c>
      <c r="U646" s="1">
        <v>1</v>
      </c>
      <c r="V646" s="1">
        <v>3</v>
      </c>
    </row>
    <row r="647" spans="1:22" x14ac:dyDescent="0.25">
      <c r="A647" s="3">
        <v>44777</v>
      </c>
      <c r="B647" s="4">
        <v>0.56679398148148152</v>
      </c>
      <c r="C647" s="1">
        <v>1718</v>
      </c>
      <c r="D647" s="1">
        <v>13002606</v>
      </c>
      <c r="E647" s="1">
        <v>13</v>
      </c>
      <c r="F647" s="1">
        <v>22589</v>
      </c>
      <c r="G647" s="1" t="s">
        <v>21</v>
      </c>
      <c r="H647" s="1">
        <v>15</v>
      </c>
      <c r="I647" s="1">
        <v>33001</v>
      </c>
      <c r="J647" s="14" t="s">
        <v>378</v>
      </c>
      <c r="K647" s="1" t="s">
        <v>29</v>
      </c>
      <c r="L647" s="1" t="s">
        <v>269</v>
      </c>
      <c r="M647" s="14">
        <v>4</v>
      </c>
      <c r="N647" s="2">
        <v>2.08</v>
      </c>
      <c r="O647" s="16">
        <v>4</v>
      </c>
      <c r="P647" s="14">
        <v>13</v>
      </c>
      <c r="Q647" s="14">
        <f t="shared" si="10"/>
        <v>3</v>
      </c>
      <c r="R647" s="1">
        <v>925</v>
      </c>
      <c r="S647" s="1">
        <v>200000000492</v>
      </c>
      <c r="T647" s="1">
        <v>50</v>
      </c>
      <c r="U647" s="1">
        <v>1</v>
      </c>
      <c r="V647" s="1">
        <v>1</v>
      </c>
    </row>
    <row r="648" spans="1:22" x14ac:dyDescent="0.25">
      <c r="A648" s="3">
        <v>44777</v>
      </c>
      <c r="B648" s="4">
        <v>0.60799768518518515</v>
      </c>
      <c r="C648" s="1">
        <v>1732</v>
      </c>
      <c r="D648" s="1">
        <v>13002606</v>
      </c>
      <c r="E648" s="1">
        <v>13</v>
      </c>
      <c r="F648" s="1">
        <v>22589</v>
      </c>
      <c r="G648" s="1" t="s">
        <v>21</v>
      </c>
      <c r="H648" s="1">
        <v>15</v>
      </c>
      <c r="I648" s="1">
        <v>33001</v>
      </c>
      <c r="J648" s="14" t="s">
        <v>378</v>
      </c>
      <c r="K648" s="1" t="s">
        <v>29</v>
      </c>
      <c r="L648" s="1" t="s">
        <v>269</v>
      </c>
      <c r="M648" s="14">
        <v>4</v>
      </c>
      <c r="N648" s="2">
        <v>2.08</v>
      </c>
      <c r="O648" s="16">
        <v>4</v>
      </c>
      <c r="P648" s="14">
        <v>1</v>
      </c>
      <c r="Q648" s="14">
        <f t="shared" si="10"/>
        <v>15</v>
      </c>
      <c r="R648" s="1">
        <v>9</v>
      </c>
      <c r="S648" s="1">
        <v>200010004094</v>
      </c>
      <c r="T648" s="1">
        <v>50</v>
      </c>
      <c r="U648" s="1">
        <v>1</v>
      </c>
      <c r="V648" s="1">
        <v>2</v>
      </c>
    </row>
    <row r="649" spans="1:22" x14ac:dyDescent="0.25">
      <c r="A649" s="3">
        <v>44777</v>
      </c>
      <c r="B649" s="4">
        <v>0.61011574074074071</v>
      </c>
      <c r="C649" s="1">
        <v>1733</v>
      </c>
      <c r="D649" s="1">
        <v>13002606</v>
      </c>
      <c r="E649" s="1">
        <v>13</v>
      </c>
      <c r="F649" s="1">
        <v>22589</v>
      </c>
      <c r="G649" s="1" t="s">
        <v>21</v>
      </c>
      <c r="H649" s="1">
        <v>15</v>
      </c>
      <c r="I649" s="1">
        <v>33001</v>
      </c>
      <c r="J649" s="14" t="s">
        <v>378</v>
      </c>
      <c r="K649" s="1" t="s">
        <v>29</v>
      </c>
      <c r="L649" s="1" t="s">
        <v>269</v>
      </c>
      <c r="M649" s="14">
        <v>4</v>
      </c>
      <c r="N649" s="2">
        <v>2.08</v>
      </c>
      <c r="O649" s="16">
        <v>4</v>
      </c>
      <c r="P649" s="14">
        <v>1</v>
      </c>
      <c r="Q649" s="14">
        <f t="shared" si="10"/>
        <v>15</v>
      </c>
      <c r="R649" s="1">
        <v>9</v>
      </c>
      <c r="S649" s="1">
        <v>200010004764</v>
      </c>
      <c r="T649" s="1">
        <v>50</v>
      </c>
      <c r="U649" s="1">
        <v>1</v>
      </c>
      <c r="V649" s="1">
        <v>3</v>
      </c>
    </row>
    <row r="650" spans="1:22" x14ac:dyDescent="0.25">
      <c r="A650" s="3">
        <v>44778</v>
      </c>
      <c r="B650" s="4">
        <v>0.39881944444444445</v>
      </c>
      <c r="C650" s="1">
        <v>1800</v>
      </c>
      <c r="D650" s="1">
        <v>13002616</v>
      </c>
      <c r="E650" s="1">
        <v>13</v>
      </c>
      <c r="F650" s="1">
        <v>22589</v>
      </c>
      <c r="G650" s="1" t="s">
        <v>21</v>
      </c>
      <c r="H650" s="1">
        <v>15</v>
      </c>
      <c r="I650" s="1">
        <v>33001</v>
      </c>
      <c r="J650" s="14" t="s">
        <v>378</v>
      </c>
      <c r="K650" s="1" t="s">
        <v>29</v>
      </c>
      <c r="L650" s="1" t="s">
        <v>269</v>
      </c>
      <c r="M650" s="14">
        <v>16</v>
      </c>
      <c r="N650" s="2">
        <v>2.08</v>
      </c>
      <c r="O650" s="16">
        <v>4</v>
      </c>
      <c r="P650" s="14">
        <v>0</v>
      </c>
      <c r="Q650" s="14">
        <f t="shared" si="10"/>
        <v>64</v>
      </c>
      <c r="R650" s="1" t="s">
        <v>25</v>
      </c>
      <c r="S650" s="1" t="s">
        <v>25</v>
      </c>
      <c r="T650" s="1">
        <v>50</v>
      </c>
      <c r="U650" s="1">
        <v>1</v>
      </c>
      <c r="V650" s="1">
        <v>1</v>
      </c>
    </row>
    <row r="651" spans="1:22" x14ac:dyDescent="0.25">
      <c r="A651" s="3">
        <v>44778</v>
      </c>
      <c r="B651" s="4">
        <v>0.44091435185185185</v>
      </c>
      <c r="C651" s="1">
        <v>1816</v>
      </c>
      <c r="D651" s="1">
        <v>13002616</v>
      </c>
      <c r="E651" s="1">
        <v>13</v>
      </c>
      <c r="F651" s="1">
        <v>22589</v>
      </c>
      <c r="G651" s="1" t="s">
        <v>21</v>
      </c>
      <c r="H651" s="1">
        <v>15</v>
      </c>
      <c r="I651" s="1">
        <v>33001</v>
      </c>
      <c r="J651" s="14" t="s">
        <v>378</v>
      </c>
      <c r="K651" s="1" t="s">
        <v>29</v>
      </c>
      <c r="L651" s="1" t="s">
        <v>269</v>
      </c>
      <c r="M651" s="14">
        <v>8</v>
      </c>
      <c r="N651" s="2">
        <v>2.08</v>
      </c>
      <c r="O651" s="16">
        <v>4</v>
      </c>
      <c r="P651" s="14">
        <v>0</v>
      </c>
      <c r="Q651" s="14">
        <f t="shared" si="10"/>
        <v>32</v>
      </c>
      <c r="R651" s="1" t="s">
        <v>25</v>
      </c>
      <c r="S651" s="1" t="s">
        <v>25</v>
      </c>
      <c r="T651" s="1">
        <v>50</v>
      </c>
      <c r="U651" s="1">
        <v>1</v>
      </c>
      <c r="V651" s="1">
        <v>1</v>
      </c>
    </row>
    <row r="652" spans="1:22" x14ac:dyDescent="0.25">
      <c r="A652" s="3">
        <v>44778</v>
      </c>
      <c r="B652" s="4">
        <v>0.71643518518518523</v>
      </c>
      <c r="C652" s="1">
        <v>1878</v>
      </c>
      <c r="D652" s="1">
        <v>13002616</v>
      </c>
      <c r="E652" s="1">
        <v>13</v>
      </c>
      <c r="F652" s="1">
        <v>22589</v>
      </c>
      <c r="G652" s="1" t="s">
        <v>21</v>
      </c>
      <c r="H652" s="1">
        <v>15</v>
      </c>
      <c r="I652" s="1">
        <v>33001</v>
      </c>
      <c r="J652" s="14" t="s">
        <v>378</v>
      </c>
      <c r="K652" s="1" t="s">
        <v>29</v>
      </c>
      <c r="L652" s="1" t="s">
        <v>269</v>
      </c>
      <c r="M652" s="14">
        <v>4</v>
      </c>
      <c r="N652" s="2">
        <v>2.08</v>
      </c>
      <c r="O652" s="16">
        <v>4</v>
      </c>
      <c r="P652" s="14">
        <v>0</v>
      </c>
      <c r="Q652" s="14">
        <f t="shared" si="10"/>
        <v>16</v>
      </c>
      <c r="R652" s="1" t="s">
        <v>25</v>
      </c>
      <c r="S652" s="1" t="s">
        <v>25</v>
      </c>
      <c r="T652" s="1">
        <v>50</v>
      </c>
      <c r="U652" s="1">
        <v>1</v>
      </c>
      <c r="V652" s="1">
        <v>2</v>
      </c>
    </row>
    <row r="653" spans="1:22" x14ac:dyDescent="0.25">
      <c r="A653" s="3">
        <v>44777</v>
      </c>
      <c r="B653" s="4">
        <v>0.68923611111111116</v>
      </c>
      <c r="C653" s="1">
        <v>1750</v>
      </c>
      <c r="D653" s="1">
        <v>13002606</v>
      </c>
      <c r="E653" s="1">
        <v>13</v>
      </c>
      <c r="F653" s="1">
        <v>22589</v>
      </c>
      <c r="G653" s="1" t="s">
        <v>21</v>
      </c>
      <c r="H653" s="1">
        <v>18</v>
      </c>
      <c r="I653" s="1">
        <v>81990</v>
      </c>
      <c r="J653" s="14" t="s">
        <v>1046</v>
      </c>
      <c r="K653" s="1" t="s">
        <v>23</v>
      </c>
      <c r="L653" s="1" t="s">
        <v>269</v>
      </c>
      <c r="M653" s="14">
        <v>10</v>
      </c>
      <c r="N653" s="2">
        <v>5.27</v>
      </c>
      <c r="O653" s="16">
        <v>9</v>
      </c>
      <c r="P653" s="14">
        <v>0</v>
      </c>
      <c r="Q653" s="14">
        <f t="shared" si="10"/>
        <v>90</v>
      </c>
      <c r="R653" s="1" t="s">
        <v>25</v>
      </c>
      <c r="S653" s="1" t="s">
        <v>25</v>
      </c>
      <c r="T653" s="1">
        <v>50</v>
      </c>
      <c r="U653" s="1">
        <v>1</v>
      </c>
      <c r="V653" s="1">
        <v>1</v>
      </c>
    </row>
    <row r="654" spans="1:22" x14ac:dyDescent="0.25">
      <c r="A654" s="3">
        <v>44778</v>
      </c>
      <c r="B654" s="4">
        <v>0.39881944444444445</v>
      </c>
      <c r="C654" s="1">
        <v>1800</v>
      </c>
      <c r="D654" s="1">
        <v>13002616</v>
      </c>
      <c r="E654" s="1">
        <v>13</v>
      </c>
      <c r="F654" s="1">
        <v>22589</v>
      </c>
      <c r="G654" s="1" t="s">
        <v>21</v>
      </c>
      <c r="H654" s="1">
        <v>15</v>
      </c>
      <c r="I654" s="1">
        <v>81990</v>
      </c>
      <c r="J654" s="14" t="s">
        <v>1046</v>
      </c>
      <c r="K654" s="1" t="s">
        <v>23</v>
      </c>
      <c r="L654" s="1" t="s">
        <v>269</v>
      </c>
      <c r="M654" s="14">
        <v>4</v>
      </c>
      <c r="N654" s="2">
        <v>5.27</v>
      </c>
      <c r="O654" s="16">
        <v>9</v>
      </c>
      <c r="P654" s="14">
        <v>0</v>
      </c>
      <c r="Q654" s="14">
        <f t="shared" si="10"/>
        <v>36</v>
      </c>
      <c r="R654" s="1" t="s">
        <v>25</v>
      </c>
      <c r="S654" s="1" t="s">
        <v>25</v>
      </c>
      <c r="T654" s="1">
        <v>50</v>
      </c>
      <c r="U654" s="1">
        <v>1</v>
      </c>
      <c r="V654" s="1">
        <v>2</v>
      </c>
    </row>
    <row r="655" spans="1:22" x14ac:dyDescent="0.25">
      <c r="A655" s="3">
        <v>44774</v>
      </c>
      <c r="B655" s="4">
        <v>0.79040509259259262</v>
      </c>
      <c r="C655" s="1">
        <v>1405</v>
      </c>
      <c r="D655" s="1">
        <v>13002561</v>
      </c>
      <c r="E655" s="1">
        <v>13</v>
      </c>
      <c r="F655" s="1">
        <v>22589</v>
      </c>
      <c r="G655" s="1" t="s">
        <v>21</v>
      </c>
      <c r="H655" s="1">
        <v>18</v>
      </c>
      <c r="I655" s="1">
        <v>81988</v>
      </c>
      <c r="J655" s="14" t="s">
        <v>451</v>
      </c>
      <c r="K655" s="1" t="s">
        <v>61</v>
      </c>
      <c r="L655" s="1" t="s">
        <v>269</v>
      </c>
      <c r="M655" s="14">
        <v>10</v>
      </c>
      <c r="N655" s="2">
        <v>4.62</v>
      </c>
      <c r="O655" s="16">
        <v>8</v>
      </c>
      <c r="P655" s="14">
        <v>0</v>
      </c>
      <c r="Q655" s="14">
        <f t="shared" si="10"/>
        <v>80</v>
      </c>
      <c r="R655" s="1" t="s">
        <v>25</v>
      </c>
      <c r="S655" s="1" t="s">
        <v>25</v>
      </c>
      <c r="T655" s="1">
        <v>29</v>
      </c>
      <c r="U655" s="1">
        <v>1</v>
      </c>
      <c r="V655" s="1">
        <v>5</v>
      </c>
    </row>
    <row r="656" spans="1:22" x14ac:dyDescent="0.25">
      <c r="A656" s="3">
        <v>44777</v>
      </c>
      <c r="B656" s="4">
        <v>0.52650462962962963</v>
      </c>
      <c r="C656" s="1">
        <v>1703</v>
      </c>
      <c r="D656" s="1">
        <v>13002606</v>
      </c>
      <c r="E656" s="1">
        <v>13</v>
      </c>
      <c r="F656" s="1">
        <v>22589</v>
      </c>
      <c r="G656" s="1" t="s">
        <v>21</v>
      </c>
      <c r="H656" s="1">
        <v>18</v>
      </c>
      <c r="I656" s="1">
        <v>81988</v>
      </c>
      <c r="J656" s="14" t="s">
        <v>451</v>
      </c>
      <c r="K656" s="1" t="s">
        <v>61</v>
      </c>
      <c r="L656" s="1" t="s">
        <v>269</v>
      </c>
      <c r="M656" s="14">
        <v>3</v>
      </c>
      <c r="N656" s="2">
        <v>4.62</v>
      </c>
      <c r="O656" s="16">
        <v>8</v>
      </c>
      <c r="P656" s="14">
        <v>0</v>
      </c>
      <c r="Q656" s="14">
        <f t="shared" si="10"/>
        <v>24</v>
      </c>
      <c r="R656" s="1" t="s">
        <v>25</v>
      </c>
      <c r="S656" s="1" t="s">
        <v>25</v>
      </c>
      <c r="T656" s="1">
        <v>50</v>
      </c>
      <c r="U656" s="1">
        <v>1</v>
      </c>
      <c r="V656" s="1">
        <v>4</v>
      </c>
    </row>
    <row r="657" spans="1:22" x14ac:dyDescent="0.25">
      <c r="A657" s="3">
        <v>44775</v>
      </c>
      <c r="B657" s="4">
        <v>0.71498842592592593</v>
      </c>
      <c r="C657" s="1">
        <v>1502</v>
      </c>
      <c r="D657" s="1">
        <v>13002581</v>
      </c>
      <c r="E657" s="1">
        <v>13</v>
      </c>
      <c r="F657" s="1">
        <v>22589</v>
      </c>
      <c r="G657" s="1" t="s">
        <v>21</v>
      </c>
      <c r="H657" s="1">
        <v>18</v>
      </c>
      <c r="I657" s="1">
        <v>159107</v>
      </c>
      <c r="J657" s="14" t="s">
        <v>650</v>
      </c>
      <c r="K657" s="1" t="s">
        <v>29</v>
      </c>
      <c r="L657" s="1" t="s">
        <v>651</v>
      </c>
      <c r="M657" s="14">
        <v>1</v>
      </c>
      <c r="N657" s="2">
        <v>66.08</v>
      </c>
      <c r="O657" s="16">
        <v>104</v>
      </c>
      <c r="P657" s="14">
        <v>10</v>
      </c>
      <c r="Q657" s="14">
        <f t="shared" si="10"/>
        <v>94</v>
      </c>
      <c r="R657" s="1">
        <v>9</v>
      </c>
      <c r="S657" s="1">
        <v>200010016761</v>
      </c>
      <c r="T657" s="1">
        <v>29</v>
      </c>
      <c r="U657" s="1">
        <v>1</v>
      </c>
      <c r="V657" s="1">
        <v>2</v>
      </c>
    </row>
    <row r="658" spans="1:22" x14ac:dyDescent="0.25">
      <c r="A658" s="3">
        <v>44777</v>
      </c>
      <c r="B658" s="4">
        <v>0.46325231481481483</v>
      </c>
      <c r="C658" s="1">
        <v>1678</v>
      </c>
      <c r="D658" s="1">
        <v>13002606</v>
      </c>
      <c r="E658" s="1">
        <v>13</v>
      </c>
      <c r="F658" s="1">
        <v>22589</v>
      </c>
      <c r="G658" s="1" t="s">
        <v>21</v>
      </c>
      <c r="H658" s="1">
        <v>18</v>
      </c>
      <c r="I658" s="1">
        <v>159108</v>
      </c>
      <c r="J658" s="14" t="s">
        <v>952</v>
      </c>
      <c r="K658" s="1" t="s">
        <v>117</v>
      </c>
      <c r="L658" s="1" t="s">
        <v>651</v>
      </c>
      <c r="M658" s="14">
        <v>1</v>
      </c>
      <c r="N658" s="2">
        <v>70</v>
      </c>
      <c r="O658" s="16">
        <v>110</v>
      </c>
      <c r="P658" s="14">
        <v>0</v>
      </c>
      <c r="Q658" s="14">
        <f t="shared" si="10"/>
        <v>110</v>
      </c>
      <c r="R658" s="1" t="s">
        <v>25</v>
      </c>
      <c r="S658" s="1" t="s">
        <v>25</v>
      </c>
      <c r="T658" s="1">
        <v>50</v>
      </c>
      <c r="U658" s="1">
        <v>1</v>
      </c>
      <c r="V658" s="1">
        <v>1</v>
      </c>
    </row>
    <row r="659" spans="1:22" x14ac:dyDescent="0.25">
      <c r="A659" s="3">
        <v>44774</v>
      </c>
      <c r="B659" s="4">
        <v>0.71596064814814819</v>
      </c>
      <c r="C659" s="1">
        <v>1384</v>
      </c>
      <c r="D659" s="1">
        <v>13002561</v>
      </c>
      <c r="E659" s="1">
        <v>13</v>
      </c>
      <c r="F659" s="1">
        <v>22589</v>
      </c>
      <c r="G659" s="1" t="s">
        <v>21</v>
      </c>
      <c r="H659" s="1">
        <v>15</v>
      </c>
      <c r="I659" s="1">
        <v>4773</v>
      </c>
      <c r="J659" s="14" t="s">
        <v>398</v>
      </c>
      <c r="K659" s="1" t="s">
        <v>45</v>
      </c>
      <c r="L659" s="1" t="s">
        <v>399</v>
      </c>
      <c r="M659" s="14">
        <v>1</v>
      </c>
      <c r="N659" s="2">
        <v>86.27</v>
      </c>
      <c r="O659" s="16">
        <v>105</v>
      </c>
      <c r="P659" s="14">
        <v>12.51</v>
      </c>
      <c r="Q659" s="14">
        <f t="shared" si="10"/>
        <v>92.49</v>
      </c>
      <c r="R659" s="1">
        <v>925</v>
      </c>
      <c r="S659" s="1">
        <v>200000000492</v>
      </c>
      <c r="T659" s="1">
        <v>29</v>
      </c>
      <c r="U659" s="1">
        <v>1</v>
      </c>
      <c r="V659" s="1">
        <v>1</v>
      </c>
    </row>
    <row r="660" spans="1:22" x14ac:dyDescent="0.25">
      <c r="A660" s="3">
        <v>44776</v>
      </c>
      <c r="B660" s="4">
        <v>0.50671296296296298</v>
      </c>
      <c r="C660" s="1">
        <v>1576</v>
      </c>
      <c r="D660" s="1">
        <v>13002595</v>
      </c>
      <c r="E660" s="1">
        <v>13</v>
      </c>
      <c r="F660" s="1">
        <v>22589</v>
      </c>
      <c r="G660" s="1" t="s">
        <v>21</v>
      </c>
      <c r="H660" s="1">
        <v>18</v>
      </c>
      <c r="I660" s="1">
        <v>4773</v>
      </c>
      <c r="J660" s="14" t="s">
        <v>398</v>
      </c>
      <c r="K660" s="1" t="s">
        <v>45</v>
      </c>
      <c r="L660" s="1" t="s">
        <v>399</v>
      </c>
      <c r="M660" s="14">
        <v>1</v>
      </c>
      <c r="N660" s="2">
        <v>86.27</v>
      </c>
      <c r="O660" s="16">
        <v>105</v>
      </c>
      <c r="P660" s="14">
        <v>0</v>
      </c>
      <c r="Q660" s="14">
        <f t="shared" si="10"/>
        <v>105</v>
      </c>
      <c r="R660" s="1" t="s">
        <v>25</v>
      </c>
      <c r="S660" s="1" t="s">
        <v>25</v>
      </c>
      <c r="T660" s="1">
        <v>29</v>
      </c>
      <c r="U660" s="1">
        <v>1</v>
      </c>
      <c r="V660" s="1">
        <v>1</v>
      </c>
    </row>
    <row r="661" spans="1:22" x14ac:dyDescent="0.25">
      <c r="A661" s="3">
        <v>44777</v>
      </c>
      <c r="B661" s="4">
        <v>0.65030092592592592</v>
      </c>
      <c r="C661" s="1">
        <v>1740</v>
      </c>
      <c r="D661" s="1">
        <v>13002606</v>
      </c>
      <c r="E661" s="1">
        <v>13</v>
      </c>
      <c r="F661" s="1">
        <v>22589</v>
      </c>
      <c r="G661" s="1" t="s">
        <v>21</v>
      </c>
      <c r="H661" s="1">
        <v>15</v>
      </c>
      <c r="I661" s="1">
        <v>385754</v>
      </c>
      <c r="J661" s="14" t="s">
        <v>1035</v>
      </c>
      <c r="K661" s="1" t="s">
        <v>34</v>
      </c>
      <c r="L661" s="1" t="s">
        <v>37</v>
      </c>
      <c r="M661" s="14">
        <v>1</v>
      </c>
      <c r="N661" s="2">
        <v>261.88</v>
      </c>
      <c r="O661" s="16">
        <v>354</v>
      </c>
      <c r="P661" s="14">
        <v>24</v>
      </c>
      <c r="Q661" s="14">
        <f t="shared" si="10"/>
        <v>330</v>
      </c>
      <c r="R661" s="1">
        <v>9</v>
      </c>
      <c r="S661" s="1">
        <v>200010026890</v>
      </c>
      <c r="T661" s="1">
        <v>50</v>
      </c>
      <c r="U661" s="1">
        <v>1</v>
      </c>
      <c r="V661" s="1">
        <v>1</v>
      </c>
    </row>
    <row r="662" spans="1:22" x14ac:dyDescent="0.25">
      <c r="A662" s="3">
        <v>44777</v>
      </c>
      <c r="B662" s="4">
        <v>0.47031250000000002</v>
      </c>
      <c r="C662" s="1">
        <v>1679</v>
      </c>
      <c r="D662" s="1">
        <v>13002606</v>
      </c>
      <c r="E662" s="1">
        <v>13</v>
      </c>
      <c r="F662" s="1">
        <v>22589</v>
      </c>
      <c r="G662" s="1" t="s">
        <v>21</v>
      </c>
      <c r="H662" s="1">
        <v>15</v>
      </c>
      <c r="I662" s="1">
        <v>59853</v>
      </c>
      <c r="J662" s="14" t="s">
        <v>954</v>
      </c>
      <c r="K662" s="1" t="s">
        <v>51</v>
      </c>
      <c r="L662" s="1" t="s">
        <v>955</v>
      </c>
      <c r="M662" s="14">
        <v>1</v>
      </c>
      <c r="N662" s="2">
        <v>134.74</v>
      </c>
      <c r="O662" s="16">
        <v>209</v>
      </c>
      <c r="P662" s="14">
        <v>20</v>
      </c>
      <c r="Q662" s="14">
        <f t="shared" si="10"/>
        <v>189</v>
      </c>
      <c r="R662" s="1">
        <v>9</v>
      </c>
      <c r="S662" s="1">
        <v>200010018491</v>
      </c>
      <c r="T662" s="1">
        <v>50</v>
      </c>
      <c r="U662" s="1">
        <v>1</v>
      </c>
      <c r="V662" s="1">
        <v>2</v>
      </c>
    </row>
    <row r="663" spans="1:22" x14ac:dyDescent="0.25">
      <c r="A663" s="3">
        <v>44778</v>
      </c>
      <c r="B663" s="4">
        <v>0.68760416666666668</v>
      </c>
      <c r="C663" s="1">
        <v>1874</v>
      </c>
      <c r="D663" s="1">
        <v>13002616</v>
      </c>
      <c r="E663" s="1">
        <v>13</v>
      </c>
      <c r="F663" s="1">
        <v>22589</v>
      </c>
      <c r="G663" s="1" t="s">
        <v>21</v>
      </c>
      <c r="H663" s="1">
        <v>15</v>
      </c>
      <c r="I663" s="1">
        <v>114181</v>
      </c>
      <c r="J663" s="14" t="s">
        <v>1197</v>
      </c>
      <c r="K663" s="1" t="s">
        <v>29</v>
      </c>
      <c r="L663" s="1" t="s">
        <v>802</v>
      </c>
      <c r="M663" s="14">
        <v>1</v>
      </c>
      <c r="N663" s="2">
        <v>171.46</v>
      </c>
      <c r="O663" s="16">
        <v>235</v>
      </c>
      <c r="P663" s="14">
        <v>0</v>
      </c>
      <c r="Q663" s="14">
        <f t="shared" si="10"/>
        <v>235</v>
      </c>
      <c r="R663" s="1" t="s">
        <v>25</v>
      </c>
      <c r="S663" s="1" t="s">
        <v>25</v>
      </c>
      <c r="T663" s="1">
        <v>50</v>
      </c>
      <c r="U663" s="1">
        <v>1</v>
      </c>
      <c r="V663" s="1">
        <v>1</v>
      </c>
    </row>
    <row r="664" spans="1:22" x14ac:dyDescent="0.25">
      <c r="A664" s="3">
        <v>44776</v>
      </c>
      <c r="B664" s="4">
        <v>0.44538194444444446</v>
      </c>
      <c r="C664" s="1">
        <v>1558</v>
      </c>
      <c r="D664" s="1">
        <v>13002595</v>
      </c>
      <c r="E664" s="1">
        <v>13</v>
      </c>
      <c r="F664" s="1">
        <v>22589</v>
      </c>
      <c r="G664" s="1" t="s">
        <v>21</v>
      </c>
      <c r="H664" s="1">
        <v>18</v>
      </c>
      <c r="I664" s="1">
        <v>641</v>
      </c>
      <c r="J664" s="14" t="s">
        <v>747</v>
      </c>
      <c r="K664" s="1" t="s">
        <v>51</v>
      </c>
      <c r="L664" s="1" t="s">
        <v>531</v>
      </c>
      <c r="M664" s="14">
        <v>1</v>
      </c>
      <c r="N664" s="2">
        <v>357.99</v>
      </c>
      <c r="O664" s="16">
        <v>473</v>
      </c>
      <c r="P664" s="14">
        <v>33</v>
      </c>
      <c r="Q664" s="14">
        <f t="shared" si="10"/>
        <v>440</v>
      </c>
      <c r="R664" s="1">
        <v>9</v>
      </c>
      <c r="S664" s="1">
        <v>200010007499</v>
      </c>
      <c r="T664" s="1">
        <v>29</v>
      </c>
      <c r="U664" s="1">
        <v>1</v>
      </c>
      <c r="V664" s="1">
        <v>1</v>
      </c>
    </row>
    <row r="665" spans="1:22" x14ac:dyDescent="0.25">
      <c r="A665" s="3">
        <v>44776</v>
      </c>
      <c r="B665" s="4">
        <v>0.36964120370370368</v>
      </c>
      <c r="C665" s="1">
        <v>1543</v>
      </c>
      <c r="D665" s="1">
        <v>13002595</v>
      </c>
      <c r="E665" s="1">
        <v>13</v>
      </c>
      <c r="F665" s="1">
        <v>22589</v>
      </c>
      <c r="G665" s="1" t="s">
        <v>21</v>
      </c>
      <c r="H665" s="1">
        <v>18</v>
      </c>
      <c r="I665" s="1">
        <v>338852</v>
      </c>
      <c r="J665" s="14" t="s">
        <v>712</v>
      </c>
      <c r="K665" s="1" t="s">
        <v>34</v>
      </c>
      <c r="L665" s="1" t="s">
        <v>123</v>
      </c>
      <c r="M665" s="14">
        <v>1</v>
      </c>
      <c r="N665" s="2">
        <v>33.549999999999997</v>
      </c>
      <c r="O665" s="16">
        <v>43.5</v>
      </c>
      <c r="P665" s="14">
        <v>0</v>
      </c>
      <c r="Q665" s="14">
        <f t="shared" si="10"/>
        <v>43.5</v>
      </c>
      <c r="R665" s="1" t="s">
        <v>25</v>
      </c>
      <c r="S665" s="1" t="s">
        <v>25</v>
      </c>
      <c r="T665" s="1">
        <v>29</v>
      </c>
      <c r="U665" s="1">
        <v>1</v>
      </c>
      <c r="V665" s="1">
        <v>3</v>
      </c>
    </row>
    <row r="666" spans="1:22" x14ac:dyDescent="0.25">
      <c r="A666" s="3">
        <v>44776</v>
      </c>
      <c r="B666" s="4">
        <v>0.44354166666666667</v>
      </c>
      <c r="C666" s="1">
        <v>1557</v>
      </c>
      <c r="D666" s="1">
        <v>13002595</v>
      </c>
      <c r="E666" s="1">
        <v>13</v>
      </c>
      <c r="F666" s="1">
        <v>22589</v>
      </c>
      <c r="G666" s="1" t="s">
        <v>21</v>
      </c>
      <c r="H666" s="1">
        <v>15</v>
      </c>
      <c r="I666" s="1">
        <v>338852</v>
      </c>
      <c r="J666" s="14" t="s">
        <v>712</v>
      </c>
      <c r="K666" s="1" t="s">
        <v>34</v>
      </c>
      <c r="L666" s="1" t="s">
        <v>123</v>
      </c>
      <c r="M666" s="14">
        <v>1</v>
      </c>
      <c r="N666" s="2">
        <v>33.549999999999997</v>
      </c>
      <c r="O666" s="16">
        <v>43.5</v>
      </c>
      <c r="P666" s="14">
        <v>1.5</v>
      </c>
      <c r="Q666" s="14">
        <f t="shared" si="10"/>
        <v>42</v>
      </c>
      <c r="R666" s="1">
        <v>9</v>
      </c>
      <c r="S666" s="1">
        <v>200010020276</v>
      </c>
      <c r="T666" s="1">
        <v>29</v>
      </c>
      <c r="U666" s="1">
        <v>1</v>
      </c>
      <c r="V666" s="1">
        <v>2</v>
      </c>
    </row>
    <row r="667" spans="1:22" x14ac:dyDescent="0.25">
      <c r="A667" s="3">
        <v>44776</v>
      </c>
      <c r="B667" s="4">
        <v>0.60665509259259254</v>
      </c>
      <c r="C667" s="1">
        <v>1609</v>
      </c>
      <c r="D667" s="1">
        <v>13002595</v>
      </c>
      <c r="E667" s="1">
        <v>13</v>
      </c>
      <c r="F667" s="1">
        <v>22589</v>
      </c>
      <c r="G667" s="1" t="s">
        <v>21</v>
      </c>
      <c r="H667" s="1">
        <v>18</v>
      </c>
      <c r="I667" s="1">
        <v>345914</v>
      </c>
      <c r="J667" s="14" t="s">
        <v>853</v>
      </c>
      <c r="K667" s="1" t="s">
        <v>48</v>
      </c>
      <c r="L667" s="1" t="s">
        <v>173</v>
      </c>
      <c r="M667" s="14">
        <v>1</v>
      </c>
      <c r="N667" s="2">
        <v>27.41</v>
      </c>
      <c r="O667" s="16">
        <v>35</v>
      </c>
      <c r="P667" s="14">
        <v>0</v>
      </c>
      <c r="Q667" s="14">
        <f t="shared" si="10"/>
        <v>35</v>
      </c>
      <c r="R667" s="1" t="s">
        <v>25</v>
      </c>
      <c r="S667" s="1" t="s">
        <v>25</v>
      </c>
      <c r="T667" s="1">
        <v>29</v>
      </c>
      <c r="U667" s="1">
        <v>1</v>
      </c>
      <c r="V667" s="1">
        <v>3</v>
      </c>
    </row>
    <row r="668" spans="1:22" x14ac:dyDescent="0.25">
      <c r="A668" s="3">
        <v>44777</v>
      </c>
      <c r="B668" s="4">
        <v>0.45702546296296298</v>
      </c>
      <c r="C668" s="1">
        <v>1676</v>
      </c>
      <c r="D668" s="1">
        <v>13002606</v>
      </c>
      <c r="E668" s="1">
        <v>13</v>
      </c>
      <c r="F668" s="1">
        <v>22589</v>
      </c>
      <c r="G668" s="1" t="s">
        <v>21</v>
      </c>
      <c r="H668" s="1">
        <v>15</v>
      </c>
      <c r="I668" s="1">
        <v>149571</v>
      </c>
      <c r="J668" s="14" t="s">
        <v>945</v>
      </c>
      <c r="K668" s="1" t="s">
        <v>23</v>
      </c>
      <c r="L668" s="1" t="s">
        <v>159</v>
      </c>
      <c r="M668" s="14">
        <v>1</v>
      </c>
      <c r="N668" s="2">
        <v>106.7</v>
      </c>
      <c r="O668" s="16">
        <v>127</v>
      </c>
      <c r="P668" s="14">
        <v>6</v>
      </c>
      <c r="Q668" s="14">
        <f t="shared" si="10"/>
        <v>121</v>
      </c>
      <c r="R668" s="1">
        <v>9</v>
      </c>
      <c r="S668" s="1">
        <v>200010023943</v>
      </c>
      <c r="T668" s="1">
        <v>50</v>
      </c>
      <c r="U668" s="1">
        <v>1</v>
      </c>
      <c r="V668" s="1">
        <v>2</v>
      </c>
    </row>
    <row r="669" spans="1:22" x14ac:dyDescent="0.25">
      <c r="A669" s="3">
        <v>44774</v>
      </c>
      <c r="B669" s="4">
        <v>0.7713888888888889</v>
      </c>
      <c r="C669" s="1">
        <v>1398</v>
      </c>
      <c r="D669" s="1">
        <v>13002561</v>
      </c>
      <c r="E669" s="1">
        <v>13</v>
      </c>
      <c r="F669" s="1">
        <v>22589</v>
      </c>
      <c r="G669" s="1" t="s">
        <v>21</v>
      </c>
      <c r="H669" s="1">
        <v>18</v>
      </c>
      <c r="I669" s="1">
        <v>184993</v>
      </c>
      <c r="J669" s="14" t="s">
        <v>433</v>
      </c>
      <c r="K669" s="1" t="s">
        <v>110</v>
      </c>
      <c r="L669" s="1" t="s">
        <v>159</v>
      </c>
      <c r="M669" s="14">
        <v>1</v>
      </c>
      <c r="N669" s="2">
        <v>197.45</v>
      </c>
      <c r="O669" s="16">
        <v>235</v>
      </c>
      <c r="P669" s="14">
        <v>11</v>
      </c>
      <c r="Q669" s="14">
        <f t="shared" si="10"/>
        <v>224</v>
      </c>
      <c r="R669" s="1">
        <v>9</v>
      </c>
      <c r="S669" s="1">
        <v>200010019161</v>
      </c>
      <c r="T669" s="1">
        <v>29</v>
      </c>
      <c r="U669" s="1">
        <v>1</v>
      </c>
      <c r="V669" s="1">
        <v>1</v>
      </c>
    </row>
    <row r="670" spans="1:22" x14ac:dyDescent="0.25">
      <c r="A670" s="3">
        <v>44774</v>
      </c>
      <c r="B670" s="4">
        <v>0.78233796296296299</v>
      </c>
      <c r="C670" s="1">
        <v>1402</v>
      </c>
      <c r="D670" s="1">
        <v>13002561</v>
      </c>
      <c r="E670" s="1">
        <v>13</v>
      </c>
      <c r="F670" s="1">
        <v>22589</v>
      </c>
      <c r="G670" s="1" t="s">
        <v>21</v>
      </c>
      <c r="H670" s="1">
        <v>18</v>
      </c>
      <c r="I670" s="1">
        <v>184993</v>
      </c>
      <c r="J670" s="14" t="s">
        <v>433</v>
      </c>
      <c r="K670" s="1" t="s">
        <v>110</v>
      </c>
      <c r="L670" s="1" t="s">
        <v>159</v>
      </c>
      <c r="M670" s="14">
        <v>1</v>
      </c>
      <c r="N670" s="2">
        <v>197.45</v>
      </c>
      <c r="O670" s="16">
        <v>235</v>
      </c>
      <c r="P670" s="14">
        <v>11</v>
      </c>
      <c r="Q670" s="14">
        <f t="shared" si="10"/>
        <v>224</v>
      </c>
      <c r="R670" s="1">
        <v>9</v>
      </c>
      <c r="S670" s="1">
        <v>200010012073</v>
      </c>
      <c r="T670" s="1">
        <v>29</v>
      </c>
      <c r="U670" s="1">
        <v>1</v>
      </c>
      <c r="V670" s="1">
        <v>4</v>
      </c>
    </row>
    <row r="671" spans="1:22" x14ac:dyDescent="0.25">
      <c r="A671" s="3">
        <v>44776</v>
      </c>
      <c r="B671" s="4">
        <v>0.78501157407407407</v>
      </c>
      <c r="C671" s="1">
        <v>1648</v>
      </c>
      <c r="D671" s="1">
        <v>13002595</v>
      </c>
      <c r="E671" s="1">
        <v>13</v>
      </c>
      <c r="F671" s="1">
        <v>22589</v>
      </c>
      <c r="G671" s="1" t="s">
        <v>21</v>
      </c>
      <c r="H671" s="1">
        <v>15</v>
      </c>
      <c r="I671" s="1">
        <v>184993</v>
      </c>
      <c r="J671" s="14" t="s">
        <v>433</v>
      </c>
      <c r="K671" s="1" t="s">
        <v>23</v>
      </c>
      <c r="L671" s="1" t="s">
        <v>159</v>
      </c>
      <c r="M671" s="14">
        <v>1</v>
      </c>
      <c r="N671" s="2">
        <v>198</v>
      </c>
      <c r="O671" s="16">
        <v>236</v>
      </c>
      <c r="P671" s="14">
        <v>0</v>
      </c>
      <c r="Q671" s="14">
        <f t="shared" si="10"/>
        <v>236</v>
      </c>
      <c r="R671" s="1" t="s">
        <v>25</v>
      </c>
      <c r="S671" s="1" t="s">
        <v>25</v>
      </c>
      <c r="T671" s="1">
        <v>29</v>
      </c>
      <c r="U671" s="1">
        <v>1</v>
      </c>
      <c r="V671" s="1">
        <v>1</v>
      </c>
    </row>
    <row r="672" spans="1:22" x14ac:dyDescent="0.25">
      <c r="A672" s="3">
        <v>44775</v>
      </c>
      <c r="B672" s="4">
        <v>0.5007638888888889</v>
      </c>
      <c r="C672" s="1">
        <v>1456</v>
      </c>
      <c r="D672" s="1">
        <v>13002581</v>
      </c>
      <c r="E672" s="1">
        <v>13</v>
      </c>
      <c r="F672" s="1">
        <v>22589</v>
      </c>
      <c r="G672" s="1" t="s">
        <v>21</v>
      </c>
      <c r="H672" s="1">
        <v>15</v>
      </c>
      <c r="I672" s="1">
        <v>149574</v>
      </c>
      <c r="J672" s="14" t="s">
        <v>560</v>
      </c>
      <c r="K672" s="1" t="s">
        <v>23</v>
      </c>
      <c r="L672" s="1" t="s">
        <v>159</v>
      </c>
      <c r="M672" s="14">
        <v>1</v>
      </c>
      <c r="N672" s="2">
        <v>81.400000000000006</v>
      </c>
      <c r="O672" s="16">
        <v>100</v>
      </c>
      <c r="P672" s="14">
        <v>5</v>
      </c>
      <c r="Q672" s="14">
        <f t="shared" si="10"/>
        <v>95</v>
      </c>
      <c r="R672" s="1">
        <v>9</v>
      </c>
      <c r="S672" s="1">
        <v>200010020256</v>
      </c>
      <c r="T672" s="1">
        <v>29</v>
      </c>
      <c r="U672" s="1">
        <v>1</v>
      </c>
      <c r="V672" s="1">
        <v>1</v>
      </c>
    </row>
    <row r="673" spans="1:22" x14ac:dyDescent="0.25">
      <c r="A673" s="3">
        <v>44778</v>
      </c>
      <c r="B673" s="4">
        <v>0.5577199074074074</v>
      </c>
      <c r="C673" s="1">
        <v>1844</v>
      </c>
      <c r="D673" s="1">
        <v>13002616</v>
      </c>
      <c r="E673" s="1">
        <v>13</v>
      </c>
      <c r="F673" s="1">
        <v>22589</v>
      </c>
      <c r="G673" s="1" t="s">
        <v>21</v>
      </c>
      <c r="H673" s="1">
        <v>18</v>
      </c>
      <c r="I673" s="1">
        <v>318375</v>
      </c>
      <c r="J673" s="14" t="s">
        <v>1148</v>
      </c>
      <c r="K673" s="1" t="s">
        <v>51</v>
      </c>
      <c r="L673" s="1" t="s">
        <v>112</v>
      </c>
      <c r="M673" s="14">
        <v>1</v>
      </c>
      <c r="N673" s="2">
        <v>326.39</v>
      </c>
      <c r="O673" s="16">
        <v>431</v>
      </c>
      <c r="P673" s="14">
        <v>0</v>
      </c>
      <c r="Q673" s="14">
        <f t="shared" si="10"/>
        <v>431</v>
      </c>
      <c r="R673" s="1" t="s">
        <v>25</v>
      </c>
      <c r="S673" s="1" t="s">
        <v>25</v>
      </c>
      <c r="T673" s="1">
        <v>50</v>
      </c>
      <c r="U673" s="1">
        <v>1</v>
      </c>
      <c r="V673" s="1">
        <v>5</v>
      </c>
    </row>
    <row r="674" spans="1:22" x14ac:dyDescent="0.25">
      <c r="A674" s="3">
        <v>44775</v>
      </c>
      <c r="B674" s="4">
        <v>0.77998842592592588</v>
      </c>
      <c r="C674" s="1">
        <v>1526</v>
      </c>
      <c r="D674" s="1">
        <v>13002581</v>
      </c>
      <c r="E674" s="1">
        <v>13</v>
      </c>
      <c r="F674" s="1">
        <v>22589</v>
      </c>
      <c r="G674" s="1" t="s">
        <v>21</v>
      </c>
      <c r="H674" s="1">
        <v>15</v>
      </c>
      <c r="I674" s="1">
        <v>9597</v>
      </c>
      <c r="J674" s="14" t="s">
        <v>683</v>
      </c>
      <c r="K674" s="1" t="s">
        <v>45</v>
      </c>
      <c r="L674" s="1" t="s">
        <v>377</v>
      </c>
      <c r="M674" s="14">
        <v>1</v>
      </c>
      <c r="N674" s="2">
        <v>188.96</v>
      </c>
      <c r="O674" s="16">
        <v>224</v>
      </c>
      <c r="P674" s="14">
        <v>11</v>
      </c>
      <c r="Q674" s="14">
        <f t="shared" si="10"/>
        <v>213</v>
      </c>
      <c r="R674" s="1">
        <v>9</v>
      </c>
      <c r="S674" s="1">
        <v>200010003645</v>
      </c>
      <c r="T674" s="1">
        <v>29</v>
      </c>
      <c r="U674" s="1">
        <v>1</v>
      </c>
      <c r="V674" s="1">
        <v>2</v>
      </c>
    </row>
    <row r="675" spans="1:22" x14ac:dyDescent="0.25">
      <c r="A675" s="3">
        <v>44775</v>
      </c>
      <c r="B675" s="4">
        <v>0.47571759259259261</v>
      </c>
      <c r="C675" s="1">
        <v>1444</v>
      </c>
      <c r="D675" s="1">
        <v>13002581</v>
      </c>
      <c r="E675" s="1">
        <v>13</v>
      </c>
      <c r="F675" s="1">
        <v>22589</v>
      </c>
      <c r="G675" s="1" t="s">
        <v>21</v>
      </c>
      <c r="H675" s="1">
        <v>15</v>
      </c>
      <c r="I675" s="1">
        <v>347426</v>
      </c>
      <c r="J675" s="14" t="s">
        <v>535</v>
      </c>
      <c r="K675" s="1" t="s">
        <v>51</v>
      </c>
      <c r="L675" s="1" t="s">
        <v>536</v>
      </c>
      <c r="M675" s="14">
        <v>1</v>
      </c>
      <c r="N675" s="2">
        <v>2552.4299999999998</v>
      </c>
      <c r="O675" s="16">
        <v>3497</v>
      </c>
      <c r="P675" s="14">
        <v>349</v>
      </c>
      <c r="Q675" s="14">
        <f t="shared" si="10"/>
        <v>3148</v>
      </c>
      <c r="R675" s="1">
        <v>9</v>
      </c>
      <c r="S675" s="1">
        <v>200010001691</v>
      </c>
      <c r="T675" s="1">
        <v>29</v>
      </c>
      <c r="U675" s="1">
        <v>1</v>
      </c>
      <c r="V675" s="1">
        <v>1</v>
      </c>
    </row>
    <row r="676" spans="1:22" x14ac:dyDescent="0.25">
      <c r="A676" s="3">
        <v>44775</v>
      </c>
      <c r="B676" s="4">
        <v>0.72644675925925928</v>
      </c>
      <c r="C676" s="1">
        <v>1509</v>
      </c>
      <c r="D676" s="1">
        <v>13002581</v>
      </c>
      <c r="E676" s="1">
        <v>13</v>
      </c>
      <c r="F676" s="1">
        <v>22589</v>
      </c>
      <c r="G676" s="1" t="s">
        <v>21</v>
      </c>
      <c r="H676" s="1">
        <v>18</v>
      </c>
      <c r="I676" s="1">
        <v>6542</v>
      </c>
      <c r="J676" s="14" t="s">
        <v>661</v>
      </c>
      <c r="K676" s="1" t="s">
        <v>23</v>
      </c>
      <c r="L676" s="1" t="s">
        <v>662</v>
      </c>
      <c r="M676" s="14">
        <v>1</v>
      </c>
      <c r="N676" s="2">
        <v>788.43</v>
      </c>
      <c r="O676" s="16">
        <v>1018</v>
      </c>
      <c r="P676" s="14">
        <v>0</v>
      </c>
      <c r="Q676" s="14">
        <f t="shared" si="10"/>
        <v>1018</v>
      </c>
      <c r="R676" s="1" t="s">
        <v>25</v>
      </c>
      <c r="S676" s="1" t="s">
        <v>25</v>
      </c>
      <c r="T676" s="1">
        <v>29</v>
      </c>
      <c r="U676" s="1">
        <v>1</v>
      </c>
      <c r="V676" s="1">
        <v>1</v>
      </c>
    </row>
    <row r="677" spans="1:22" x14ac:dyDescent="0.25">
      <c r="A677" s="3">
        <v>44776</v>
      </c>
      <c r="B677" s="4">
        <v>0.45681712962962961</v>
      </c>
      <c r="C677" s="1">
        <v>1561</v>
      </c>
      <c r="D677" s="1">
        <v>13002595</v>
      </c>
      <c r="E677" s="1">
        <v>13</v>
      </c>
      <c r="F677" s="1">
        <v>22589</v>
      </c>
      <c r="G677" s="1" t="s">
        <v>21</v>
      </c>
      <c r="H677" s="1">
        <v>18</v>
      </c>
      <c r="I677" s="1">
        <v>274699</v>
      </c>
      <c r="J677" s="14" t="s">
        <v>753</v>
      </c>
      <c r="K677" s="1" t="s">
        <v>51</v>
      </c>
      <c r="L677" s="1" t="s">
        <v>754</v>
      </c>
      <c r="M677" s="14">
        <v>1</v>
      </c>
      <c r="N677" s="2">
        <v>284.35000000000002</v>
      </c>
      <c r="O677" s="16">
        <v>353</v>
      </c>
      <c r="P677" s="14">
        <v>45.26</v>
      </c>
      <c r="Q677" s="14">
        <f t="shared" si="10"/>
        <v>307.74</v>
      </c>
      <c r="R677" s="1">
        <v>925</v>
      </c>
      <c r="S677" s="1">
        <v>200000000492</v>
      </c>
      <c r="T677" s="1">
        <v>29</v>
      </c>
      <c r="U677" s="1">
        <v>1</v>
      </c>
      <c r="V677" s="1">
        <v>1</v>
      </c>
    </row>
    <row r="678" spans="1:22" x14ac:dyDescent="0.25">
      <c r="A678" s="3">
        <v>44777</v>
      </c>
      <c r="B678" s="4">
        <v>0.46196759259259257</v>
      </c>
      <c r="C678" s="1">
        <v>1677</v>
      </c>
      <c r="D678" s="1">
        <v>13002606</v>
      </c>
      <c r="E678" s="1">
        <v>13</v>
      </c>
      <c r="F678" s="1">
        <v>22589</v>
      </c>
      <c r="G678" s="1" t="s">
        <v>21</v>
      </c>
      <c r="H678" s="1">
        <v>18</v>
      </c>
      <c r="I678" s="1">
        <v>59697</v>
      </c>
      <c r="J678" s="14" t="s">
        <v>946</v>
      </c>
      <c r="K678" s="1" t="s">
        <v>117</v>
      </c>
      <c r="L678" s="1" t="s">
        <v>355</v>
      </c>
      <c r="M678" s="14">
        <v>1</v>
      </c>
      <c r="N678" s="2">
        <v>2238.25</v>
      </c>
      <c r="O678" s="16">
        <v>2642</v>
      </c>
      <c r="P678" s="14">
        <v>184</v>
      </c>
      <c r="Q678" s="14">
        <f t="shared" si="10"/>
        <v>2458</v>
      </c>
      <c r="R678" s="1">
        <v>11</v>
      </c>
      <c r="S678" s="1">
        <v>200010000010</v>
      </c>
      <c r="T678" s="1">
        <v>50</v>
      </c>
      <c r="U678" s="1">
        <v>1</v>
      </c>
      <c r="V678" s="1">
        <v>3</v>
      </c>
    </row>
    <row r="679" spans="1:22" x14ac:dyDescent="0.25">
      <c r="A679" s="3">
        <v>44774</v>
      </c>
      <c r="B679" s="4">
        <v>0.76443287037037033</v>
      </c>
      <c r="C679" s="1">
        <v>1397</v>
      </c>
      <c r="D679" s="1">
        <v>13002561</v>
      </c>
      <c r="E679" s="1">
        <v>13</v>
      </c>
      <c r="F679" s="1">
        <v>22589</v>
      </c>
      <c r="G679" s="1" t="s">
        <v>21</v>
      </c>
      <c r="H679" s="1">
        <v>15</v>
      </c>
      <c r="I679" s="1">
        <v>10895</v>
      </c>
      <c r="J679" s="14" t="s">
        <v>432</v>
      </c>
      <c r="K679" s="1" t="s">
        <v>29</v>
      </c>
      <c r="L679" s="1" t="s">
        <v>220</v>
      </c>
      <c r="M679" s="14">
        <v>1</v>
      </c>
      <c r="N679" s="2">
        <v>44.03</v>
      </c>
      <c r="O679" s="16">
        <v>56.1</v>
      </c>
      <c r="P679" s="14">
        <v>2.1</v>
      </c>
      <c r="Q679" s="14">
        <f t="shared" si="10"/>
        <v>54</v>
      </c>
      <c r="R679" s="1">
        <v>9</v>
      </c>
      <c r="S679" s="1">
        <v>200010016460</v>
      </c>
      <c r="T679" s="1">
        <v>29</v>
      </c>
      <c r="U679" s="1">
        <v>1</v>
      </c>
      <c r="V679" s="1">
        <v>1</v>
      </c>
    </row>
    <row r="680" spans="1:22" x14ac:dyDescent="0.25">
      <c r="A680" s="3">
        <v>44774</v>
      </c>
      <c r="B680" s="4">
        <v>0.52601851851851855</v>
      </c>
      <c r="C680" s="1">
        <v>1328</v>
      </c>
      <c r="D680" s="1">
        <v>13002561</v>
      </c>
      <c r="E680" s="1">
        <v>13</v>
      </c>
      <c r="F680" s="1">
        <v>22589</v>
      </c>
      <c r="G680" s="1" t="s">
        <v>21</v>
      </c>
      <c r="H680" s="1">
        <v>15</v>
      </c>
      <c r="I680" s="1">
        <v>4800</v>
      </c>
      <c r="J680" s="14" t="s">
        <v>254</v>
      </c>
      <c r="K680" s="1" t="s">
        <v>51</v>
      </c>
      <c r="L680" s="1" t="s">
        <v>255</v>
      </c>
      <c r="M680" s="14">
        <v>1</v>
      </c>
      <c r="N680" s="2">
        <v>42.05</v>
      </c>
      <c r="O680" s="16">
        <v>53</v>
      </c>
      <c r="P680" s="14">
        <v>0</v>
      </c>
      <c r="Q680" s="14">
        <f t="shared" si="10"/>
        <v>53</v>
      </c>
      <c r="R680" s="1" t="s">
        <v>25</v>
      </c>
      <c r="S680" s="1" t="s">
        <v>25</v>
      </c>
      <c r="T680" s="1">
        <v>29</v>
      </c>
      <c r="U680" s="1">
        <v>1</v>
      </c>
      <c r="V680" s="1">
        <v>2</v>
      </c>
    </row>
    <row r="681" spans="1:22" x14ac:dyDescent="0.25">
      <c r="A681" s="3">
        <v>44774</v>
      </c>
      <c r="B681" s="4">
        <v>0.52601851851851855</v>
      </c>
      <c r="C681" s="1">
        <v>1328</v>
      </c>
      <c r="D681" s="1">
        <v>13002561</v>
      </c>
      <c r="E681" s="1">
        <v>13</v>
      </c>
      <c r="F681" s="1">
        <v>22589</v>
      </c>
      <c r="G681" s="1" t="s">
        <v>21</v>
      </c>
      <c r="H681" s="1">
        <v>15</v>
      </c>
      <c r="I681" s="1">
        <v>4800</v>
      </c>
      <c r="J681" s="14" t="s">
        <v>254</v>
      </c>
      <c r="K681" s="1" t="s">
        <v>51</v>
      </c>
      <c r="L681" s="1" t="s">
        <v>255</v>
      </c>
      <c r="M681" s="14">
        <v>1</v>
      </c>
      <c r="N681" s="2">
        <v>42.05</v>
      </c>
      <c r="O681" s="16">
        <v>53</v>
      </c>
      <c r="P681" s="14">
        <v>0</v>
      </c>
      <c r="Q681" s="14">
        <f t="shared" si="10"/>
        <v>53</v>
      </c>
      <c r="R681" s="1" t="s">
        <v>25</v>
      </c>
      <c r="S681" s="1" t="s">
        <v>25</v>
      </c>
      <c r="T681" s="1">
        <v>29</v>
      </c>
      <c r="U681" s="1">
        <v>1</v>
      </c>
      <c r="V681" s="1">
        <v>3</v>
      </c>
    </row>
    <row r="682" spans="1:22" x14ac:dyDescent="0.25">
      <c r="A682" s="3">
        <v>44775</v>
      </c>
      <c r="B682" s="4">
        <v>0.73601851851851852</v>
      </c>
      <c r="C682" s="1">
        <v>1514</v>
      </c>
      <c r="D682" s="1">
        <v>13002581</v>
      </c>
      <c r="E682" s="1">
        <v>13</v>
      </c>
      <c r="F682" s="1">
        <v>22589</v>
      </c>
      <c r="G682" s="1" t="s">
        <v>21</v>
      </c>
      <c r="H682" s="1">
        <v>18</v>
      </c>
      <c r="I682" s="1">
        <v>4800</v>
      </c>
      <c r="J682" s="14" t="s">
        <v>254</v>
      </c>
      <c r="K682" s="1" t="s">
        <v>51</v>
      </c>
      <c r="L682" s="1" t="s">
        <v>255</v>
      </c>
      <c r="M682" s="14">
        <v>1</v>
      </c>
      <c r="N682" s="2">
        <v>42.05</v>
      </c>
      <c r="O682" s="16">
        <v>53</v>
      </c>
      <c r="P682" s="14">
        <v>0</v>
      </c>
      <c r="Q682" s="14">
        <f t="shared" si="10"/>
        <v>53</v>
      </c>
      <c r="R682" s="1" t="s">
        <v>25</v>
      </c>
      <c r="S682" s="1" t="s">
        <v>25</v>
      </c>
      <c r="T682" s="1">
        <v>29</v>
      </c>
      <c r="U682" s="1">
        <v>1</v>
      </c>
      <c r="V682" s="1">
        <v>2</v>
      </c>
    </row>
    <row r="683" spans="1:22" x14ac:dyDescent="0.25">
      <c r="A683" s="3">
        <v>44777</v>
      </c>
      <c r="B683" s="4">
        <v>0.67782407407407408</v>
      </c>
      <c r="C683" s="1">
        <v>1745</v>
      </c>
      <c r="D683" s="1">
        <v>13002606</v>
      </c>
      <c r="E683" s="1">
        <v>13</v>
      </c>
      <c r="F683" s="1">
        <v>22589</v>
      </c>
      <c r="G683" s="1" t="s">
        <v>21</v>
      </c>
      <c r="H683" s="1">
        <v>18</v>
      </c>
      <c r="I683" s="1">
        <v>4800</v>
      </c>
      <c r="J683" s="14" t="s">
        <v>254</v>
      </c>
      <c r="K683" s="1" t="s">
        <v>51</v>
      </c>
      <c r="L683" s="1" t="s">
        <v>255</v>
      </c>
      <c r="M683" s="14">
        <v>1</v>
      </c>
      <c r="N683" s="2">
        <v>42.05</v>
      </c>
      <c r="O683" s="16">
        <v>53</v>
      </c>
      <c r="P683" s="14">
        <v>2</v>
      </c>
      <c r="Q683" s="14">
        <f t="shared" si="10"/>
        <v>51</v>
      </c>
      <c r="R683" s="1">
        <v>9</v>
      </c>
      <c r="S683" s="1">
        <v>200010026839</v>
      </c>
      <c r="T683" s="1">
        <v>50</v>
      </c>
      <c r="U683" s="1">
        <v>1</v>
      </c>
      <c r="V683" s="1">
        <v>3</v>
      </c>
    </row>
    <row r="684" spans="1:22" x14ac:dyDescent="0.25">
      <c r="A684" s="3">
        <v>44777</v>
      </c>
      <c r="B684" s="4">
        <v>0.67782407407407408</v>
      </c>
      <c r="C684" s="1">
        <v>1745</v>
      </c>
      <c r="D684" s="1">
        <v>13002606</v>
      </c>
      <c r="E684" s="1">
        <v>13</v>
      </c>
      <c r="F684" s="1">
        <v>22589</v>
      </c>
      <c r="G684" s="1" t="s">
        <v>21</v>
      </c>
      <c r="H684" s="1">
        <v>18</v>
      </c>
      <c r="I684" s="1">
        <v>4800</v>
      </c>
      <c r="J684" s="14" t="s">
        <v>254</v>
      </c>
      <c r="K684" s="1" t="s">
        <v>51</v>
      </c>
      <c r="L684" s="1" t="s">
        <v>255</v>
      </c>
      <c r="M684" s="14">
        <v>1</v>
      </c>
      <c r="N684" s="2">
        <v>42.05</v>
      </c>
      <c r="O684" s="16">
        <v>53</v>
      </c>
      <c r="P684" s="14">
        <v>2</v>
      </c>
      <c r="Q684" s="14">
        <f t="shared" si="10"/>
        <v>51</v>
      </c>
      <c r="R684" s="1">
        <v>9</v>
      </c>
      <c r="S684" s="1">
        <v>200010026839</v>
      </c>
      <c r="T684" s="1">
        <v>50</v>
      </c>
      <c r="U684" s="1">
        <v>1</v>
      </c>
      <c r="V684" s="1">
        <v>4</v>
      </c>
    </row>
    <row r="685" spans="1:22" x14ac:dyDescent="0.25">
      <c r="A685" s="3">
        <v>44777</v>
      </c>
      <c r="B685" s="4">
        <v>0.67782407407407408</v>
      </c>
      <c r="C685" s="1">
        <v>1745</v>
      </c>
      <c r="D685" s="1">
        <v>13002606</v>
      </c>
      <c r="E685" s="1">
        <v>13</v>
      </c>
      <c r="F685" s="1">
        <v>22589</v>
      </c>
      <c r="G685" s="1" t="s">
        <v>21</v>
      </c>
      <c r="H685" s="1">
        <v>18</v>
      </c>
      <c r="I685" s="1">
        <v>4800</v>
      </c>
      <c r="J685" s="14" t="s">
        <v>254</v>
      </c>
      <c r="K685" s="1" t="s">
        <v>51</v>
      </c>
      <c r="L685" s="1" t="s">
        <v>255</v>
      </c>
      <c r="M685" s="14">
        <v>1</v>
      </c>
      <c r="N685" s="2">
        <v>42.05</v>
      </c>
      <c r="O685" s="16">
        <v>53</v>
      </c>
      <c r="P685" s="14">
        <v>2</v>
      </c>
      <c r="Q685" s="14">
        <f t="shared" si="10"/>
        <v>51</v>
      </c>
      <c r="R685" s="1">
        <v>9</v>
      </c>
      <c r="S685" s="1">
        <v>200010026839</v>
      </c>
      <c r="T685" s="1">
        <v>50</v>
      </c>
      <c r="U685" s="1">
        <v>1</v>
      </c>
      <c r="V685" s="1">
        <v>5</v>
      </c>
    </row>
    <row r="686" spans="1:22" x14ac:dyDescent="0.25">
      <c r="A686" s="3">
        <v>44778</v>
      </c>
      <c r="B686" s="4">
        <v>0.41304398148148147</v>
      </c>
      <c r="C686" s="1">
        <v>1807</v>
      </c>
      <c r="D686" s="1">
        <v>13002616</v>
      </c>
      <c r="E686" s="1">
        <v>13</v>
      </c>
      <c r="F686" s="1">
        <v>22589</v>
      </c>
      <c r="G686" s="1" t="s">
        <v>21</v>
      </c>
      <c r="H686" s="1">
        <v>15</v>
      </c>
      <c r="I686" s="1">
        <v>4800</v>
      </c>
      <c r="J686" s="14" t="s">
        <v>254</v>
      </c>
      <c r="K686" s="1" t="s">
        <v>51</v>
      </c>
      <c r="L686" s="1" t="s">
        <v>255</v>
      </c>
      <c r="M686" s="14">
        <v>1</v>
      </c>
      <c r="N686" s="2">
        <v>42.05</v>
      </c>
      <c r="O686" s="16">
        <v>53</v>
      </c>
      <c r="P686" s="14">
        <v>2</v>
      </c>
      <c r="Q686" s="14">
        <f t="shared" si="10"/>
        <v>51</v>
      </c>
      <c r="R686" s="1">
        <v>9</v>
      </c>
      <c r="S686" s="1">
        <v>200010001691</v>
      </c>
      <c r="T686" s="1">
        <v>50</v>
      </c>
      <c r="U686" s="1">
        <v>1</v>
      </c>
      <c r="V686" s="1">
        <v>4</v>
      </c>
    </row>
    <row r="687" spans="1:22" x14ac:dyDescent="0.25">
      <c r="A687" s="3">
        <v>44778</v>
      </c>
      <c r="B687" s="4">
        <v>0.67054398148148153</v>
      </c>
      <c r="C687" s="1">
        <v>1872</v>
      </c>
      <c r="D687" s="1">
        <v>13002616</v>
      </c>
      <c r="E687" s="1">
        <v>13</v>
      </c>
      <c r="F687" s="1">
        <v>22589</v>
      </c>
      <c r="G687" s="1" t="s">
        <v>21</v>
      </c>
      <c r="H687" s="1">
        <v>18</v>
      </c>
      <c r="I687" s="1">
        <v>4800</v>
      </c>
      <c r="J687" s="14" t="s">
        <v>254</v>
      </c>
      <c r="K687" s="1" t="s">
        <v>23</v>
      </c>
      <c r="L687" s="1" t="s">
        <v>255</v>
      </c>
      <c r="M687" s="14">
        <v>1</v>
      </c>
      <c r="N687" s="2">
        <v>42.43</v>
      </c>
      <c r="O687" s="16">
        <v>53</v>
      </c>
      <c r="P687" s="14">
        <v>2</v>
      </c>
      <c r="Q687" s="14">
        <f t="shared" si="10"/>
        <v>51</v>
      </c>
      <c r="R687" s="1">
        <v>9</v>
      </c>
      <c r="S687" s="1">
        <v>200010023937</v>
      </c>
      <c r="T687" s="1">
        <v>50</v>
      </c>
      <c r="U687" s="1">
        <v>1</v>
      </c>
      <c r="V687" s="1">
        <v>1</v>
      </c>
    </row>
    <row r="688" spans="1:22" x14ac:dyDescent="0.25">
      <c r="A688" s="3">
        <v>44778</v>
      </c>
      <c r="B688" s="4">
        <v>0.67054398148148153</v>
      </c>
      <c r="C688" s="1">
        <v>1872</v>
      </c>
      <c r="D688" s="1">
        <v>13002616</v>
      </c>
      <c r="E688" s="1">
        <v>13</v>
      </c>
      <c r="F688" s="1">
        <v>22589</v>
      </c>
      <c r="G688" s="1" t="s">
        <v>21</v>
      </c>
      <c r="H688" s="1">
        <v>18</v>
      </c>
      <c r="I688" s="1">
        <v>4800</v>
      </c>
      <c r="J688" s="14" t="s">
        <v>254</v>
      </c>
      <c r="K688" s="1" t="s">
        <v>23</v>
      </c>
      <c r="L688" s="1" t="s">
        <v>255</v>
      </c>
      <c r="M688" s="14">
        <v>1</v>
      </c>
      <c r="N688" s="2">
        <v>42.43</v>
      </c>
      <c r="O688" s="16">
        <v>53</v>
      </c>
      <c r="P688" s="14">
        <v>2</v>
      </c>
      <c r="Q688" s="14">
        <f t="shared" si="10"/>
        <v>51</v>
      </c>
      <c r="R688" s="1">
        <v>9</v>
      </c>
      <c r="S688" s="1">
        <v>200010023937</v>
      </c>
      <c r="T688" s="1">
        <v>50</v>
      </c>
      <c r="U688" s="1">
        <v>1</v>
      </c>
      <c r="V688" s="1">
        <v>2</v>
      </c>
    </row>
    <row r="689" spans="1:22" x14ac:dyDescent="0.25">
      <c r="A689" s="3">
        <v>44774</v>
      </c>
      <c r="B689" s="4">
        <v>0.59709490740740745</v>
      </c>
      <c r="C689" s="1">
        <v>1354</v>
      </c>
      <c r="D689" s="1">
        <v>13002561</v>
      </c>
      <c r="E689" s="1">
        <v>13</v>
      </c>
      <c r="F689" s="1">
        <v>22589</v>
      </c>
      <c r="G689" s="1" t="s">
        <v>21</v>
      </c>
      <c r="H689" s="1">
        <v>15</v>
      </c>
      <c r="I689" s="1">
        <v>18570</v>
      </c>
      <c r="J689" s="14" t="s">
        <v>327</v>
      </c>
      <c r="K689" s="1" t="s">
        <v>117</v>
      </c>
      <c r="L689" s="1" t="s">
        <v>328</v>
      </c>
      <c r="M689" s="14">
        <v>1</v>
      </c>
      <c r="N689" s="2">
        <v>37.590000000000003</v>
      </c>
      <c r="O689" s="16">
        <v>46</v>
      </c>
      <c r="P689" s="14">
        <v>2</v>
      </c>
      <c r="Q689" s="14">
        <f t="shared" si="10"/>
        <v>44</v>
      </c>
      <c r="R689" s="1">
        <v>9</v>
      </c>
      <c r="S689" s="1">
        <v>200010000452</v>
      </c>
      <c r="T689" s="1">
        <v>29</v>
      </c>
      <c r="U689" s="1">
        <v>1</v>
      </c>
      <c r="V689" s="1">
        <v>2</v>
      </c>
    </row>
    <row r="690" spans="1:22" x14ac:dyDescent="0.25">
      <c r="A690" s="3">
        <v>44774</v>
      </c>
      <c r="B690" s="4">
        <v>0.49210648148148151</v>
      </c>
      <c r="C690" s="1">
        <v>1313</v>
      </c>
      <c r="D690" s="1">
        <v>13002561</v>
      </c>
      <c r="E690" s="1">
        <v>13</v>
      </c>
      <c r="F690" s="1">
        <v>22589</v>
      </c>
      <c r="G690" s="1" t="s">
        <v>21</v>
      </c>
      <c r="H690" s="1">
        <v>18</v>
      </c>
      <c r="I690" s="1">
        <v>154472</v>
      </c>
      <c r="J690" s="14" t="s">
        <v>193</v>
      </c>
      <c r="K690" s="1" t="s">
        <v>34</v>
      </c>
      <c r="L690" s="1" t="s">
        <v>159</v>
      </c>
      <c r="M690" s="14">
        <v>1</v>
      </c>
      <c r="N690" s="2">
        <v>74.8</v>
      </c>
      <c r="O690" s="16">
        <v>92</v>
      </c>
      <c r="P690" s="14">
        <v>0</v>
      </c>
      <c r="Q690" s="14">
        <f t="shared" si="10"/>
        <v>92</v>
      </c>
      <c r="R690" s="1" t="s">
        <v>25</v>
      </c>
      <c r="S690" s="1" t="s">
        <v>25</v>
      </c>
      <c r="T690" s="1">
        <v>29</v>
      </c>
      <c r="U690" s="1">
        <v>1</v>
      </c>
      <c r="V690" s="1">
        <v>1</v>
      </c>
    </row>
    <row r="691" spans="1:22" x14ac:dyDescent="0.25">
      <c r="A691" s="3">
        <v>44775</v>
      </c>
      <c r="B691" s="4">
        <v>0.39520833333333333</v>
      </c>
      <c r="C691" s="1">
        <v>1428</v>
      </c>
      <c r="D691" s="1">
        <v>13002581</v>
      </c>
      <c r="E691" s="1">
        <v>13</v>
      </c>
      <c r="F691" s="1">
        <v>22589</v>
      </c>
      <c r="G691" s="1" t="s">
        <v>21</v>
      </c>
      <c r="H691" s="1">
        <v>15</v>
      </c>
      <c r="I691" s="1">
        <v>191546</v>
      </c>
      <c r="J691" s="14" t="s">
        <v>502</v>
      </c>
      <c r="K691" s="1" t="s">
        <v>51</v>
      </c>
      <c r="L691" s="1" t="s">
        <v>248</v>
      </c>
      <c r="M691" s="14">
        <v>1</v>
      </c>
      <c r="N691" s="2">
        <v>76.010000000000005</v>
      </c>
      <c r="O691" s="16">
        <v>95</v>
      </c>
      <c r="P691" s="14">
        <v>4</v>
      </c>
      <c r="Q691" s="14">
        <f t="shared" si="10"/>
        <v>91</v>
      </c>
      <c r="R691" s="1">
        <v>9</v>
      </c>
      <c r="S691" s="1">
        <v>200010021941</v>
      </c>
      <c r="T691" s="1">
        <v>29</v>
      </c>
      <c r="U691" s="1">
        <v>1</v>
      </c>
      <c r="V691" s="1">
        <v>1</v>
      </c>
    </row>
    <row r="692" spans="1:22" x14ac:dyDescent="0.25">
      <c r="A692" s="3">
        <v>44776</v>
      </c>
      <c r="B692" s="4">
        <v>0.67155092592592591</v>
      </c>
      <c r="C692" s="1">
        <v>1623</v>
      </c>
      <c r="D692" s="1">
        <v>13002595</v>
      </c>
      <c r="E692" s="1">
        <v>13</v>
      </c>
      <c r="F692" s="1">
        <v>22589</v>
      </c>
      <c r="G692" s="1" t="s">
        <v>21</v>
      </c>
      <c r="H692" s="1">
        <v>18</v>
      </c>
      <c r="I692" s="1">
        <v>63036</v>
      </c>
      <c r="J692" s="14" t="s">
        <v>876</v>
      </c>
      <c r="K692" s="1" t="s">
        <v>34</v>
      </c>
      <c r="L692" s="1" t="s">
        <v>39</v>
      </c>
      <c r="M692" s="14">
        <v>1</v>
      </c>
      <c r="N692" s="2">
        <v>43.81</v>
      </c>
      <c r="O692" s="16">
        <v>55</v>
      </c>
      <c r="P692" s="14">
        <v>2</v>
      </c>
      <c r="Q692" s="14">
        <f t="shared" si="10"/>
        <v>53</v>
      </c>
      <c r="R692" s="1">
        <v>9</v>
      </c>
      <c r="S692" s="1">
        <v>200010023600</v>
      </c>
      <c r="T692" s="1">
        <v>29</v>
      </c>
      <c r="U692" s="1">
        <v>1</v>
      </c>
      <c r="V692" s="1">
        <v>3</v>
      </c>
    </row>
    <row r="693" spans="1:22" x14ac:dyDescent="0.25">
      <c r="A693" s="3">
        <v>44777</v>
      </c>
      <c r="B693" s="4">
        <v>0.69369212962962967</v>
      </c>
      <c r="C693" s="1">
        <v>1751</v>
      </c>
      <c r="D693" s="1">
        <v>13002606</v>
      </c>
      <c r="E693" s="1">
        <v>13</v>
      </c>
      <c r="F693" s="1">
        <v>22589</v>
      </c>
      <c r="G693" s="1" t="s">
        <v>21</v>
      </c>
      <c r="H693" s="1">
        <v>15</v>
      </c>
      <c r="I693" s="1">
        <v>63037</v>
      </c>
      <c r="J693" s="14" t="s">
        <v>1047</v>
      </c>
      <c r="K693" s="1" t="s">
        <v>45</v>
      </c>
      <c r="L693" s="1" t="s">
        <v>39</v>
      </c>
      <c r="M693" s="14">
        <v>1</v>
      </c>
      <c r="N693" s="2">
        <v>80.03</v>
      </c>
      <c r="O693" s="16">
        <v>103</v>
      </c>
      <c r="P693" s="14">
        <v>5</v>
      </c>
      <c r="Q693" s="14">
        <f t="shared" si="10"/>
        <v>98</v>
      </c>
      <c r="R693" s="1">
        <v>9</v>
      </c>
      <c r="S693" s="1">
        <v>200010017973</v>
      </c>
      <c r="T693" s="1">
        <v>50</v>
      </c>
      <c r="U693" s="1">
        <v>1</v>
      </c>
      <c r="V693" s="1">
        <v>3</v>
      </c>
    </row>
    <row r="694" spans="1:22" x14ac:dyDescent="0.25">
      <c r="A694" s="3">
        <v>44775</v>
      </c>
      <c r="B694" s="4">
        <v>0.49800925925925926</v>
      </c>
      <c r="C694" s="1">
        <v>1454</v>
      </c>
      <c r="D694" s="1">
        <v>13002581</v>
      </c>
      <c r="E694" s="1">
        <v>13</v>
      </c>
      <c r="F694" s="1">
        <v>22589</v>
      </c>
      <c r="G694" s="1" t="s">
        <v>21</v>
      </c>
      <c r="H694" s="1">
        <v>15</v>
      </c>
      <c r="I694" s="1">
        <v>51599</v>
      </c>
      <c r="J694" s="14" t="s">
        <v>555</v>
      </c>
      <c r="K694" s="1" t="s">
        <v>34</v>
      </c>
      <c r="L694" s="1" t="s">
        <v>226</v>
      </c>
      <c r="M694" s="14">
        <v>2</v>
      </c>
      <c r="N694" s="2">
        <v>37.49</v>
      </c>
      <c r="O694" s="16">
        <v>61</v>
      </c>
      <c r="P694" s="14">
        <v>12</v>
      </c>
      <c r="Q694" s="14">
        <f t="shared" si="10"/>
        <v>110</v>
      </c>
      <c r="R694" s="1">
        <v>9</v>
      </c>
      <c r="S694" s="1">
        <v>200010000733</v>
      </c>
      <c r="T694" s="1">
        <v>29</v>
      </c>
      <c r="U694" s="1">
        <v>1</v>
      </c>
      <c r="V694" s="1">
        <v>3</v>
      </c>
    </row>
    <row r="695" spans="1:22" x14ac:dyDescent="0.25">
      <c r="A695" s="3">
        <v>44776</v>
      </c>
      <c r="B695" s="4">
        <v>0.6519328703703704</v>
      </c>
      <c r="C695" s="1">
        <v>1618</v>
      </c>
      <c r="D695" s="1">
        <v>13002595</v>
      </c>
      <c r="E695" s="1">
        <v>13</v>
      </c>
      <c r="F695" s="1">
        <v>22589</v>
      </c>
      <c r="G695" s="1" t="s">
        <v>21</v>
      </c>
      <c r="H695" s="1">
        <v>18</v>
      </c>
      <c r="I695" s="1">
        <v>51599</v>
      </c>
      <c r="J695" s="14" t="s">
        <v>555</v>
      </c>
      <c r="K695" s="1" t="s">
        <v>34</v>
      </c>
      <c r="L695" s="1" t="s">
        <v>226</v>
      </c>
      <c r="M695" s="14">
        <v>3</v>
      </c>
      <c r="N695" s="2">
        <v>37.49</v>
      </c>
      <c r="O695" s="16">
        <v>61</v>
      </c>
      <c r="P695" s="14">
        <v>18</v>
      </c>
      <c r="Q695" s="14">
        <f t="shared" si="10"/>
        <v>165</v>
      </c>
      <c r="R695" s="1">
        <v>9</v>
      </c>
      <c r="S695" s="1">
        <v>200010004049</v>
      </c>
      <c r="T695" s="1">
        <v>29</v>
      </c>
      <c r="U695" s="1">
        <v>1</v>
      </c>
      <c r="V695" s="1">
        <v>7</v>
      </c>
    </row>
    <row r="696" spans="1:22" x14ac:dyDescent="0.25">
      <c r="A696" s="3">
        <v>44777</v>
      </c>
      <c r="B696" s="4">
        <v>0.45702546296296298</v>
      </c>
      <c r="C696" s="1">
        <v>1676</v>
      </c>
      <c r="D696" s="1">
        <v>13002606</v>
      </c>
      <c r="E696" s="1">
        <v>13</v>
      </c>
      <c r="F696" s="1">
        <v>22589</v>
      </c>
      <c r="G696" s="1" t="s">
        <v>21</v>
      </c>
      <c r="H696" s="1">
        <v>15</v>
      </c>
      <c r="I696" s="1">
        <v>42974</v>
      </c>
      <c r="J696" s="14" t="s">
        <v>943</v>
      </c>
      <c r="K696" s="1" t="s">
        <v>34</v>
      </c>
      <c r="L696" s="1" t="s">
        <v>226</v>
      </c>
      <c r="M696" s="14">
        <v>2</v>
      </c>
      <c r="N696" s="2">
        <v>44.45</v>
      </c>
      <c r="O696" s="16">
        <v>72</v>
      </c>
      <c r="P696" s="14">
        <v>14</v>
      </c>
      <c r="Q696" s="14">
        <f t="shared" si="10"/>
        <v>130</v>
      </c>
      <c r="R696" s="1">
        <v>9</v>
      </c>
      <c r="S696" s="1">
        <v>200010023943</v>
      </c>
      <c r="T696" s="1">
        <v>50</v>
      </c>
      <c r="U696" s="1">
        <v>1</v>
      </c>
      <c r="V696" s="1">
        <v>3</v>
      </c>
    </row>
    <row r="697" spans="1:22" x14ac:dyDescent="0.25">
      <c r="A697" s="3">
        <v>44775</v>
      </c>
      <c r="B697" s="4">
        <v>0.57376157407407402</v>
      </c>
      <c r="C697" s="1">
        <v>1477</v>
      </c>
      <c r="D697" s="1">
        <v>13002581</v>
      </c>
      <c r="E697" s="1">
        <v>13</v>
      </c>
      <c r="F697" s="1">
        <v>22589</v>
      </c>
      <c r="G697" s="1" t="s">
        <v>21</v>
      </c>
      <c r="H697" s="1">
        <v>18</v>
      </c>
      <c r="I697" s="1">
        <v>404534</v>
      </c>
      <c r="J697" s="14" t="s">
        <v>606</v>
      </c>
      <c r="K697" s="1" t="s">
        <v>51</v>
      </c>
      <c r="L697" s="1" t="s">
        <v>449</v>
      </c>
      <c r="M697" s="14">
        <v>1</v>
      </c>
      <c r="N697" s="2">
        <v>647.25</v>
      </c>
      <c r="O697" s="16">
        <v>835</v>
      </c>
      <c r="P697" s="14">
        <v>0</v>
      </c>
      <c r="Q697" s="14">
        <f t="shared" si="10"/>
        <v>835</v>
      </c>
      <c r="R697" s="1" t="s">
        <v>25</v>
      </c>
      <c r="S697" s="1" t="s">
        <v>25</v>
      </c>
      <c r="T697" s="1">
        <v>29</v>
      </c>
      <c r="U697" s="1">
        <v>1</v>
      </c>
      <c r="V697" s="1">
        <v>3</v>
      </c>
    </row>
    <row r="698" spans="1:22" x14ac:dyDescent="0.25">
      <c r="A698" s="3">
        <v>44774</v>
      </c>
      <c r="B698" s="4">
        <v>0.41401620370370368</v>
      </c>
      <c r="C698" s="1">
        <v>1283</v>
      </c>
      <c r="D698" s="1">
        <v>13002561</v>
      </c>
      <c r="E698" s="1">
        <v>13</v>
      </c>
      <c r="F698" s="1">
        <v>22589</v>
      </c>
      <c r="G698" s="1" t="s">
        <v>21</v>
      </c>
      <c r="H698" s="1">
        <v>15</v>
      </c>
      <c r="I698" s="1">
        <v>461654</v>
      </c>
      <c r="J698" s="14" t="s">
        <v>66</v>
      </c>
      <c r="K698" s="1" t="s">
        <v>51</v>
      </c>
      <c r="L698" s="1" t="s">
        <v>67</v>
      </c>
      <c r="M698" s="14">
        <v>1</v>
      </c>
      <c r="N698" s="2">
        <v>677.2</v>
      </c>
      <c r="O698" s="16">
        <v>779</v>
      </c>
      <c r="P698" s="14">
        <v>54</v>
      </c>
      <c r="Q698" s="14">
        <f t="shared" si="10"/>
        <v>725</v>
      </c>
      <c r="R698" s="1">
        <v>9</v>
      </c>
      <c r="S698" s="1">
        <v>200010020913</v>
      </c>
      <c r="T698" s="1">
        <v>29</v>
      </c>
      <c r="U698" s="1">
        <v>1</v>
      </c>
      <c r="V698" s="1">
        <v>2</v>
      </c>
    </row>
    <row r="699" spans="1:22" x14ac:dyDescent="0.25">
      <c r="A699" s="3">
        <v>44775</v>
      </c>
      <c r="B699" s="4">
        <v>0.54811342592592593</v>
      </c>
      <c r="C699" s="1">
        <v>1472</v>
      </c>
      <c r="D699" s="1">
        <v>13002581</v>
      </c>
      <c r="E699" s="1">
        <v>13</v>
      </c>
      <c r="F699" s="1">
        <v>22589</v>
      </c>
      <c r="G699" s="1" t="s">
        <v>21</v>
      </c>
      <c r="H699" s="1">
        <v>18</v>
      </c>
      <c r="I699" s="1">
        <v>461654</v>
      </c>
      <c r="J699" s="14" t="s">
        <v>66</v>
      </c>
      <c r="K699" s="1" t="s">
        <v>23</v>
      </c>
      <c r="L699" s="1" t="s">
        <v>67</v>
      </c>
      <c r="M699" s="14">
        <v>1</v>
      </c>
      <c r="N699" s="2">
        <v>687.83</v>
      </c>
      <c r="O699" s="16">
        <v>791</v>
      </c>
      <c r="P699" s="14">
        <v>55</v>
      </c>
      <c r="Q699" s="14">
        <f t="shared" si="10"/>
        <v>736</v>
      </c>
      <c r="R699" s="1">
        <v>9</v>
      </c>
      <c r="S699" s="1">
        <v>200010020914</v>
      </c>
      <c r="T699" s="1">
        <v>29</v>
      </c>
      <c r="U699" s="1">
        <v>1</v>
      </c>
      <c r="V699" s="1">
        <v>1</v>
      </c>
    </row>
    <row r="700" spans="1:22" x14ac:dyDescent="0.25">
      <c r="A700" s="3">
        <v>44777</v>
      </c>
      <c r="B700" s="4">
        <v>0.43403935185185183</v>
      </c>
      <c r="C700" s="1">
        <v>1671</v>
      </c>
      <c r="D700" s="1">
        <v>13002606</v>
      </c>
      <c r="E700" s="1">
        <v>13</v>
      </c>
      <c r="F700" s="1">
        <v>22589</v>
      </c>
      <c r="G700" s="1" t="s">
        <v>21</v>
      </c>
      <c r="H700" s="1">
        <v>15</v>
      </c>
      <c r="I700" s="1">
        <v>75837</v>
      </c>
      <c r="J700" s="14" t="s">
        <v>940</v>
      </c>
      <c r="K700" s="1" t="s">
        <v>51</v>
      </c>
      <c r="L700" s="1" t="s">
        <v>67</v>
      </c>
      <c r="M700" s="14">
        <v>1</v>
      </c>
      <c r="N700" s="2">
        <v>548.47</v>
      </c>
      <c r="O700" s="16">
        <v>659</v>
      </c>
      <c r="P700" s="14">
        <v>46</v>
      </c>
      <c r="Q700" s="14">
        <f t="shared" si="10"/>
        <v>613</v>
      </c>
      <c r="R700" s="1">
        <v>9</v>
      </c>
      <c r="S700" s="1">
        <v>200010000498</v>
      </c>
      <c r="T700" s="1">
        <v>50</v>
      </c>
      <c r="U700" s="1">
        <v>1</v>
      </c>
      <c r="V700" s="1">
        <v>1</v>
      </c>
    </row>
    <row r="701" spans="1:22" x14ac:dyDescent="0.25">
      <c r="A701" s="3">
        <v>44778</v>
      </c>
      <c r="B701" s="4">
        <v>0.40243055555555557</v>
      </c>
      <c r="C701" s="1">
        <v>1803</v>
      </c>
      <c r="D701" s="1">
        <v>13002616</v>
      </c>
      <c r="E701" s="1">
        <v>13</v>
      </c>
      <c r="F701" s="1">
        <v>22589</v>
      </c>
      <c r="G701" s="1" t="s">
        <v>21</v>
      </c>
      <c r="H701" s="1">
        <v>15</v>
      </c>
      <c r="I701" s="1">
        <v>126130</v>
      </c>
      <c r="J701" s="14" t="s">
        <v>1095</v>
      </c>
      <c r="K701" s="1" t="s">
        <v>23</v>
      </c>
      <c r="L701" s="1" t="s">
        <v>76</v>
      </c>
      <c r="M701" s="14">
        <v>1</v>
      </c>
      <c r="N701" s="2">
        <v>220.41</v>
      </c>
      <c r="O701" s="16">
        <v>298</v>
      </c>
      <c r="P701" s="14">
        <v>20</v>
      </c>
      <c r="Q701" s="14">
        <f t="shared" si="10"/>
        <v>278</v>
      </c>
      <c r="R701" s="1">
        <v>9</v>
      </c>
      <c r="S701" s="1">
        <v>200010000522</v>
      </c>
      <c r="T701" s="1">
        <v>50</v>
      </c>
      <c r="U701" s="1">
        <v>1</v>
      </c>
      <c r="V701" s="1">
        <v>1</v>
      </c>
    </row>
    <row r="702" spans="1:22" x14ac:dyDescent="0.25">
      <c r="A702" s="3">
        <v>44775</v>
      </c>
      <c r="B702" s="4">
        <v>0.78771990740740738</v>
      </c>
      <c r="C702" s="1">
        <v>1527</v>
      </c>
      <c r="D702" s="1">
        <v>13002581</v>
      </c>
      <c r="E702" s="1">
        <v>13</v>
      </c>
      <c r="F702" s="1">
        <v>22589</v>
      </c>
      <c r="G702" s="1" t="s">
        <v>21</v>
      </c>
      <c r="H702" s="1">
        <v>18</v>
      </c>
      <c r="I702" s="1">
        <v>152838</v>
      </c>
      <c r="J702" s="14" t="s">
        <v>693</v>
      </c>
      <c r="K702" s="1" t="s">
        <v>23</v>
      </c>
      <c r="L702" s="1" t="s">
        <v>694</v>
      </c>
      <c r="M702" s="14">
        <v>1</v>
      </c>
      <c r="N702" s="2">
        <v>474.59</v>
      </c>
      <c r="O702" s="16">
        <v>698</v>
      </c>
      <c r="P702" s="14">
        <v>69</v>
      </c>
      <c r="Q702" s="14">
        <f t="shared" si="10"/>
        <v>629</v>
      </c>
      <c r="R702" s="1">
        <v>9</v>
      </c>
      <c r="S702" s="1">
        <v>200010020455</v>
      </c>
      <c r="T702" s="1">
        <v>29</v>
      </c>
      <c r="U702" s="1">
        <v>1</v>
      </c>
      <c r="V702" s="1">
        <v>9</v>
      </c>
    </row>
    <row r="703" spans="1:22" x14ac:dyDescent="0.25">
      <c r="A703" s="3">
        <v>44774</v>
      </c>
      <c r="B703" s="4">
        <v>0.64307870370370368</v>
      </c>
      <c r="C703" s="1">
        <v>1367</v>
      </c>
      <c r="D703" s="1">
        <v>13002561</v>
      </c>
      <c r="E703" s="1">
        <v>13</v>
      </c>
      <c r="F703" s="1">
        <v>22589</v>
      </c>
      <c r="G703" s="1" t="s">
        <v>21</v>
      </c>
      <c r="H703" s="1">
        <v>18</v>
      </c>
      <c r="I703" s="1">
        <v>342213</v>
      </c>
      <c r="J703" s="14" t="s">
        <v>356</v>
      </c>
      <c r="K703" s="1" t="s">
        <v>51</v>
      </c>
      <c r="L703" s="1" t="s">
        <v>357</v>
      </c>
      <c r="M703" s="14">
        <v>0.7</v>
      </c>
      <c r="N703" s="2">
        <v>234.8</v>
      </c>
      <c r="O703" s="16">
        <v>364</v>
      </c>
      <c r="P703" s="14">
        <v>0</v>
      </c>
      <c r="Q703" s="14">
        <f t="shared" si="10"/>
        <v>254.79999999999998</v>
      </c>
      <c r="R703" s="1" t="s">
        <v>25</v>
      </c>
      <c r="S703" s="1" t="s">
        <v>25</v>
      </c>
      <c r="T703" s="1">
        <v>29</v>
      </c>
      <c r="U703" s="1">
        <v>1</v>
      </c>
      <c r="V703" s="1">
        <v>2</v>
      </c>
    </row>
    <row r="704" spans="1:22" x14ac:dyDescent="0.25">
      <c r="A704" s="3">
        <v>44774</v>
      </c>
      <c r="B704" s="4">
        <v>0.81680555555555556</v>
      </c>
      <c r="C704" s="1">
        <v>1410</v>
      </c>
      <c r="D704" s="1">
        <v>13002561</v>
      </c>
      <c r="E704" s="1">
        <v>13</v>
      </c>
      <c r="F704" s="1">
        <v>22589</v>
      </c>
      <c r="G704" s="1" t="s">
        <v>21</v>
      </c>
      <c r="H704" s="1">
        <v>18</v>
      </c>
      <c r="I704" s="1">
        <v>132492</v>
      </c>
      <c r="J704" s="14" t="s">
        <v>469</v>
      </c>
      <c r="K704" s="1" t="s">
        <v>64</v>
      </c>
      <c r="L704" s="1" t="s">
        <v>470</v>
      </c>
      <c r="M704" s="14">
        <v>1</v>
      </c>
      <c r="N704" s="2">
        <v>18</v>
      </c>
      <c r="O704" s="16">
        <v>30</v>
      </c>
      <c r="P704" s="14">
        <v>3</v>
      </c>
      <c r="Q704" s="14">
        <f t="shared" si="10"/>
        <v>27</v>
      </c>
      <c r="R704" s="1">
        <v>9</v>
      </c>
      <c r="S704" s="1">
        <v>200010015192</v>
      </c>
      <c r="T704" s="1">
        <v>29</v>
      </c>
      <c r="U704" s="1">
        <v>1</v>
      </c>
      <c r="V704" s="1">
        <v>1</v>
      </c>
    </row>
    <row r="705" spans="1:22" x14ac:dyDescent="0.25">
      <c r="A705" s="3">
        <v>44775</v>
      </c>
      <c r="B705" s="4">
        <v>0.46228009259259262</v>
      </c>
      <c r="C705" s="1">
        <v>1440</v>
      </c>
      <c r="D705" s="1">
        <v>13002581</v>
      </c>
      <c r="E705" s="1">
        <v>13</v>
      </c>
      <c r="F705" s="1">
        <v>22589</v>
      </c>
      <c r="G705" s="1" t="s">
        <v>21</v>
      </c>
      <c r="H705" s="1">
        <v>18</v>
      </c>
      <c r="I705" s="1">
        <v>132492</v>
      </c>
      <c r="J705" s="14" t="s">
        <v>469</v>
      </c>
      <c r="K705" s="1" t="s">
        <v>64</v>
      </c>
      <c r="L705" s="1" t="s">
        <v>470</v>
      </c>
      <c r="M705" s="14">
        <v>1</v>
      </c>
      <c r="N705" s="2">
        <v>18</v>
      </c>
      <c r="O705" s="16">
        <v>30</v>
      </c>
      <c r="P705" s="14">
        <v>0</v>
      </c>
      <c r="Q705" s="14">
        <f t="shared" si="10"/>
        <v>30</v>
      </c>
      <c r="R705" s="1" t="s">
        <v>25</v>
      </c>
      <c r="S705" s="1" t="s">
        <v>25</v>
      </c>
      <c r="T705" s="1">
        <v>29</v>
      </c>
      <c r="U705" s="1">
        <v>1</v>
      </c>
      <c r="V705" s="1">
        <v>2</v>
      </c>
    </row>
    <row r="706" spans="1:22" x14ac:dyDescent="0.25">
      <c r="A706" s="3">
        <v>44777</v>
      </c>
      <c r="B706" s="4">
        <v>0.77083333333333337</v>
      </c>
      <c r="C706" s="1">
        <v>1767</v>
      </c>
      <c r="D706" s="1">
        <v>13002606</v>
      </c>
      <c r="E706" s="1">
        <v>13</v>
      </c>
      <c r="F706" s="1">
        <v>22589</v>
      </c>
      <c r="G706" s="1" t="s">
        <v>21</v>
      </c>
      <c r="H706" s="1">
        <v>15</v>
      </c>
      <c r="I706" s="1">
        <v>132492</v>
      </c>
      <c r="J706" s="14" t="s">
        <v>469</v>
      </c>
      <c r="K706" s="1" t="s">
        <v>64</v>
      </c>
      <c r="L706" s="1" t="s">
        <v>470</v>
      </c>
      <c r="M706" s="14">
        <v>3</v>
      </c>
      <c r="N706" s="2">
        <v>18</v>
      </c>
      <c r="O706" s="16">
        <v>30</v>
      </c>
      <c r="P706" s="14">
        <v>9</v>
      </c>
      <c r="Q706" s="14">
        <f t="shared" ref="Q706:Q769" si="11">M706*O706-P706</f>
        <v>81</v>
      </c>
      <c r="R706" s="1">
        <v>9</v>
      </c>
      <c r="S706" s="1">
        <v>200010001749</v>
      </c>
      <c r="T706" s="1">
        <v>50</v>
      </c>
      <c r="U706" s="1">
        <v>1</v>
      </c>
      <c r="V706" s="1">
        <v>3</v>
      </c>
    </row>
    <row r="707" spans="1:22" x14ac:dyDescent="0.25">
      <c r="A707" s="3">
        <v>44777</v>
      </c>
      <c r="B707" s="4">
        <v>0.77209490740740738</v>
      </c>
      <c r="C707" s="1">
        <v>1768</v>
      </c>
      <c r="D707" s="1">
        <v>13002606</v>
      </c>
      <c r="E707" s="1">
        <v>13</v>
      </c>
      <c r="F707" s="1">
        <v>22589</v>
      </c>
      <c r="G707" s="1" t="s">
        <v>21</v>
      </c>
      <c r="H707" s="1">
        <v>15</v>
      </c>
      <c r="I707" s="1">
        <v>132492</v>
      </c>
      <c r="J707" s="14" t="s">
        <v>469</v>
      </c>
      <c r="K707" s="1" t="s">
        <v>64</v>
      </c>
      <c r="L707" s="1" t="s">
        <v>470</v>
      </c>
      <c r="M707" s="14">
        <v>3</v>
      </c>
      <c r="N707" s="2">
        <v>18</v>
      </c>
      <c r="O707" s="16">
        <v>30</v>
      </c>
      <c r="P707" s="14">
        <v>9</v>
      </c>
      <c r="Q707" s="14">
        <f t="shared" si="11"/>
        <v>81</v>
      </c>
      <c r="R707" s="1">
        <v>9</v>
      </c>
      <c r="S707" s="1">
        <v>200010001749</v>
      </c>
      <c r="T707" s="1">
        <v>50</v>
      </c>
      <c r="U707" s="1">
        <v>1</v>
      </c>
      <c r="V707" s="1">
        <v>3</v>
      </c>
    </row>
    <row r="708" spans="1:22" x14ac:dyDescent="0.25">
      <c r="A708" s="3">
        <v>44777</v>
      </c>
      <c r="B708" s="4">
        <v>0.52053240740740736</v>
      </c>
      <c r="C708" s="1">
        <v>1699</v>
      </c>
      <c r="D708" s="1">
        <v>13002606</v>
      </c>
      <c r="E708" s="1">
        <v>13</v>
      </c>
      <c r="F708" s="1">
        <v>22589</v>
      </c>
      <c r="G708" s="1" t="s">
        <v>21</v>
      </c>
      <c r="H708" s="1">
        <v>15</v>
      </c>
      <c r="I708" s="1">
        <v>29515</v>
      </c>
      <c r="J708" s="14" t="s">
        <v>977</v>
      </c>
      <c r="K708" s="1" t="s">
        <v>51</v>
      </c>
      <c r="L708" s="1" t="s">
        <v>978</v>
      </c>
      <c r="M708" s="14">
        <v>1</v>
      </c>
      <c r="N708" s="2">
        <v>51.96</v>
      </c>
      <c r="O708" s="16">
        <v>82</v>
      </c>
      <c r="P708" s="14">
        <v>8</v>
      </c>
      <c r="Q708" s="14">
        <f t="shared" si="11"/>
        <v>74</v>
      </c>
      <c r="R708" s="1">
        <v>9</v>
      </c>
      <c r="S708" s="1">
        <v>200010001659</v>
      </c>
      <c r="T708" s="1">
        <v>50</v>
      </c>
      <c r="U708" s="1">
        <v>1</v>
      </c>
      <c r="V708" s="1">
        <v>3</v>
      </c>
    </row>
    <row r="709" spans="1:22" x14ac:dyDescent="0.25">
      <c r="A709" s="3">
        <v>44776</v>
      </c>
      <c r="B709" s="4">
        <v>0.43873842592592593</v>
      </c>
      <c r="C709" s="1">
        <v>1554</v>
      </c>
      <c r="D709" s="1">
        <v>13002595</v>
      </c>
      <c r="E709" s="1">
        <v>13</v>
      </c>
      <c r="F709" s="1">
        <v>22589</v>
      </c>
      <c r="G709" s="1" t="s">
        <v>21</v>
      </c>
      <c r="H709" s="1">
        <v>15</v>
      </c>
      <c r="I709" s="1">
        <v>308676</v>
      </c>
      <c r="J709" s="14" t="s">
        <v>738</v>
      </c>
      <c r="K709" s="1" t="s">
        <v>51</v>
      </c>
      <c r="L709" s="1" t="s">
        <v>739</v>
      </c>
      <c r="M709" s="14">
        <v>2</v>
      </c>
      <c r="N709" s="2">
        <v>90.95</v>
      </c>
      <c r="O709" s="16">
        <v>143</v>
      </c>
      <c r="P709" s="14">
        <v>28</v>
      </c>
      <c r="Q709" s="14">
        <f t="shared" si="11"/>
        <v>258</v>
      </c>
      <c r="R709" s="1">
        <v>9</v>
      </c>
      <c r="S709" s="1">
        <v>200010001632</v>
      </c>
      <c r="T709" s="1">
        <v>29</v>
      </c>
      <c r="U709" s="1">
        <v>1</v>
      </c>
      <c r="V709" s="1">
        <v>4</v>
      </c>
    </row>
    <row r="710" spans="1:22" x14ac:dyDescent="0.25">
      <c r="A710" s="3">
        <v>44775</v>
      </c>
      <c r="B710" s="4">
        <v>0.46049768518518519</v>
      </c>
      <c r="C710" s="1">
        <v>1439</v>
      </c>
      <c r="D710" s="1">
        <v>13002581</v>
      </c>
      <c r="E710" s="1">
        <v>13</v>
      </c>
      <c r="F710" s="1">
        <v>22589</v>
      </c>
      <c r="G710" s="1" t="s">
        <v>21</v>
      </c>
      <c r="H710" s="1">
        <v>15</v>
      </c>
      <c r="I710" s="1">
        <v>724</v>
      </c>
      <c r="J710" s="14" t="s">
        <v>529</v>
      </c>
      <c r="K710" s="1" t="s">
        <v>23</v>
      </c>
      <c r="L710" s="1" t="s">
        <v>214</v>
      </c>
      <c r="M710" s="14">
        <v>1</v>
      </c>
      <c r="N710" s="2">
        <v>66.09</v>
      </c>
      <c r="O710" s="16">
        <v>78</v>
      </c>
      <c r="P710" s="14">
        <v>3</v>
      </c>
      <c r="Q710" s="14">
        <f t="shared" si="11"/>
        <v>75</v>
      </c>
      <c r="R710" s="1">
        <v>9</v>
      </c>
      <c r="S710" s="1">
        <v>200010022427</v>
      </c>
      <c r="T710" s="1">
        <v>29</v>
      </c>
      <c r="U710" s="1">
        <v>1</v>
      </c>
      <c r="V710" s="1">
        <v>1</v>
      </c>
    </row>
    <row r="711" spans="1:22" x14ac:dyDescent="0.25">
      <c r="A711" s="3">
        <v>44776</v>
      </c>
      <c r="B711" s="4">
        <v>0.80192129629629627</v>
      </c>
      <c r="C711" s="1">
        <v>1655</v>
      </c>
      <c r="D711" s="1">
        <v>13002595</v>
      </c>
      <c r="E711" s="1">
        <v>13</v>
      </c>
      <c r="F711" s="1">
        <v>22589</v>
      </c>
      <c r="G711" s="1" t="s">
        <v>21</v>
      </c>
      <c r="H711" s="1">
        <v>18</v>
      </c>
      <c r="I711" s="1">
        <v>724</v>
      </c>
      <c r="J711" s="14" t="s">
        <v>529</v>
      </c>
      <c r="K711" s="1" t="s">
        <v>23</v>
      </c>
      <c r="L711" s="1" t="s">
        <v>214</v>
      </c>
      <c r="M711" s="14">
        <v>1</v>
      </c>
      <c r="N711" s="2">
        <v>66.09</v>
      </c>
      <c r="O711" s="16">
        <v>78</v>
      </c>
      <c r="P711" s="14">
        <v>3</v>
      </c>
      <c r="Q711" s="14">
        <f t="shared" si="11"/>
        <v>75</v>
      </c>
      <c r="R711" s="1">
        <v>9</v>
      </c>
      <c r="S711" s="1">
        <v>200010013119</v>
      </c>
      <c r="T711" s="1">
        <v>29</v>
      </c>
      <c r="U711" s="1">
        <v>1</v>
      </c>
      <c r="V711" s="1">
        <v>1</v>
      </c>
    </row>
    <row r="712" spans="1:22" x14ac:dyDescent="0.25">
      <c r="A712" s="3">
        <v>44778</v>
      </c>
      <c r="B712" s="4">
        <v>0.48697916666666669</v>
      </c>
      <c r="C712" s="1">
        <v>1823</v>
      </c>
      <c r="D712" s="1">
        <v>13002616</v>
      </c>
      <c r="E712" s="1">
        <v>13</v>
      </c>
      <c r="F712" s="1">
        <v>22589</v>
      </c>
      <c r="G712" s="1" t="s">
        <v>21</v>
      </c>
      <c r="H712" s="1">
        <v>15</v>
      </c>
      <c r="I712" s="1">
        <v>724</v>
      </c>
      <c r="J712" s="14" t="s">
        <v>529</v>
      </c>
      <c r="K712" s="1" t="s">
        <v>23</v>
      </c>
      <c r="L712" s="1" t="s">
        <v>214</v>
      </c>
      <c r="M712" s="14">
        <v>1</v>
      </c>
      <c r="N712" s="2">
        <v>66.09</v>
      </c>
      <c r="O712" s="16">
        <v>78</v>
      </c>
      <c r="P712" s="14">
        <v>3</v>
      </c>
      <c r="Q712" s="14">
        <f t="shared" si="11"/>
        <v>75</v>
      </c>
      <c r="R712" s="1">
        <v>9</v>
      </c>
      <c r="S712" s="1">
        <v>200010009407</v>
      </c>
      <c r="T712" s="1">
        <v>50</v>
      </c>
      <c r="U712" s="1">
        <v>1</v>
      </c>
      <c r="V712" s="1">
        <v>3</v>
      </c>
    </row>
    <row r="713" spans="1:22" x14ac:dyDescent="0.25">
      <c r="A713" s="3">
        <v>44774</v>
      </c>
      <c r="B713" s="4">
        <v>0.41401620370370368</v>
      </c>
      <c r="C713" s="1">
        <v>1283</v>
      </c>
      <c r="D713" s="1">
        <v>13002561</v>
      </c>
      <c r="E713" s="1">
        <v>13</v>
      </c>
      <c r="F713" s="1">
        <v>22589</v>
      </c>
      <c r="G713" s="1" t="s">
        <v>21</v>
      </c>
      <c r="H713" s="1">
        <v>15</v>
      </c>
      <c r="I713" s="1">
        <v>7697</v>
      </c>
      <c r="J713" s="14" t="s">
        <v>68</v>
      </c>
      <c r="K713" s="1" t="s">
        <v>23</v>
      </c>
      <c r="L713" s="1" t="s">
        <v>69</v>
      </c>
      <c r="M713" s="14">
        <v>1</v>
      </c>
      <c r="N713" s="2">
        <v>248.34</v>
      </c>
      <c r="O713" s="16">
        <v>302</v>
      </c>
      <c r="P713" s="14">
        <v>15</v>
      </c>
      <c r="Q713" s="14">
        <f t="shared" si="11"/>
        <v>287</v>
      </c>
      <c r="R713" s="1">
        <v>9</v>
      </c>
      <c r="S713" s="1">
        <v>200010020913</v>
      </c>
      <c r="T713" s="1">
        <v>29</v>
      </c>
      <c r="U713" s="1">
        <v>1</v>
      </c>
      <c r="V713" s="1">
        <v>3</v>
      </c>
    </row>
    <row r="714" spans="1:22" x14ac:dyDescent="0.25">
      <c r="A714" s="3">
        <v>44775</v>
      </c>
      <c r="B714" s="4">
        <v>0.72341435185185188</v>
      </c>
      <c r="C714" s="1">
        <v>1507</v>
      </c>
      <c r="D714" s="1">
        <v>13002581</v>
      </c>
      <c r="E714" s="1">
        <v>13</v>
      </c>
      <c r="F714" s="1">
        <v>22589</v>
      </c>
      <c r="G714" s="1" t="s">
        <v>21</v>
      </c>
      <c r="H714" s="1">
        <v>18</v>
      </c>
      <c r="I714" s="1">
        <v>7697</v>
      </c>
      <c r="J714" s="14" t="s">
        <v>68</v>
      </c>
      <c r="K714" s="1" t="s">
        <v>23</v>
      </c>
      <c r="L714" s="1" t="s">
        <v>69</v>
      </c>
      <c r="M714" s="14">
        <v>1</v>
      </c>
      <c r="N714" s="2">
        <v>248.34</v>
      </c>
      <c r="O714" s="16">
        <v>302</v>
      </c>
      <c r="P714" s="14">
        <v>33.36</v>
      </c>
      <c r="Q714" s="14">
        <f t="shared" si="11"/>
        <v>268.64</v>
      </c>
      <c r="R714" s="1">
        <v>925</v>
      </c>
      <c r="S714" s="1">
        <v>200000000492</v>
      </c>
      <c r="T714" s="1">
        <v>29</v>
      </c>
      <c r="U714" s="1">
        <v>1</v>
      </c>
      <c r="V714" s="1">
        <v>2</v>
      </c>
    </row>
    <row r="715" spans="1:22" x14ac:dyDescent="0.25">
      <c r="A715" s="3">
        <v>44776</v>
      </c>
      <c r="B715" s="4">
        <v>0.35365740740740742</v>
      </c>
      <c r="C715" s="1">
        <v>1540</v>
      </c>
      <c r="D715" s="1">
        <v>13002595</v>
      </c>
      <c r="E715" s="1">
        <v>13</v>
      </c>
      <c r="F715" s="1">
        <v>22589</v>
      </c>
      <c r="G715" s="1" t="s">
        <v>21</v>
      </c>
      <c r="H715" s="1">
        <v>18</v>
      </c>
      <c r="I715" s="1">
        <v>7697</v>
      </c>
      <c r="J715" s="14" t="s">
        <v>68</v>
      </c>
      <c r="K715" s="1" t="s">
        <v>29</v>
      </c>
      <c r="L715" s="1" t="s">
        <v>69</v>
      </c>
      <c r="M715" s="14">
        <v>1</v>
      </c>
      <c r="N715" s="2">
        <v>247.35</v>
      </c>
      <c r="O715" s="16">
        <v>301</v>
      </c>
      <c r="P715" s="14">
        <v>15</v>
      </c>
      <c r="Q715" s="14">
        <f t="shared" si="11"/>
        <v>286</v>
      </c>
      <c r="R715" s="1">
        <v>9</v>
      </c>
      <c r="S715" s="1">
        <v>200010000452</v>
      </c>
      <c r="T715" s="1">
        <v>29</v>
      </c>
      <c r="U715" s="1">
        <v>1</v>
      </c>
      <c r="V715" s="1">
        <v>2</v>
      </c>
    </row>
    <row r="716" spans="1:22" x14ac:dyDescent="0.25">
      <c r="A716" s="3">
        <v>44776</v>
      </c>
      <c r="B716" s="4">
        <v>0.53388888888888886</v>
      </c>
      <c r="C716" s="1">
        <v>1587</v>
      </c>
      <c r="D716" s="1">
        <v>13002595</v>
      </c>
      <c r="E716" s="1">
        <v>13</v>
      </c>
      <c r="F716" s="1">
        <v>22589</v>
      </c>
      <c r="G716" s="1" t="s">
        <v>21</v>
      </c>
      <c r="H716" s="1">
        <v>15</v>
      </c>
      <c r="I716" s="1">
        <v>7697</v>
      </c>
      <c r="J716" s="14" t="s">
        <v>68</v>
      </c>
      <c r="K716" s="1" t="s">
        <v>29</v>
      </c>
      <c r="L716" s="1" t="s">
        <v>69</v>
      </c>
      <c r="M716" s="14">
        <v>1</v>
      </c>
      <c r="N716" s="2">
        <v>247.35</v>
      </c>
      <c r="O716" s="16">
        <v>301</v>
      </c>
      <c r="P716" s="14">
        <v>0</v>
      </c>
      <c r="Q716" s="14">
        <f t="shared" si="11"/>
        <v>301</v>
      </c>
      <c r="R716" s="1" t="s">
        <v>25</v>
      </c>
      <c r="S716" s="1" t="s">
        <v>25</v>
      </c>
      <c r="T716" s="1">
        <v>29</v>
      </c>
      <c r="U716" s="1">
        <v>1</v>
      </c>
      <c r="V716" s="1">
        <v>2</v>
      </c>
    </row>
    <row r="717" spans="1:22" x14ac:dyDescent="0.25">
      <c r="A717" s="3">
        <v>44776</v>
      </c>
      <c r="B717" s="4">
        <v>0.56773148148148145</v>
      </c>
      <c r="C717" s="1">
        <v>1599</v>
      </c>
      <c r="D717" s="1">
        <v>13002595</v>
      </c>
      <c r="E717" s="1">
        <v>13</v>
      </c>
      <c r="F717" s="1">
        <v>22589</v>
      </c>
      <c r="G717" s="1" t="s">
        <v>21</v>
      </c>
      <c r="H717" s="1">
        <v>18</v>
      </c>
      <c r="I717" s="1">
        <v>61029</v>
      </c>
      <c r="J717" s="14" t="s">
        <v>829</v>
      </c>
      <c r="K717" s="1" t="s">
        <v>23</v>
      </c>
      <c r="L717" s="1" t="s">
        <v>830</v>
      </c>
      <c r="M717" s="14">
        <v>1</v>
      </c>
      <c r="N717" s="2">
        <v>406.85</v>
      </c>
      <c r="O717" s="16">
        <v>490</v>
      </c>
      <c r="P717" s="14">
        <v>0</v>
      </c>
      <c r="Q717" s="14">
        <f t="shared" si="11"/>
        <v>490</v>
      </c>
      <c r="R717" s="1" t="s">
        <v>25</v>
      </c>
      <c r="S717" s="1" t="s">
        <v>25</v>
      </c>
      <c r="T717" s="1">
        <v>29</v>
      </c>
      <c r="U717" s="1">
        <v>1</v>
      </c>
      <c r="V717" s="1">
        <v>3</v>
      </c>
    </row>
    <row r="718" spans="1:22" x14ac:dyDescent="0.25">
      <c r="A718" s="3">
        <v>44776</v>
      </c>
      <c r="B718" s="4">
        <v>0.56773148148148145</v>
      </c>
      <c r="C718" s="1">
        <v>1599</v>
      </c>
      <c r="D718" s="1">
        <v>13002595</v>
      </c>
      <c r="E718" s="1">
        <v>13</v>
      </c>
      <c r="F718" s="1">
        <v>22589</v>
      </c>
      <c r="G718" s="1" t="s">
        <v>21</v>
      </c>
      <c r="H718" s="1">
        <v>18</v>
      </c>
      <c r="I718" s="1">
        <v>61029</v>
      </c>
      <c r="J718" s="14" t="s">
        <v>829</v>
      </c>
      <c r="K718" s="1" t="s">
        <v>23</v>
      </c>
      <c r="L718" s="1" t="s">
        <v>830</v>
      </c>
      <c r="M718" s="14">
        <v>1</v>
      </c>
      <c r="N718" s="2">
        <v>406.85</v>
      </c>
      <c r="O718" s="16">
        <v>490</v>
      </c>
      <c r="P718" s="14">
        <v>0</v>
      </c>
      <c r="Q718" s="14">
        <f t="shared" si="11"/>
        <v>490</v>
      </c>
      <c r="R718" s="1" t="s">
        <v>25</v>
      </c>
      <c r="S718" s="1" t="s">
        <v>25</v>
      </c>
      <c r="T718" s="1">
        <v>29</v>
      </c>
      <c r="U718" s="1">
        <v>1</v>
      </c>
      <c r="V718" s="1">
        <v>4</v>
      </c>
    </row>
    <row r="719" spans="1:22" x14ac:dyDescent="0.25">
      <c r="A719" s="3">
        <v>44777</v>
      </c>
      <c r="B719" s="4">
        <v>0.50817129629629632</v>
      </c>
      <c r="C719" s="1">
        <v>1694</v>
      </c>
      <c r="D719" s="1">
        <v>13002606</v>
      </c>
      <c r="E719" s="1">
        <v>13</v>
      </c>
      <c r="F719" s="1">
        <v>22589</v>
      </c>
      <c r="G719" s="1" t="s">
        <v>21</v>
      </c>
      <c r="H719" s="1">
        <v>18</v>
      </c>
      <c r="I719" s="1">
        <v>61029</v>
      </c>
      <c r="J719" s="14" t="s">
        <v>829</v>
      </c>
      <c r="K719" s="1" t="s">
        <v>34</v>
      </c>
      <c r="L719" s="1" t="s">
        <v>830</v>
      </c>
      <c r="M719" s="14">
        <v>1</v>
      </c>
      <c r="N719" s="2">
        <v>403.72</v>
      </c>
      <c r="O719" s="16">
        <v>488</v>
      </c>
      <c r="P719" s="14">
        <v>24</v>
      </c>
      <c r="Q719" s="14">
        <f t="shared" si="11"/>
        <v>464</v>
      </c>
      <c r="R719" s="1">
        <v>9</v>
      </c>
      <c r="S719" s="1">
        <v>200010013137</v>
      </c>
      <c r="T719" s="1">
        <v>50</v>
      </c>
      <c r="U719" s="1">
        <v>1</v>
      </c>
      <c r="V719" s="1">
        <v>3</v>
      </c>
    </row>
    <row r="720" spans="1:22" x14ac:dyDescent="0.25">
      <c r="A720" s="3">
        <v>44775</v>
      </c>
      <c r="B720" s="4">
        <v>0.44946759259259261</v>
      </c>
      <c r="C720" s="1">
        <v>1436</v>
      </c>
      <c r="D720" s="1">
        <v>13002581</v>
      </c>
      <c r="E720" s="1">
        <v>13</v>
      </c>
      <c r="F720" s="1">
        <v>22589</v>
      </c>
      <c r="G720" s="1" t="s">
        <v>21</v>
      </c>
      <c r="H720" s="1">
        <v>18</v>
      </c>
      <c r="I720" s="1">
        <v>323715</v>
      </c>
      <c r="J720" s="14" t="s">
        <v>525</v>
      </c>
      <c r="K720" s="1" t="s">
        <v>29</v>
      </c>
      <c r="L720" s="1" t="s">
        <v>526</v>
      </c>
      <c r="M720" s="14">
        <v>1</v>
      </c>
      <c r="N720" s="2">
        <v>145.06</v>
      </c>
      <c r="O720" s="16">
        <v>225</v>
      </c>
      <c r="P720" s="14">
        <v>22</v>
      </c>
      <c r="Q720" s="14">
        <f t="shared" si="11"/>
        <v>203</v>
      </c>
      <c r="R720" s="1">
        <v>9</v>
      </c>
      <c r="S720" s="1">
        <v>200010011842</v>
      </c>
      <c r="T720" s="1">
        <v>29</v>
      </c>
      <c r="U720" s="1">
        <v>1</v>
      </c>
      <c r="V720" s="1">
        <v>1</v>
      </c>
    </row>
    <row r="721" spans="1:22" x14ac:dyDescent="0.25">
      <c r="A721" s="3">
        <v>44775</v>
      </c>
      <c r="B721" s="4">
        <v>0.59129629629629632</v>
      </c>
      <c r="C721" s="1">
        <v>1480</v>
      </c>
      <c r="D721" s="1">
        <v>13002581</v>
      </c>
      <c r="E721" s="1">
        <v>13</v>
      </c>
      <c r="F721" s="1">
        <v>22589</v>
      </c>
      <c r="G721" s="1" t="s">
        <v>21</v>
      </c>
      <c r="H721" s="1">
        <v>18</v>
      </c>
      <c r="I721" s="1">
        <v>323715</v>
      </c>
      <c r="J721" s="14" t="s">
        <v>525</v>
      </c>
      <c r="K721" s="1" t="s">
        <v>29</v>
      </c>
      <c r="L721" s="1" t="s">
        <v>526</v>
      </c>
      <c r="M721" s="14">
        <v>1</v>
      </c>
      <c r="N721" s="2">
        <v>145.06</v>
      </c>
      <c r="O721" s="16">
        <v>225</v>
      </c>
      <c r="P721" s="14">
        <v>0</v>
      </c>
      <c r="Q721" s="14">
        <f t="shared" si="11"/>
        <v>225</v>
      </c>
      <c r="R721" s="1" t="s">
        <v>25</v>
      </c>
      <c r="S721" s="1" t="s">
        <v>25</v>
      </c>
      <c r="T721" s="1">
        <v>29</v>
      </c>
      <c r="U721" s="1">
        <v>1</v>
      </c>
      <c r="V721" s="1">
        <v>1</v>
      </c>
    </row>
    <row r="722" spans="1:22" x14ac:dyDescent="0.25">
      <c r="A722" s="3">
        <v>44777</v>
      </c>
      <c r="B722" s="4">
        <v>0.53077546296296296</v>
      </c>
      <c r="C722" s="1">
        <v>1706</v>
      </c>
      <c r="D722" s="1">
        <v>13002606</v>
      </c>
      <c r="E722" s="1">
        <v>13</v>
      </c>
      <c r="F722" s="1">
        <v>22589</v>
      </c>
      <c r="G722" s="1" t="s">
        <v>21</v>
      </c>
      <c r="H722" s="1">
        <v>15</v>
      </c>
      <c r="I722" s="1">
        <v>300536</v>
      </c>
      <c r="J722" s="14" t="s">
        <v>991</v>
      </c>
      <c r="K722" s="1" t="s">
        <v>45</v>
      </c>
      <c r="L722" s="1" t="s">
        <v>992</v>
      </c>
      <c r="M722" s="14">
        <v>1</v>
      </c>
      <c r="N722" s="2">
        <v>307.68</v>
      </c>
      <c r="O722" s="16">
        <v>375</v>
      </c>
      <c r="P722" s="14">
        <v>18</v>
      </c>
      <c r="Q722" s="14">
        <f t="shared" si="11"/>
        <v>357</v>
      </c>
      <c r="R722" s="1">
        <v>9</v>
      </c>
      <c r="S722" s="1">
        <v>200010001054</v>
      </c>
      <c r="T722" s="1">
        <v>50</v>
      </c>
      <c r="U722" s="1">
        <v>1</v>
      </c>
      <c r="V722" s="1">
        <v>1</v>
      </c>
    </row>
    <row r="723" spans="1:22" x14ac:dyDescent="0.25">
      <c r="A723" s="3">
        <v>44777</v>
      </c>
      <c r="B723" s="4">
        <v>0.72550925925925924</v>
      </c>
      <c r="C723" s="1">
        <v>1756</v>
      </c>
      <c r="D723" s="1">
        <v>13002606</v>
      </c>
      <c r="E723" s="1">
        <v>13</v>
      </c>
      <c r="F723" s="1">
        <v>22589</v>
      </c>
      <c r="G723" s="1" t="s">
        <v>21</v>
      </c>
      <c r="H723" s="1">
        <v>18</v>
      </c>
      <c r="I723" s="1">
        <v>570016</v>
      </c>
      <c r="J723" s="14" t="s">
        <v>1054</v>
      </c>
      <c r="K723" s="1" t="s">
        <v>23</v>
      </c>
      <c r="L723" s="1" t="s">
        <v>248</v>
      </c>
      <c r="M723" s="14">
        <v>1</v>
      </c>
      <c r="N723" s="2">
        <v>378.35</v>
      </c>
      <c r="O723" s="16">
        <v>500</v>
      </c>
      <c r="P723" s="14">
        <v>0</v>
      </c>
      <c r="Q723" s="14">
        <f t="shared" si="11"/>
        <v>500</v>
      </c>
      <c r="R723" s="1" t="s">
        <v>25</v>
      </c>
      <c r="S723" s="1" t="s">
        <v>25</v>
      </c>
      <c r="T723" s="1">
        <v>50</v>
      </c>
      <c r="U723" s="1">
        <v>1</v>
      </c>
      <c r="V723" s="1">
        <v>2</v>
      </c>
    </row>
    <row r="724" spans="1:22" x14ac:dyDescent="0.25">
      <c r="A724" s="3">
        <v>44774</v>
      </c>
      <c r="B724" s="4">
        <v>0.78697916666666667</v>
      </c>
      <c r="C724" s="1">
        <v>1404</v>
      </c>
      <c r="D724" s="1">
        <v>13002561</v>
      </c>
      <c r="E724" s="1">
        <v>13</v>
      </c>
      <c r="F724" s="1">
        <v>22589</v>
      </c>
      <c r="G724" s="1" t="s">
        <v>21</v>
      </c>
      <c r="H724" s="1">
        <v>15</v>
      </c>
      <c r="I724" s="1">
        <v>439855</v>
      </c>
      <c r="J724" s="14" t="s">
        <v>450</v>
      </c>
      <c r="K724" s="1" t="s">
        <v>23</v>
      </c>
      <c r="L724" s="1" t="s">
        <v>37</v>
      </c>
      <c r="M724" s="14">
        <v>1</v>
      </c>
      <c r="N724" s="2">
        <v>484.71</v>
      </c>
      <c r="O724" s="16">
        <v>640</v>
      </c>
      <c r="P724" s="14">
        <v>44</v>
      </c>
      <c r="Q724" s="14">
        <f t="shared" si="11"/>
        <v>596</v>
      </c>
      <c r="R724" s="1">
        <v>9</v>
      </c>
      <c r="S724" s="1">
        <v>200010011838</v>
      </c>
      <c r="T724" s="1">
        <v>29</v>
      </c>
      <c r="U724" s="1">
        <v>1</v>
      </c>
      <c r="V724" s="1">
        <v>1</v>
      </c>
    </row>
    <row r="725" spans="1:22" x14ac:dyDescent="0.25">
      <c r="A725" s="3">
        <v>44775</v>
      </c>
      <c r="B725" s="4">
        <v>0.38119212962962962</v>
      </c>
      <c r="C725" s="1">
        <v>1422</v>
      </c>
      <c r="D725" s="1">
        <v>13002581</v>
      </c>
      <c r="E725" s="1">
        <v>13</v>
      </c>
      <c r="F725" s="1">
        <v>22589</v>
      </c>
      <c r="G725" s="1" t="s">
        <v>21</v>
      </c>
      <c r="H725" s="1">
        <v>18</v>
      </c>
      <c r="I725" s="1">
        <v>154353</v>
      </c>
      <c r="J725" s="14" t="s">
        <v>484</v>
      </c>
      <c r="K725" s="1" t="s">
        <v>23</v>
      </c>
      <c r="L725" s="1" t="s">
        <v>24</v>
      </c>
      <c r="M725" s="14">
        <v>1</v>
      </c>
      <c r="N725" s="2">
        <v>186.32</v>
      </c>
      <c r="O725" s="16">
        <v>256</v>
      </c>
      <c r="P725" s="14">
        <v>17</v>
      </c>
      <c r="Q725" s="14">
        <f t="shared" si="11"/>
        <v>239</v>
      </c>
      <c r="R725" s="1">
        <v>9</v>
      </c>
      <c r="S725" s="1">
        <v>200010004069</v>
      </c>
      <c r="T725" s="1">
        <v>29</v>
      </c>
      <c r="U725" s="1">
        <v>1</v>
      </c>
      <c r="V725" s="1">
        <v>3</v>
      </c>
    </row>
    <row r="726" spans="1:22" x14ac:dyDescent="0.25">
      <c r="A726" s="3">
        <v>44774</v>
      </c>
      <c r="B726" s="4">
        <v>0.51331018518518523</v>
      </c>
      <c r="C726" s="1">
        <v>1324</v>
      </c>
      <c r="D726" s="1">
        <v>13002561</v>
      </c>
      <c r="E726" s="1">
        <v>13</v>
      </c>
      <c r="F726" s="1">
        <v>22589</v>
      </c>
      <c r="G726" s="1" t="s">
        <v>21</v>
      </c>
      <c r="H726" s="1">
        <v>15</v>
      </c>
      <c r="I726" s="1">
        <v>446021</v>
      </c>
      <c r="J726" s="14" t="s">
        <v>239</v>
      </c>
      <c r="K726" s="1" t="s">
        <v>23</v>
      </c>
      <c r="L726" s="1" t="s">
        <v>97</v>
      </c>
      <c r="M726" s="14">
        <v>1</v>
      </c>
      <c r="N726" s="2">
        <v>23.38</v>
      </c>
      <c r="O726" s="16">
        <v>36</v>
      </c>
      <c r="P726" s="14">
        <v>0</v>
      </c>
      <c r="Q726" s="14">
        <f t="shared" si="11"/>
        <v>36</v>
      </c>
      <c r="R726" s="1" t="s">
        <v>25</v>
      </c>
      <c r="S726" s="1" t="s">
        <v>25</v>
      </c>
      <c r="T726" s="1">
        <v>29</v>
      </c>
      <c r="U726" s="1">
        <v>1</v>
      </c>
      <c r="V726" s="1">
        <v>1</v>
      </c>
    </row>
    <row r="727" spans="1:22" x14ac:dyDescent="0.25">
      <c r="A727" s="3">
        <v>44774</v>
      </c>
      <c r="B727" s="4">
        <v>0.79335648148148152</v>
      </c>
      <c r="C727" s="1">
        <v>1406</v>
      </c>
      <c r="D727" s="1">
        <v>13002561</v>
      </c>
      <c r="E727" s="1">
        <v>13</v>
      </c>
      <c r="F727" s="1">
        <v>22589</v>
      </c>
      <c r="G727" s="1" t="s">
        <v>21</v>
      </c>
      <c r="H727" s="1">
        <v>15</v>
      </c>
      <c r="I727" s="1">
        <v>446021</v>
      </c>
      <c r="J727" s="14" t="s">
        <v>239</v>
      </c>
      <c r="K727" s="1" t="s">
        <v>23</v>
      </c>
      <c r="L727" s="1" t="s">
        <v>97</v>
      </c>
      <c r="M727" s="14">
        <v>1</v>
      </c>
      <c r="N727" s="2">
        <v>23.38</v>
      </c>
      <c r="O727" s="16">
        <v>36</v>
      </c>
      <c r="P727" s="14">
        <v>2</v>
      </c>
      <c r="Q727" s="14">
        <f t="shared" si="11"/>
        <v>34</v>
      </c>
      <c r="R727" s="1">
        <v>9</v>
      </c>
      <c r="S727" s="1">
        <v>200010022528</v>
      </c>
      <c r="T727" s="1">
        <v>29</v>
      </c>
      <c r="U727" s="1">
        <v>1</v>
      </c>
      <c r="V727" s="1">
        <v>5</v>
      </c>
    </row>
    <row r="728" spans="1:22" x14ac:dyDescent="0.25">
      <c r="A728" s="3">
        <v>44774</v>
      </c>
      <c r="B728" s="4">
        <v>0.79335648148148152</v>
      </c>
      <c r="C728" s="1">
        <v>1406</v>
      </c>
      <c r="D728" s="1">
        <v>13002561</v>
      </c>
      <c r="E728" s="1">
        <v>13</v>
      </c>
      <c r="F728" s="1">
        <v>22589</v>
      </c>
      <c r="G728" s="1" t="s">
        <v>21</v>
      </c>
      <c r="H728" s="1">
        <v>15</v>
      </c>
      <c r="I728" s="1">
        <v>446021</v>
      </c>
      <c r="J728" s="14" t="s">
        <v>239</v>
      </c>
      <c r="K728" s="1" t="s">
        <v>23</v>
      </c>
      <c r="L728" s="1" t="s">
        <v>97</v>
      </c>
      <c r="M728" s="14">
        <v>1</v>
      </c>
      <c r="N728" s="2">
        <v>23.38</v>
      </c>
      <c r="O728" s="16">
        <v>36</v>
      </c>
      <c r="P728" s="14">
        <v>2</v>
      </c>
      <c r="Q728" s="14">
        <f t="shared" si="11"/>
        <v>34</v>
      </c>
      <c r="R728" s="1">
        <v>9</v>
      </c>
      <c r="S728" s="1">
        <v>200010022528</v>
      </c>
      <c r="T728" s="1">
        <v>29</v>
      </c>
      <c r="U728" s="1">
        <v>1</v>
      </c>
      <c r="V728" s="1">
        <v>6</v>
      </c>
    </row>
    <row r="729" spans="1:22" x14ac:dyDescent="0.25">
      <c r="A729" s="3">
        <v>44774</v>
      </c>
      <c r="B729" s="4">
        <v>0.79335648148148152</v>
      </c>
      <c r="C729" s="1">
        <v>1406</v>
      </c>
      <c r="D729" s="1">
        <v>13002561</v>
      </c>
      <c r="E729" s="1">
        <v>13</v>
      </c>
      <c r="F729" s="1">
        <v>22589</v>
      </c>
      <c r="G729" s="1" t="s">
        <v>21</v>
      </c>
      <c r="H729" s="1">
        <v>15</v>
      </c>
      <c r="I729" s="1">
        <v>446021</v>
      </c>
      <c r="J729" s="14" t="s">
        <v>239</v>
      </c>
      <c r="K729" s="1" t="s">
        <v>23</v>
      </c>
      <c r="L729" s="1" t="s">
        <v>97</v>
      </c>
      <c r="M729" s="14">
        <v>1</v>
      </c>
      <c r="N729" s="2">
        <v>23.38</v>
      </c>
      <c r="O729" s="16">
        <v>36</v>
      </c>
      <c r="P729" s="14">
        <v>2</v>
      </c>
      <c r="Q729" s="14">
        <f t="shared" si="11"/>
        <v>34</v>
      </c>
      <c r="R729" s="1">
        <v>9</v>
      </c>
      <c r="S729" s="1">
        <v>200010022528</v>
      </c>
      <c r="T729" s="1">
        <v>29</v>
      </c>
      <c r="U729" s="1">
        <v>1</v>
      </c>
      <c r="V729" s="1">
        <v>7</v>
      </c>
    </row>
    <row r="730" spans="1:22" x14ac:dyDescent="0.25">
      <c r="A730" s="3">
        <v>44775</v>
      </c>
      <c r="B730" s="4">
        <v>0.6083912037037037</v>
      </c>
      <c r="C730" s="1">
        <v>1481</v>
      </c>
      <c r="D730" s="1">
        <v>13002581</v>
      </c>
      <c r="E730" s="1">
        <v>13</v>
      </c>
      <c r="F730" s="1">
        <v>22589</v>
      </c>
      <c r="G730" s="1" t="s">
        <v>21</v>
      </c>
      <c r="H730" s="1">
        <v>15</v>
      </c>
      <c r="I730" s="1">
        <v>446021</v>
      </c>
      <c r="J730" s="14" t="s">
        <v>239</v>
      </c>
      <c r="K730" s="1" t="s">
        <v>23</v>
      </c>
      <c r="L730" s="1" t="s">
        <v>97</v>
      </c>
      <c r="M730" s="14">
        <v>1</v>
      </c>
      <c r="N730" s="2">
        <v>23.38</v>
      </c>
      <c r="O730" s="16">
        <v>36</v>
      </c>
      <c r="P730" s="14">
        <v>0</v>
      </c>
      <c r="Q730" s="14">
        <f t="shared" si="11"/>
        <v>36</v>
      </c>
      <c r="R730" s="1" t="s">
        <v>25</v>
      </c>
      <c r="S730" s="1" t="s">
        <v>25</v>
      </c>
      <c r="T730" s="1">
        <v>29</v>
      </c>
      <c r="U730" s="1">
        <v>1</v>
      </c>
      <c r="V730" s="1">
        <v>2</v>
      </c>
    </row>
    <row r="731" spans="1:22" x14ac:dyDescent="0.25">
      <c r="A731" s="3">
        <v>44775</v>
      </c>
      <c r="B731" s="4">
        <v>0.6083912037037037</v>
      </c>
      <c r="C731" s="1">
        <v>1481</v>
      </c>
      <c r="D731" s="1">
        <v>13002581</v>
      </c>
      <c r="E731" s="1">
        <v>13</v>
      </c>
      <c r="F731" s="1">
        <v>22589</v>
      </c>
      <c r="G731" s="1" t="s">
        <v>21</v>
      </c>
      <c r="H731" s="1">
        <v>15</v>
      </c>
      <c r="I731" s="1">
        <v>446021</v>
      </c>
      <c r="J731" s="14" t="s">
        <v>239</v>
      </c>
      <c r="K731" s="1" t="s">
        <v>23</v>
      </c>
      <c r="L731" s="1" t="s">
        <v>97</v>
      </c>
      <c r="M731" s="14">
        <v>1</v>
      </c>
      <c r="N731" s="2">
        <v>23.38</v>
      </c>
      <c r="O731" s="16">
        <v>36</v>
      </c>
      <c r="P731" s="14">
        <v>0</v>
      </c>
      <c r="Q731" s="14">
        <f t="shared" si="11"/>
        <v>36</v>
      </c>
      <c r="R731" s="1" t="s">
        <v>25</v>
      </c>
      <c r="S731" s="1" t="s">
        <v>25</v>
      </c>
      <c r="T731" s="1">
        <v>29</v>
      </c>
      <c r="U731" s="1">
        <v>1</v>
      </c>
      <c r="V731" s="1">
        <v>3</v>
      </c>
    </row>
    <row r="732" spans="1:22" x14ac:dyDescent="0.25">
      <c r="A732" s="3">
        <v>44775</v>
      </c>
      <c r="B732" s="4">
        <v>0.6083912037037037</v>
      </c>
      <c r="C732" s="1">
        <v>1481</v>
      </c>
      <c r="D732" s="1">
        <v>13002581</v>
      </c>
      <c r="E732" s="1">
        <v>13</v>
      </c>
      <c r="F732" s="1">
        <v>22589</v>
      </c>
      <c r="G732" s="1" t="s">
        <v>21</v>
      </c>
      <c r="H732" s="1">
        <v>15</v>
      </c>
      <c r="I732" s="1">
        <v>446021</v>
      </c>
      <c r="J732" s="14" t="s">
        <v>239</v>
      </c>
      <c r="K732" s="1" t="s">
        <v>23</v>
      </c>
      <c r="L732" s="1" t="s">
        <v>97</v>
      </c>
      <c r="M732" s="14">
        <v>1</v>
      </c>
      <c r="N732" s="2">
        <v>23.38</v>
      </c>
      <c r="O732" s="16">
        <v>36</v>
      </c>
      <c r="P732" s="14">
        <v>0</v>
      </c>
      <c r="Q732" s="14">
        <f t="shared" si="11"/>
        <v>36</v>
      </c>
      <c r="R732" s="1" t="s">
        <v>25</v>
      </c>
      <c r="S732" s="1" t="s">
        <v>25</v>
      </c>
      <c r="T732" s="1">
        <v>29</v>
      </c>
      <c r="U732" s="1">
        <v>1</v>
      </c>
      <c r="V732" s="1">
        <v>4</v>
      </c>
    </row>
    <row r="733" spans="1:22" x14ac:dyDescent="0.25">
      <c r="A733" s="3">
        <v>44775</v>
      </c>
      <c r="B733" s="4">
        <v>0.6083912037037037</v>
      </c>
      <c r="C733" s="1">
        <v>1481</v>
      </c>
      <c r="D733" s="1">
        <v>13002581</v>
      </c>
      <c r="E733" s="1">
        <v>13</v>
      </c>
      <c r="F733" s="1">
        <v>22589</v>
      </c>
      <c r="G733" s="1" t="s">
        <v>21</v>
      </c>
      <c r="H733" s="1">
        <v>15</v>
      </c>
      <c r="I733" s="1">
        <v>446021</v>
      </c>
      <c r="J733" s="14" t="s">
        <v>239</v>
      </c>
      <c r="K733" s="1" t="s">
        <v>23</v>
      </c>
      <c r="L733" s="1" t="s">
        <v>97</v>
      </c>
      <c r="M733" s="14">
        <v>1</v>
      </c>
      <c r="N733" s="2">
        <v>23.38</v>
      </c>
      <c r="O733" s="16">
        <v>36</v>
      </c>
      <c r="P733" s="14">
        <v>0</v>
      </c>
      <c r="Q733" s="14">
        <f t="shared" si="11"/>
        <v>36</v>
      </c>
      <c r="R733" s="1" t="s">
        <v>25</v>
      </c>
      <c r="S733" s="1" t="s">
        <v>25</v>
      </c>
      <c r="T733" s="1">
        <v>29</v>
      </c>
      <c r="U733" s="1">
        <v>1</v>
      </c>
      <c r="V733" s="1">
        <v>5</v>
      </c>
    </row>
    <row r="734" spans="1:22" x14ac:dyDescent="0.25">
      <c r="A734" s="3">
        <v>44775</v>
      </c>
      <c r="B734" s="4">
        <v>0.82254629629629628</v>
      </c>
      <c r="C734" s="1">
        <v>1534</v>
      </c>
      <c r="D734" s="1">
        <v>13002581</v>
      </c>
      <c r="E734" s="1">
        <v>13</v>
      </c>
      <c r="F734" s="1">
        <v>22589</v>
      </c>
      <c r="G734" s="1" t="s">
        <v>21</v>
      </c>
      <c r="H734" s="1">
        <v>18</v>
      </c>
      <c r="I734" s="1">
        <v>446021</v>
      </c>
      <c r="J734" s="14" t="s">
        <v>239</v>
      </c>
      <c r="K734" s="1" t="s">
        <v>23</v>
      </c>
      <c r="L734" s="1" t="s">
        <v>97</v>
      </c>
      <c r="M734" s="14">
        <v>1</v>
      </c>
      <c r="N734" s="2">
        <v>23.38</v>
      </c>
      <c r="O734" s="16">
        <v>36</v>
      </c>
      <c r="P734" s="14">
        <v>0</v>
      </c>
      <c r="Q734" s="14">
        <f t="shared" si="11"/>
        <v>36</v>
      </c>
      <c r="R734" s="1" t="s">
        <v>25</v>
      </c>
      <c r="S734" s="1" t="s">
        <v>25</v>
      </c>
      <c r="T734" s="1">
        <v>29</v>
      </c>
      <c r="U734" s="1">
        <v>1</v>
      </c>
      <c r="V734" s="1">
        <v>1</v>
      </c>
    </row>
    <row r="735" spans="1:22" x14ac:dyDescent="0.25">
      <c r="A735" s="3">
        <v>44775</v>
      </c>
      <c r="B735" s="4">
        <v>0.82254629629629628</v>
      </c>
      <c r="C735" s="1">
        <v>1534</v>
      </c>
      <c r="D735" s="1">
        <v>13002581</v>
      </c>
      <c r="E735" s="1">
        <v>13</v>
      </c>
      <c r="F735" s="1">
        <v>22589</v>
      </c>
      <c r="G735" s="1" t="s">
        <v>21</v>
      </c>
      <c r="H735" s="1">
        <v>18</v>
      </c>
      <c r="I735" s="1">
        <v>446021</v>
      </c>
      <c r="J735" s="14" t="s">
        <v>239</v>
      </c>
      <c r="K735" s="1" t="s">
        <v>23</v>
      </c>
      <c r="L735" s="1" t="s">
        <v>97</v>
      </c>
      <c r="M735" s="14">
        <v>1</v>
      </c>
      <c r="N735" s="2">
        <v>23.38</v>
      </c>
      <c r="O735" s="16">
        <v>36</v>
      </c>
      <c r="P735" s="14">
        <v>0</v>
      </c>
      <c r="Q735" s="14">
        <f t="shared" si="11"/>
        <v>36</v>
      </c>
      <c r="R735" s="1" t="s">
        <v>25</v>
      </c>
      <c r="S735" s="1" t="s">
        <v>25</v>
      </c>
      <c r="T735" s="1">
        <v>29</v>
      </c>
      <c r="U735" s="1">
        <v>1</v>
      </c>
      <c r="V735" s="1">
        <v>2</v>
      </c>
    </row>
    <row r="736" spans="1:22" x14ac:dyDescent="0.25">
      <c r="A736" s="3">
        <v>44776</v>
      </c>
      <c r="B736" s="4">
        <v>0.47420138888888891</v>
      </c>
      <c r="C736" s="1">
        <v>1565</v>
      </c>
      <c r="D736" s="1">
        <v>13002595</v>
      </c>
      <c r="E736" s="1">
        <v>13</v>
      </c>
      <c r="F736" s="1">
        <v>22589</v>
      </c>
      <c r="G736" s="1" t="s">
        <v>21</v>
      </c>
      <c r="H736" s="1">
        <v>18</v>
      </c>
      <c r="I736" s="1">
        <v>446021</v>
      </c>
      <c r="J736" s="14" t="s">
        <v>239</v>
      </c>
      <c r="K736" s="1" t="s">
        <v>23</v>
      </c>
      <c r="L736" s="1" t="s">
        <v>97</v>
      </c>
      <c r="M736" s="14">
        <v>1</v>
      </c>
      <c r="N736" s="2">
        <v>23.38</v>
      </c>
      <c r="O736" s="16">
        <v>36</v>
      </c>
      <c r="P736" s="14">
        <v>0</v>
      </c>
      <c r="Q736" s="14">
        <f t="shared" si="11"/>
        <v>36</v>
      </c>
      <c r="R736" s="1" t="s">
        <v>25</v>
      </c>
      <c r="S736" s="1" t="s">
        <v>25</v>
      </c>
      <c r="T736" s="1">
        <v>29</v>
      </c>
      <c r="U736" s="1">
        <v>1</v>
      </c>
      <c r="V736" s="1">
        <v>2</v>
      </c>
    </row>
    <row r="737" spans="1:22" x14ac:dyDescent="0.25">
      <c r="A737" s="3">
        <v>44776</v>
      </c>
      <c r="B737" s="4">
        <v>0.48996527777777776</v>
      </c>
      <c r="C737" s="1">
        <v>1571</v>
      </c>
      <c r="D737" s="1">
        <v>13002595</v>
      </c>
      <c r="E737" s="1">
        <v>13</v>
      </c>
      <c r="F737" s="1">
        <v>22589</v>
      </c>
      <c r="G737" s="1" t="s">
        <v>21</v>
      </c>
      <c r="H737" s="1">
        <v>18</v>
      </c>
      <c r="I737" s="1">
        <v>446021</v>
      </c>
      <c r="J737" s="14" t="s">
        <v>239</v>
      </c>
      <c r="K737" s="1" t="s">
        <v>23</v>
      </c>
      <c r="L737" s="1" t="s">
        <v>97</v>
      </c>
      <c r="M737" s="14">
        <v>1</v>
      </c>
      <c r="N737" s="2">
        <v>23.38</v>
      </c>
      <c r="O737" s="16">
        <v>36</v>
      </c>
      <c r="P737" s="14">
        <v>3</v>
      </c>
      <c r="Q737" s="14">
        <f t="shared" si="11"/>
        <v>33</v>
      </c>
      <c r="R737" s="1">
        <v>941</v>
      </c>
      <c r="S737" s="1">
        <v>200000000044</v>
      </c>
      <c r="T737" s="1">
        <v>29</v>
      </c>
      <c r="U737" s="1">
        <v>1</v>
      </c>
      <c r="V737" s="1">
        <v>4</v>
      </c>
    </row>
    <row r="738" spans="1:22" x14ac:dyDescent="0.25">
      <c r="A738" s="3">
        <v>44776</v>
      </c>
      <c r="B738" s="4">
        <v>0.48996527777777776</v>
      </c>
      <c r="C738" s="1">
        <v>1571</v>
      </c>
      <c r="D738" s="1">
        <v>13002595</v>
      </c>
      <c r="E738" s="1">
        <v>13</v>
      </c>
      <c r="F738" s="1">
        <v>22589</v>
      </c>
      <c r="G738" s="1" t="s">
        <v>21</v>
      </c>
      <c r="H738" s="1">
        <v>18</v>
      </c>
      <c r="I738" s="1">
        <v>446021</v>
      </c>
      <c r="J738" s="14" t="s">
        <v>239</v>
      </c>
      <c r="K738" s="1" t="s">
        <v>23</v>
      </c>
      <c r="L738" s="1" t="s">
        <v>97</v>
      </c>
      <c r="M738" s="14">
        <v>1</v>
      </c>
      <c r="N738" s="2">
        <v>23.38</v>
      </c>
      <c r="O738" s="16">
        <v>36</v>
      </c>
      <c r="P738" s="14">
        <v>3</v>
      </c>
      <c r="Q738" s="14">
        <f t="shared" si="11"/>
        <v>33</v>
      </c>
      <c r="R738" s="1">
        <v>941</v>
      </c>
      <c r="S738" s="1">
        <v>200000000044</v>
      </c>
      <c r="T738" s="1">
        <v>29</v>
      </c>
      <c r="U738" s="1">
        <v>1</v>
      </c>
      <c r="V738" s="1">
        <v>5</v>
      </c>
    </row>
    <row r="739" spans="1:22" x14ac:dyDescent="0.25">
      <c r="A739" s="3">
        <v>44776</v>
      </c>
      <c r="B739" s="4">
        <v>0.53886574074074078</v>
      </c>
      <c r="C739" s="1">
        <v>1590</v>
      </c>
      <c r="D739" s="1">
        <v>13002595</v>
      </c>
      <c r="E739" s="1">
        <v>13</v>
      </c>
      <c r="F739" s="1">
        <v>22589</v>
      </c>
      <c r="G739" s="1" t="s">
        <v>21</v>
      </c>
      <c r="H739" s="1">
        <v>18</v>
      </c>
      <c r="I739" s="1">
        <v>435842</v>
      </c>
      <c r="J739" s="14" t="s">
        <v>819</v>
      </c>
      <c r="K739" s="1" t="s">
        <v>51</v>
      </c>
      <c r="L739" s="1" t="s">
        <v>383</v>
      </c>
      <c r="M739" s="14">
        <v>1</v>
      </c>
      <c r="N739" s="2">
        <v>27.03</v>
      </c>
      <c r="O739" s="16">
        <v>42</v>
      </c>
      <c r="P739" s="14">
        <v>2</v>
      </c>
      <c r="Q739" s="14">
        <f t="shared" si="11"/>
        <v>40</v>
      </c>
      <c r="R739" s="1">
        <v>9</v>
      </c>
      <c r="S739" s="1">
        <v>200010022559</v>
      </c>
      <c r="T739" s="1">
        <v>29</v>
      </c>
      <c r="U739" s="1">
        <v>1</v>
      </c>
      <c r="V739" s="1">
        <v>1</v>
      </c>
    </row>
    <row r="740" spans="1:22" x14ac:dyDescent="0.25">
      <c r="A740" s="3">
        <v>44778</v>
      </c>
      <c r="B740" s="4">
        <v>0.61927083333333333</v>
      </c>
      <c r="C740" s="1">
        <v>1860</v>
      </c>
      <c r="D740" s="1">
        <v>13002616</v>
      </c>
      <c r="E740" s="1">
        <v>13</v>
      </c>
      <c r="F740" s="1">
        <v>22589</v>
      </c>
      <c r="G740" s="1" t="s">
        <v>21</v>
      </c>
      <c r="H740" s="1">
        <v>15</v>
      </c>
      <c r="I740" s="1">
        <v>435842</v>
      </c>
      <c r="J740" s="14" t="s">
        <v>819</v>
      </c>
      <c r="K740" s="1" t="s">
        <v>51</v>
      </c>
      <c r="L740" s="1" t="s">
        <v>383</v>
      </c>
      <c r="M740" s="14">
        <v>1</v>
      </c>
      <c r="N740" s="2">
        <v>27.03</v>
      </c>
      <c r="O740" s="16">
        <v>42</v>
      </c>
      <c r="P740" s="14">
        <v>2</v>
      </c>
      <c r="Q740" s="14">
        <f t="shared" si="11"/>
        <v>40</v>
      </c>
      <c r="R740" s="1">
        <v>9</v>
      </c>
      <c r="S740" s="1">
        <v>200010016190</v>
      </c>
      <c r="T740" s="1">
        <v>50</v>
      </c>
      <c r="U740" s="1">
        <v>1</v>
      </c>
      <c r="V740" s="1">
        <v>1</v>
      </c>
    </row>
    <row r="741" spans="1:22" x14ac:dyDescent="0.25">
      <c r="A741" s="3">
        <v>44778</v>
      </c>
      <c r="B741" s="4">
        <v>0.63329861111111108</v>
      </c>
      <c r="C741" s="1">
        <v>1863</v>
      </c>
      <c r="D741" s="1">
        <v>13002616</v>
      </c>
      <c r="E741" s="1">
        <v>13</v>
      </c>
      <c r="F741" s="1">
        <v>22589</v>
      </c>
      <c r="G741" s="1" t="s">
        <v>21</v>
      </c>
      <c r="H741" s="1">
        <v>18</v>
      </c>
      <c r="I741" s="1">
        <v>435842</v>
      </c>
      <c r="J741" s="14" t="s">
        <v>819</v>
      </c>
      <c r="K741" s="1" t="s">
        <v>51</v>
      </c>
      <c r="L741" s="1" t="s">
        <v>383</v>
      </c>
      <c r="M741" s="14">
        <v>1</v>
      </c>
      <c r="N741" s="2">
        <v>27.03</v>
      </c>
      <c r="O741" s="16">
        <v>42</v>
      </c>
      <c r="P741" s="14">
        <v>0</v>
      </c>
      <c r="Q741" s="14">
        <f t="shared" si="11"/>
        <v>42</v>
      </c>
      <c r="R741" s="1" t="s">
        <v>25</v>
      </c>
      <c r="S741" s="1" t="s">
        <v>25</v>
      </c>
      <c r="T741" s="1">
        <v>50</v>
      </c>
      <c r="U741" s="1">
        <v>1</v>
      </c>
      <c r="V741" s="1">
        <v>1</v>
      </c>
    </row>
    <row r="742" spans="1:22" x14ac:dyDescent="0.25">
      <c r="A742" s="3">
        <v>44778</v>
      </c>
      <c r="B742" s="4">
        <v>0.82623842592592589</v>
      </c>
      <c r="C742" s="1">
        <v>1902</v>
      </c>
      <c r="D742" s="1">
        <v>13002616</v>
      </c>
      <c r="E742" s="1">
        <v>13</v>
      </c>
      <c r="F742" s="1">
        <v>22589</v>
      </c>
      <c r="G742" s="1" t="s">
        <v>21</v>
      </c>
      <c r="H742" s="1">
        <v>15</v>
      </c>
      <c r="I742" s="1">
        <v>259301</v>
      </c>
      <c r="J742" s="14" t="s">
        <v>1227</v>
      </c>
      <c r="K742" s="1" t="s">
        <v>117</v>
      </c>
      <c r="L742" s="1" t="s">
        <v>1228</v>
      </c>
      <c r="M742" s="14">
        <v>4</v>
      </c>
      <c r="N742" s="2">
        <v>7.26</v>
      </c>
      <c r="O742" s="16">
        <v>12</v>
      </c>
      <c r="P742" s="14">
        <v>4</v>
      </c>
      <c r="Q742" s="14">
        <f t="shared" si="11"/>
        <v>44</v>
      </c>
      <c r="R742" s="1">
        <v>9</v>
      </c>
      <c r="S742" s="1">
        <v>200010016190</v>
      </c>
      <c r="T742" s="1">
        <v>50</v>
      </c>
      <c r="U742" s="1">
        <v>1</v>
      </c>
      <c r="V742" s="1">
        <v>2</v>
      </c>
    </row>
    <row r="743" spans="1:22" x14ac:dyDescent="0.25">
      <c r="A743" s="3">
        <v>44775</v>
      </c>
      <c r="B743" s="4">
        <v>0.55350694444444448</v>
      </c>
      <c r="C743" s="1">
        <v>1473</v>
      </c>
      <c r="D743" s="1">
        <v>13002581</v>
      </c>
      <c r="E743" s="1">
        <v>13</v>
      </c>
      <c r="F743" s="1">
        <v>22589</v>
      </c>
      <c r="G743" s="1" t="s">
        <v>21</v>
      </c>
      <c r="H743" s="1">
        <v>15</v>
      </c>
      <c r="I743" s="1">
        <v>47735</v>
      </c>
      <c r="J743" s="14" t="s">
        <v>592</v>
      </c>
      <c r="K743" s="1" t="s">
        <v>23</v>
      </c>
      <c r="L743" s="1" t="s">
        <v>175</v>
      </c>
      <c r="M743" s="14">
        <v>1</v>
      </c>
      <c r="N743" s="2">
        <v>97.32</v>
      </c>
      <c r="O743" s="16">
        <v>139</v>
      </c>
      <c r="P743" s="14">
        <v>9</v>
      </c>
      <c r="Q743" s="14">
        <f t="shared" si="11"/>
        <v>130</v>
      </c>
      <c r="R743" s="1">
        <v>9</v>
      </c>
      <c r="S743" s="1">
        <v>200010026827</v>
      </c>
      <c r="T743" s="1">
        <v>29</v>
      </c>
      <c r="U743" s="1">
        <v>1</v>
      </c>
      <c r="V743" s="1">
        <v>1</v>
      </c>
    </row>
    <row r="744" spans="1:22" x14ac:dyDescent="0.25">
      <c r="A744" s="3">
        <v>44776</v>
      </c>
      <c r="B744" s="4">
        <v>0.77318287037037037</v>
      </c>
      <c r="C744" s="1">
        <v>1645</v>
      </c>
      <c r="D744" s="1">
        <v>13002595</v>
      </c>
      <c r="E744" s="1">
        <v>13</v>
      </c>
      <c r="F744" s="1">
        <v>22589</v>
      </c>
      <c r="G744" s="1" t="s">
        <v>21</v>
      </c>
      <c r="H744" s="1">
        <v>18</v>
      </c>
      <c r="I744" s="1">
        <v>47735</v>
      </c>
      <c r="J744" s="14" t="s">
        <v>592</v>
      </c>
      <c r="K744" s="1" t="s">
        <v>23</v>
      </c>
      <c r="L744" s="1" t="s">
        <v>175</v>
      </c>
      <c r="M744" s="14">
        <v>1</v>
      </c>
      <c r="N744" s="2">
        <v>97.32</v>
      </c>
      <c r="O744" s="16">
        <v>139</v>
      </c>
      <c r="P744" s="14">
        <v>0</v>
      </c>
      <c r="Q744" s="14">
        <f t="shared" si="11"/>
        <v>139</v>
      </c>
      <c r="R744" s="1" t="s">
        <v>25</v>
      </c>
      <c r="S744" s="1" t="s">
        <v>25</v>
      </c>
      <c r="T744" s="1">
        <v>29</v>
      </c>
      <c r="U744" s="1">
        <v>1</v>
      </c>
      <c r="V744" s="1">
        <v>2</v>
      </c>
    </row>
    <row r="745" spans="1:22" x14ac:dyDescent="0.25">
      <c r="A745" s="3">
        <v>44777</v>
      </c>
      <c r="B745" s="4">
        <v>0.4934722222222222</v>
      </c>
      <c r="C745" s="1">
        <v>1688</v>
      </c>
      <c r="D745" s="1">
        <v>13002606</v>
      </c>
      <c r="E745" s="1">
        <v>13</v>
      </c>
      <c r="F745" s="1">
        <v>22589</v>
      </c>
      <c r="G745" s="1" t="s">
        <v>21</v>
      </c>
      <c r="H745" s="1">
        <v>15</v>
      </c>
      <c r="I745" s="1">
        <v>47735</v>
      </c>
      <c r="J745" s="14" t="s">
        <v>592</v>
      </c>
      <c r="K745" s="1" t="s">
        <v>23</v>
      </c>
      <c r="L745" s="1" t="s">
        <v>175</v>
      </c>
      <c r="M745" s="14">
        <v>1</v>
      </c>
      <c r="N745" s="2">
        <v>97.32</v>
      </c>
      <c r="O745" s="16">
        <v>139</v>
      </c>
      <c r="P745" s="14">
        <v>9</v>
      </c>
      <c r="Q745" s="14">
        <f t="shared" si="11"/>
        <v>130</v>
      </c>
      <c r="R745" s="1">
        <v>9</v>
      </c>
      <c r="S745" s="1">
        <v>200010006867</v>
      </c>
      <c r="T745" s="1">
        <v>50</v>
      </c>
      <c r="U745" s="1">
        <v>1</v>
      </c>
      <c r="V745" s="1">
        <v>13</v>
      </c>
    </row>
    <row r="746" spans="1:22" x14ac:dyDescent="0.25">
      <c r="A746" s="3">
        <v>44777</v>
      </c>
      <c r="B746" s="4">
        <v>0.67782407407407408</v>
      </c>
      <c r="C746" s="1">
        <v>1745</v>
      </c>
      <c r="D746" s="1">
        <v>13002606</v>
      </c>
      <c r="E746" s="1">
        <v>13</v>
      </c>
      <c r="F746" s="1">
        <v>22589</v>
      </c>
      <c r="G746" s="1" t="s">
        <v>21</v>
      </c>
      <c r="H746" s="1">
        <v>18</v>
      </c>
      <c r="I746" s="1">
        <v>320482</v>
      </c>
      <c r="J746" s="14" t="s">
        <v>1038</v>
      </c>
      <c r="K746" s="1" t="s">
        <v>34</v>
      </c>
      <c r="L746" s="1" t="s">
        <v>1039</v>
      </c>
      <c r="M746" s="14">
        <v>1</v>
      </c>
      <c r="N746" s="2">
        <v>42.1</v>
      </c>
      <c r="O746" s="16">
        <v>51</v>
      </c>
      <c r="P746" s="14">
        <v>2</v>
      </c>
      <c r="Q746" s="14">
        <f t="shared" si="11"/>
        <v>49</v>
      </c>
      <c r="R746" s="1">
        <v>9</v>
      </c>
      <c r="S746" s="1">
        <v>200010026839</v>
      </c>
      <c r="T746" s="1">
        <v>50</v>
      </c>
      <c r="U746" s="1">
        <v>1</v>
      </c>
      <c r="V746" s="1">
        <v>6</v>
      </c>
    </row>
    <row r="747" spans="1:22" x14ac:dyDescent="0.25">
      <c r="A747" s="3">
        <v>44777</v>
      </c>
      <c r="B747" s="4">
        <v>0.81480324074074073</v>
      </c>
      <c r="C747" s="1">
        <v>1775</v>
      </c>
      <c r="D747" s="1">
        <v>13002606</v>
      </c>
      <c r="E747" s="1">
        <v>13</v>
      </c>
      <c r="F747" s="1">
        <v>22589</v>
      </c>
      <c r="G747" s="1" t="s">
        <v>21</v>
      </c>
      <c r="H747" s="1">
        <v>15</v>
      </c>
      <c r="I747" s="1">
        <v>1517</v>
      </c>
      <c r="J747" s="14" t="s">
        <v>1072</v>
      </c>
      <c r="K747" s="1" t="s">
        <v>29</v>
      </c>
      <c r="L747" s="1" t="s">
        <v>612</v>
      </c>
      <c r="M747" s="14">
        <v>1</v>
      </c>
      <c r="N747" s="2">
        <v>21.27</v>
      </c>
      <c r="O747" s="16">
        <v>26</v>
      </c>
      <c r="P747" s="14">
        <v>0</v>
      </c>
      <c r="Q747" s="14">
        <f t="shared" si="11"/>
        <v>26</v>
      </c>
      <c r="R747" s="1" t="s">
        <v>25</v>
      </c>
      <c r="S747" s="1" t="s">
        <v>25</v>
      </c>
      <c r="T747" s="1">
        <v>50</v>
      </c>
      <c r="U747" s="1">
        <v>1</v>
      </c>
      <c r="V747" s="1">
        <v>1</v>
      </c>
    </row>
    <row r="748" spans="1:22" x14ac:dyDescent="0.25">
      <c r="A748" s="3">
        <v>44777</v>
      </c>
      <c r="B748" s="4">
        <v>0.81480324074074073</v>
      </c>
      <c r="C748" s="1">
        <v>1775</v>
      </c>
      <c r="D748" s="1">
        <v>13002606</v>
      </c>
      <c r="E748" s="1">
        <v>13</v>
      </c>
      <c r="F748" s="1">
        <v>22589</v>
      </c>
      <c r="G748" s="1" t="s">
        <v>21</v>
      </c>
      <c r="H748" s="1">
        <v>15</v>
      </c>
      <c r="I748" s="1">
        <v>1517</v>
      </c>
      <c r="J748" s="14" t="s">
        <v>1072</v>
      </c>
      <c r="K748" s="1" t="s">
        <v>29</v>
      </c>
      <c r="L748" s="1" t="s">
        <v>612</v>
      </c>
      <c r="M748" s="14">
        <v>1</v>
      </c>
      <c r="N748" s="2">
        <v>21.27</v>
      </c>
      <c r="O748" s="16">
        <v>26</v>
      </c>
      <c r="P748" s="14">
        <v>0</v>
      </c>
      <c r="Q748" s="14">
        <f t="shared" si="11"/>
        <v>26</v>
      </c>
      <c r="R748" s="1" t="s">
        <v>25</v>
      </c>
      <c r="S748" s="1" t="s">
        <v>25</v>
      </c>
      <c r="T748" s="1">
        <v>50</v>
      </c>
      <c r="U748" s="1">
        <v>1</v>
      </c>
      <c r="V748" s="1">
        <v>2</v>
      </c>
    </row>
    <row r="749" spans="1:22" x14ac:dyDescent="0.25">
      <c r="A749" s="3">
        <v>44777</v>
      </c>
      <c r="B749" s="4">
        <v>0.81480324074074073</v>
      </c>
      <c r="C749" s="1">
        <v>1775</v>
      </c>
      <c r="D749" s="1">
        <v>13002606</v>
      </c>
      <c r="E749" s="1">
        <v>13</v>
      </c>
      <c r="F749" s="1">
        <v>22589</v>
      </c>
      <c r="G749" s="1" t="s">
        <v>21</v>
      </c>
      <c r="H749" s="1">
        <v>15</v>
      </c>
      <c r="I749" s="1">
        <v>1517</v>
      </c>
      <c r="J749" s="14" t="s">
        <v>1072</v>
      </c>
      <c r="K749" s="1" t="s">
        <v>29</v>
      </c>
      <c r="L749" s="1" t="s">
        <v>612</v>
      </c>
      <c r="M749" s="14">
        <v>1</v>
      </c>
      <c r="N749" s="2">
        <v>21.27</v>
      </c>
      <c r="O749" s="16">
        <v>26</v>
      </c>
      <c r="P749" s="14">
        <v>0</v>
      </c>
      <c r="Q749" s="14">
        <f t="shared" si="11"/>
        <v>26</v>
      </c>
      <c r="R749" s="1" t="s">
        <v>25</v>
      </c>
      <c r="S749" s="1" t="s">
        <v>25</v>
      </c>
      <c r="T749" s="1">
        <v>50</v>
      </c>
      <c r="U749" s="1">
        <v>1</v>
      </c>
      <c r="V749" s="1">
        <v>3</v>
      </c>
    </row>
    <row r="750" spans="1:22" x14ac:dyDescent="0.25">
      <c r="A750" s="3">
        <v>44775</v>
      </c>
      <c r="B750" s="4">
        <v>0.68612268518518515</v>
      </c>
      <c r="C750" s="1">
        <v>1496</v>
      </c>
      <c r="D750" s="1">
        <v>13002581</v>
      </c>
      <c r="E750" s="1">
        <v>13</v>
      </c>
      <c r="F750" s="1">
        <v>22589</v>
      </c>
      <c r="G750" s="1" t="s">
        <v>21</v>
      </c>
      <c r="H750" s="1">
        <v>15</v>
      </c>
      <c r="I750" s="1">
        <v>5312</v>
      </c>
      <c r="J750" s="14" t="s">
        <v>642</v>
      </c>
      <c r="K750" s="1" t="s">
        <v>64</v>
      </c>
      <c r="L750" s="1" t="s">
        <v>612</v>
      </c>
      <c r="M750" s="14">
        <v>1</v>
      </c>
      <c r="N750" s="2">
        <v>283.52</v>
      </c>
      <c r="O750" s="16">
        <v>383</v>
      </c>
      <c r="P750" s="14">
        <v>38</v>
      </c>
      <c r="Q750" s="14">
        <f t="shared" si="11"/>
        <v>345</v>
      </c>
      <c r="R750" s="1">
        <v>30</v>
      </c>
      <c r="S750" s="1">
        <v>200000000024</v>
      </c>
      <c r="T750" s="1">
        <v>29</v>
      </c>
      <c r="U750" s="1">
        <v>1</v>
      </c>
      <c r="V750" s="1">
        <v>1</v>
      </c>
    </row>
    <row r="751" spans="1:22" x14ac:dyDescent="0.25">
      <c r="A751" s="3">
        <v>44776</v>
      </c>
      <c r="B751" s="4">
        <v>0.65983796296296293</v>
      </c>
      <c r="C751" s="1">
        <v>1621</v>
      </c>
      <c r="D751" s="1">
        <v>13002595</v>
      </c>
      <c r="E751" s="1">
        <v>13</v>
      </c>
      <c r="F751" s="1">
        <v>22589</v>
      </c>
      <c r="G751" s="1" t="s">
        <v>21</v>
      </c>
      <c r="H751" s="1">
        <v>18</v>
      </c>
      <c r="I751" s="1">
        <v>5312</v>
      </c>
      <c r="J751" s="14" t="s">
        <v>642</v>
      </c>
      <c r="K751" s="1" t="s">
        <v>64</v>
      </c>
      <c r="L751" s="1" t="s">
        <v>612</v>
      </c>
      <c r="M751" s="14">
        <v>1</v>
      </c>
      <c r="N751" s="2">
        <v>283.52</v>
      </c>
      <c r="O751" s="16">
        <v>383</v>
      </c>
      <c r="P751" s="14">
        <v>38</v>
      </c>
      <c r="Q751" s="14">
        <f t="shared" si="11"/>
        <v>345</v>
      </c>
      <c r="R751" s="1">
        <v>30</v>
      </c>
      <c r="S751" s="1">
        <v>200000000024</v>
      </c>
      <c r="T751" s="1">
        <v>29</v>
      </c>
      <c r="U751" s="1">
        <v>1</v>
      </c>
      <c r="V751" s="1">
        <v>4</v>
      </c>
    </row>
    <row r="752" spans="1:22" x14ac:dyDescent="0.25">
      <c r="A752" s="3">
        <v>44777</v>
      </c>
      <c r="B752" s="4">
        <v>0.44711805555555556</v>
      </c>
      <c r="C752" s="1">
        <v>1674</v>
      </c>
      <c r="D752" s="1">
        <v>13002606</v>
      </c>
      <c r="E752" s="1">
        <v>13</v>
      </c>
      <c r="F752" s="1">
        <v>22589</v>
      </c>
      <c r="G752" s="1" t="s">
        <v>21</v>
      </c>
      <c r="H752" s="1">
        <v>15</v>
      </c>
      <c r="I752" s="1">
        <v>5312</v>
      </c>
      <c r="J752" s="14" t="s">
        <v>642</v>
      </c>
      <c r="K752" s="1" t="s">
        <v>64</v>
      </c>
      <c r="L752" s="1" t="s">
        <v>612</v>
      </c>
      <c r="M752" s="14">
        <v>1</v>
      </c>
      <c r="N752" s="2">
        <v>283.52</v>
      </c>
      <c r="O752" s="16">
        <v>383</v>
      </c>
      <c r="P752" s="14">
        <v>38</v>
      </c>
      <c r="Q752" s="14">
        <f t="shared" si="11"/>
        <v>345</v>
      </c>
      <c r="R752" s="1">
        <v>30</v>
      </c>
      <c r="S752" s="1">
        <v>200000000024</v>
      </c>
      <c r="T752" s="1">
        <v>50</v>
      </c>
      <c r="U752" s="1">
        <v>1</v>
      </c>
      <c r="V752" s="1">
        <v>1</v>
      </c>
    </row>
    <row r="753" spans="1:22" x14ac:dyDescent="0.25">
      <c r="A753" s="3">
        <v>44777</v>
      </c>
      <c r="B753" s="4">
        <v>0.78734953703703703</v>
      </c>
      <c r="C753" s="1">
        <v>1771</v>
      </c>
      <c r="D753" s="1">
        <v>13002606</v>
      </c>
      <c r="E753" s="1">
        <v>13</v>
      </c>
      <c r="F753" s="1">
        <v>22589</v>
      </c>
      <c r="G753" s="1" t="s">
        <v>21</v>
      </c>
      <c r="H753" s="1">
        <v>15</v>
      </c>
      <c r="I753" s="1">
        <v>5312</v>
      </c>
      <c r="J753" s="14" t="s">
        <v>642</v>
      </c>
      <c r="K753" s="1" t="s">
        <v>61</v>
      </c>
      <c r="L753" s="1" t="s">
        <v>1065</v>
      </c>
      <c r="M753" s="14">
        <v>1</v>
      </c>
      <c r="N753" s="2">
        <v>284.79000000000002</v>
      </c>
      <c r="O753" s="16">
        <v>385</v>
      </c>
      <c r="P753" s="14">
        <v>38</v>
      </c>
      <c r="Q753" s="14">
        <f t="shared" si="11"/>
        <v>347</v>
      </c>
      <c r="R753" s="1">
        <v>30</v>
      </c>
      <c r="S753" s="1">
        <v>200000000024</v>
      </c>
      <c r="T753" s="1">
        <v>50</v>
      </c>
      <c r="U753" s="1">
        <v>1</v>
      </c>
      <c r="V753" s="1">
        <v>1</v>
      </c>
    </row>
    <row r="754" spans="1:22" x14ac:dyDescent="0.25">
      <c r="A754" s="3">
        <v>44774</v>
      </c>
      <c r="B754" s="4">
        <v>0.70020833333333332</v>
      </c>
      <c r="C754" s="1">
        <v>1380</v>
      </c>
      <c r="D754" s="1">
        <v>13002561</v>
      </c>
      <c r="E754" s="1">
        <v>13</v>
      </c>
      <c r="F754" s="1">
        <v>22589</v>
      </c>
      <c r="G754" s="1" t="s">
        <v>21</v>
      </c>
      <c r="H754" s="1">
        <v>18</v>
      </c>
      <c r="I754" s="1">
        <v>346727</v>
      </c>
      <c r="J754" s="14" t="s">
        <v>389</v>
      </c>
      <c r="K754" s="1" t="s">
        <v>51</v>
      </c>
      <c r="L754" s="1" t="s">
        <v>274</v>
      </c>
      <c r="M754" s="14">
        <v>1</v>
      </c>
      <c r="N754" s="2">
        <v>30.64</v>
      </c>
      <c r="O754" s="16">
        <v>37</v>
      </c>
      <c r="P754" s="14">
        <v>1</v>
      </c>
      <c r="Q754" s="14">
        <f t="shared" si="11"/>
        <v>36</v>
      </c>
      <c r="R754" s="1">
        <v>9</v>
      </c>
      <c r="S754" s="1">
        <v>200010013152</v>
      </c>
      <c r="T754" s="1">
        <v>29</v>
      </c>
      <c r="U754" s="1">
        <v>1</v>
      </c>
      <c r="V754" s="1">
        <v>3</v>
      </c>
    </row>
    <row r="755" spans="1:22" x14ac:dyDescent="0.25">
      <c r="A755" s="3">
        <v>44774</v>
      </c>
      <c r="B755" s="4">
        <v>0.70020833333333332</v>
      </c>
      <c r="C755" s="1">
        <v>1380</v>
      </c>
      <c r="D755" s="1">
        <v>13002561</v>
      </c>
      <c r="E755" s="1">
        <v>13</v>
      </c>
      <c r="F755" s="1">
        <v>22589</v>
      </c>
      <c r="G755" s="1" t="s">
        <v>21</v>
      </c>
      <c r="H755" s="1">
        <v>18</v>
      </c>
      <c r="I755" s="1">
        <v>346727</v>
      </c>
      <c r="J755" s="14" t="s">
        <v>389</v>
      </c>
      <c r="K755" s="1" t="s">
        <v>51</v>
      </c>
      <c r="L755" s="1" t="s">
        <v>274</v>
      </c>
      <c r="M755" s="14">
        <v>1</v>
      </c>
      <c r="N755" s="2">
        <v>30.64</v>
      </c>
      <c r="O755" s="16">
        <v>37</v>
      </c>
      <c r="P755" s="14">
        <v>1</v>
      </c>
      <c r="Q755" s="14">
        <f t="shared" si="11"/>
        <v>36</v>
      </c>
      <c r="R755" s="1">
        <v>9</v>
      </c>
      <c r="S755" s="1">
        <v>200010013152</v>
      </c>
      <c r="T755" s="1">
        <v>29</v>
      </c>
      <c r="U755" s="1">
        <v>1</v>
      </c>
      <c r="V755" s="1">
        <v>4</v>
      </c>
    </row>
    <row r="756" spans="1:22" x14ac:dyDescent="0.25">
      <c r="A756" s="3">
        <v>44775</v>
      </c>
      <c r="B756" s="4">
        <v>0.55423611111111115</v>
      </c>
      <c r="C756" s="1">
        <v>1474</v>
      </c>
      <c r="D756" s="1">
        <v>13002581</v>
      </c>
      <c r="E756" s="1">
        <v>13</v>
      </c>
      <c r="F756" s="1">
        <v>22589</v>
      </c>
      <c r="G756" s="1" t="s">
        <v>21</v>
      </c>
      <c r="H756" s="1">
        <v>18</v>
      </c>
      <c r="I756" s="1">
        <v>346727</v>
      </c>
      <c r="J756" s="14" t="s">
        <v>389</v>
      </c>
      <c r="K756" s="1" t="s">
        <v>51</v>
      </c>
      <c r="L756" s="1" t="s">
        <v>274</v>
      </c>
      <c r="M756" s="14">
        <v>1</v>
      </c>
      <c r="N756" s="2">
        <v>30.64</v>
      </c>
      <c r="O756" s="16">
        <v>37</v>
      </c>
      <c r="P756" s="14">
        <v>1</v>
      </c>
      <c r="Q756" s="14">
        <f t="shared" si="11"/>
        <v>36</v>
      </c>
      <c r="R756" s="1">
        <v>9</v>
      </c>
      <c r="S756" s="1">
        <v>200010019532</v>
      </c>
      <c r="T756" s="1">
        <v>29</v>
      </c>
      <c r="U756" s="1">
        <v>1</v>
      </c>
      <c r="V756" s="1">
        <v>1</v>
      </c>
    </row>
    <row r="757" spans="1:22" x14ac:dyDescent="0.25">
      <c r="A757" s="3">
        <v>44776</v>
      </c>
      <c r="B757" s="4">
        <v>0.73439814814814819</v>
      </c>
      <c r="C757" s="1">
        <v>1636</v>
      </c>
      <c r="D757" s="1">
        <v>13002595</v>
      </c>
      <c r="E757" s="1">
        <v>13</v>
      </c>
      <c r="F757" s="1">
        <v>22589</v>
      </c>
      <c r="G757" s="1" t="s">
        <v>21</v>
      </c>
      <c r="H757" s="1">
        <v>15</v>
      </c>
      <c r="I757" s="1">
        <v>154368</v>
      </c>
      <c r="J757" s="14" t="s">
        <v>896</v>
      </c>
      <c r="K757" s="1" t="s">
        <v>23</v>
      </c>
      <c r="L757" s="1" t="s">
        <v>24</v>
      </c>
      <c r="M757" s="14">
        <v>1</v>
      </c>
      <c r="N757" s="2">
        <v>75.2</v>
      </c>
      <c r="O757" s="16">
        <v>93</v>
      </c>
      <c r="P757" s="14">
        <v>0</v>
      </c>
      <c r="Q757" s="14">
        <f t="shared" si="11"/>
        <v>93</v>
      </c>
      <c r="R757" s="1" t="s">
        <v>25</v>
      </c>
      <c r="S757" s="1" t="s">
        <v>25</v>
      </c>
      <c r="T757" s="1">
        <v>29</v>
      </c>
      <c r="U757" s="1">
        <v>1</v>
      </c>
      <c r="V757" s="1">
        <v>2</v>
      </c>
    </row>
    <row r="758" spans="1:22" x14ac:dyDescent="0.25">
      <c r="A758" s="3">
        <v>44774</v>
      </c>
      <c r="B758" s="4">
        <v>0.82774305555555561</v>
      </c>
      <c r="C758" s="1">
        <v>1413</v>
      </c>
      <c r="D758" s="1">
        <v>13002561</v>
      </c>
      <c r="E758" s="1">
        <v>13</v>
      </c>
      <c r="F758" s="1">
        <v>22589</v>
      </c>
      <c r="G758" s="1" t="s">
        <v>21</v>
      </c>
      <c r="H758" s="1">
        <v>15</v>
      </c>
      <c r="I758" s="1">
        <v>110605</v>
      </c>
      <c r="J758" s="14" t="s">
        <v>475</v>
      </c>
      <c r="K758" s="1" t="s">
        <v>45</v>
      </c>
      <c r="L758" s="1" t="s">
        <v>214</v>
      </c>
      <c r="M758" s="14">
        <v>1</v>
      </c>
      <c r="N758" s="2">
        <v>119.22</v>
      </c>
      <c r="O758" s="16">
        <v>143</v>
      </c>
      <c r="P758" s="14">
        <v>0</v>
      </c>
      <c r="Q758" s="14">
        <f t="shared" si="11"/>
        <v>143</v>
      </c>
      <c r="R758" s="1" t="s">
        <v>25</v>
      </c>
      <c r="S758" s="1" t="s">
        <v>25</v>
      </c>
      <c r="T758" s="1">
        <v>29</v>
      </c>
      <c r="U758" s="1">
        <v>1</v>
      </c>
      <c r="V758" s="1">
        <v>2</v>
      </c>
    </row>
    <row r="759" spans="1:22" x14ac:dyDescent="0.25">
      <c r="A759" s="3">
        <v>44777</v>
      </c>
      <c r="B759" s="4">
        <v>0.74494212962962958</v>
      </c>
      <c r="C759" s="1">
        <v>1762</v>
      </c>
      <c r="D759" s="1">
        <v>13002606</v>
      </c>
      <c r="E759" s="1">
        <v>13</v>
      </c>
      <c r="F759" s="1">
        <v>22589</v>
      </c>
      <c r="G759" s="1" t="s">
        <v>21</v>
      </c>
      <c r="H759" s="1">
        <v>18</v>
      </c>
      <c r="I759" s="1">
        <v>110605</v>
      </c>
      <c r="J759" s="14" t="s">
        <v>475</v>
      </c>
      <c r="K759" s="1" t="s">
        <v>45</v>
      </c>
      <c r="L759" s="1" t="s">
        <v>214</v>
      </c>
      <c r="M759" s="14">
        <v>1</v>
      </c>
      <c r="N759" s="2">
        <v>119.22</v>
      </c>
      <c r="O759" s="16">
        <v>143</v>
      </c>
      <c r="P759" s="14">
        <v>7</v>
      </c>
      <c r="Q759" s="14">
        <f t="shared" si="11"/>
        <v>136</v>
      </c>
      <c r="R759" s="1">
        <v>9</v>
      </c>
      <c r="S759" s="1">
        <v>200010001162</v>
      </c>
      <c r="T759" s="1">
        <v>50</v>
      </c>
      <c r="U759" s="1">
        <v>1</v>
      </c>
      <c r="V759" s="1">
        <v>2</v>
      </c>
    </row>
    <row r="760" spans="1:22" x14ac:dyDescent="0.25">
      <c r="A760" s="3">
        <v>44774</v>
      </c>
      <c r="B760" s="4">
        <v>0.76192129629629635</v>
      </c>
      <c r="C760" s="1">
        <v>1395</v>
      </c>
      <c r="D760" s="1">
        <v>13002561</v>
      </c>
      <c r="E760" s="1">
        <v>13</v>
      </c>
      <c r="F760" s="1">
        <v>22589</v>
      </c>
      <c r="G760" s="1" t="s">
        <v>21</v>
      </c>
      <c r="H760" s="1">
        <v>15</v>
      </c>
      <c r="I760" s="1">
        <v>6678</v>
      </c>
      <c r="J760" s="14" t="s">
        <v>427</v>
      </c>
      <c r="K760" s="1" t="s">
        <v>51</v>
      </c>
      <c r="L760" s="1" t="s">
        <v>195</v>
      </c>
      <c r="M760" s="14">
        <v>1</v>
      </c>
      <c r="N760" s="2">
        <v>458.63</v>
      </c>
      <c r="O760" s="16">
        <v>588</v>
      </c>
      <c r="P760" s="14">
        <v>41</v>
      </c>
      <c r="Q760" s="14">
        <f t="shared" si="11"/>
        <v>547</v>
      </c>
      <c r="R760" s="1">
        <v>9</v>
      </c>
      <c r="S760" s="1">
        <v>200010020276</v>
      </c>
      <c r="T760" s="1">
        <v>29</v>
      </c>
      <c r="U760" s="1">
        <v>1</v>
      </c>
      <c r="V760" s="1">
        <v>3</v>
      </c>
    </row>
    <row r="761" spans="1:22" x14ac:dyDescent="0.25">
      <c r="A761" s="3">
        <v>44776</v>
      </c>
      <c r="B761" s="4">
        <v>0.48781249999999998</v>
      </c>
      <c r="C761" s="1">
        <v>1570</v>
      </c>
      <c r="D761" s="1">
        <v>13002595</v>
      </c>
      <c r="E761" s="1">
        <v>13</v>
      </c>
      <c r="F761" s="1">
        <v>22589</v>
      </c>
      <c r="G761" s="1" t="s">
        <v>21</v>
      </c>
      <c r="H761" s="1">
        <v>18</v>
      </c>
      <c r="I761" s="1">
        <v>6678</v>
      </c>
      <c r="J761" s="14" t="s">
        <v>427</v>
      </c>
      <c r="K761" s="1" t="s">
        <v>51</v>
      </c>
      <c r="L761" s="1" t="s">
        <v>195</v>
      </c>
      <c r="M761" s="14">
        <v>1</v>
      </c>
      <c r="N761" s="2">
        <v>458.63</v>
      </c>
      <c r="O761" s="16">
        <v>588</v>
      </c>
      <c r="P761" s="14">
        <v>41</v>
      </c>
      <c r="Q761" s="14">
        <f t="shared" si="11"/>
        <v>547</v>
      </c>
      <c r="R761" s="1">
        <v>9</v>
      </c>
      <c r="S761" s="1">
        <v>200010026823</v>
      </c>
      <c r="T761" s="1">
        <v>29</v>
      </c>
      <c r="U761" s="1">
        <v>1</v>
      </c>
      <c r="V761" s="1">
        <v>4</v>
      </c>
    </row>
    <row r="762" spans="1:22" x14ac:dyDescent="0.25">
      <c r="A762" s="3">
        <v>44778</v>
      </c>
      <c r="B762" s="4">
        <v>0.39695601851851853</v>
      </c>
      <c r="C762" s="1">
        <v>1798</v>
      </c>
      <c r="D762" s="1">
        <v>13002616</v>
      </c>
      <c r="E762" s="1">
        <v>13</v>
      </c>
      <c r="F762" s="1">
        <v>22589</v>
      </c>
      <c r="G762" s="1" t="s">
        <v>21</v>
      </c>
      <c r="H762" s="1">
        <v>15</v>
      </c>
      <c r="I762" s="1">
        <v>6678</v>
      </c>
      <c r="J762" s="14" t="s">
        <v>427</v>
      </c>
      <c r="K762" s="1" t="s">
        <v>23</v>
      </c>
      <c r="L762" s="1" t="s">
        <v>895</v>
      </c>
      <c r="M762" s="14">
        <v>1</v>
      </c>
      <c r="N762" s="2">
        <v>458.22</v>
      </c>
      <c r="O762" s="16">
        <v>587</v>
      </c>
      <c r="P762" s="14">
        <v>41</v>
      </c>
      <c r="Q762" s="14">
        <f t="shared" si="11"/>
        <v>546</v>
      </c>
      <c r="R762" s="1">
        <v>9</v>
      </c>
      <c r="S762" s="1">
        <v>200010022565</v>
      </c>
      <c r="T762" s="1">
        <v>50</v>
      </c>
      <c r="U762" s="1">
        <v>1</v>
      </c>
      <c r="V762" s="1">
        <v>1</v>
      </c>
    </row>
    <row r="763" spans="1:22" x14ac:dyDescent="0.25">
      <c r="A763" s="3">
        <v>44778</v>
      </c>
      <c r="B763" s="4">
        <v>0.64842592592592596</v>
      </c>
      <c r="C763" s="1">
        <v>1865</v>
      </c>
      <c r="D763" s="1">
        <v>13002616</v>
      </c>
      <c r="E763" s="1">
        <v>13</v>
      </c>
      <c r="F763" s="1">
        <v>22589</v>
      </c>
      <c r="G763" s="1" t="s">
        <v>21</v>
      </c>
      <c r="H763" s="1">
        <v>18</v>
      </c>
      <c r="I763" s="1">
        <v>6678</v>
      </c>
      <c r="J763" s="14" t="s">
        <v>427</v>
      </c>
      <c r="K763" s="1" t="s">
        <v>23</v>
      </c>
      <c r="L763" s="1" t="s">
        <v>895</v>
      </c>
      <c r="M763" s="14">
        <v>1</v>
      </c>
      <c r="N763" s="2">
        <v>458.22</v>
      </c>
      <c r="O763" s="16">
        <v>587</v>
      </c>
      <c r="P763" s="14">
        <v>0</v>
      </c>
      <c r="Q763" s="14">
        <f t="shared" si="11"/>
        <v>587</v>
      </c>
      <c r="R763" s="1" t="s">
        <v>25</v>
      </c>
      <c r="S763" s="1" t="s">
        <v>25</v>
      </c>
      <c r="T763" s="1">
        <v>50</v>
      </c>
      <c r="U763" s="1">
        <v>1</v>
      </c>
      <c r="V763" s="1">
        <v>2</v>
      </c>
    </row>
    <row r="764" spans="1:22" x14ac:dyDescent="0.25">
      <c r="A764" s="3">
        <v>44776</v>
      </c>
      <c r="B764" s="4">
        <v>0.37939814814814815</v>
      </c>
      <c r="C764" s="1">
        <v>1544</v>
      </c>
      <c r="D764" s="1">
        <v>13002595</v>
      </c>
      <c r="E764" s="1">
        <v>13</v>
      </c>
      <c r="F764" s="1">
        <v>22589</v>
      </c>
      <c r="G764" s="1" t="s">
        <v>21</v>
      </c>
      <c r="H764" s="1">
        <v>15</v>
      </c>
      <c r="I764" s="1">
        <v>88380</v>
      </c>
      <c r="J764" s="14" t="s">
        <v>716</v>
      </c>
      <c r="K764" s="1" t="s">
        <v>34</v>
      </c>
      <c r="L764" s="1" t="s">
        <v>717</v>
      </c>
      <c r="M764" s="14">
        <v>1</v>
      </c>
      <c r="N764" s="2">
        <v>413.47</v>
      </c>
      <c r="O764" s="16">
        <v>538</v>
      </c>
      <c r="P764" s="14">
        <v>0</v>
      </c>
      <c r="Q764" s="14">
        <f t="shared" si="11"/>
        <v>538</v>
      </c>
      <c r="R764" s="1" t="s">
        <v>25</v>
      </c>
      <c r="S764" s="1" t="s">
        <v>25</v>
      </c>
      <c r="T764" s="1">
        <v>29</v>
      </c>
      <c r="U764" s="1">
        <v>1</v>
      </c>
      <c r="V764" s="1">
        <v>2</v>
      </c>
    </row>
    <row r="765" spans="1:22" x14ac:dyDescent="0.25">
      <c r="A765" s="3">
        <v>44776</v>
      </c>
      <c r="B765" s="4">
        <v>0.54693287037037042</v>
      </c>
      <c r="C765" s="1">
        <v>1593</v>
      </c>
      <c r="D765" s="1">
        <v>13002595</v>
      </c>
      <c r="E765" s="1">
        <v>13</v>
      </c>
      <c r="F765" s="1">
        <v>22589</v>
      </c>
      <c r="G765" s="1" t="s">
        <v>21</v>
      </c>
      <c r="H765" s="1">
        <v>18</v>
      </c>
      <c r="I765" s="1">
        <v>154751</v>
      </c>
      <c r="J765" s="14" t="s">
        <v>823</v>
      </c>
      <c r="K765" s="1" t="s">
        <v>23</v>
      </c>
      <c r="L765" s="1" t="s">
        <v>341</v>
      </c>
      <c r="M765" s="14">
        <v>1</v>
      </c>
      <c r="N765" s="2">
        <v>739.82</v>
      </c>
      <c r="O765" s="16">
        <v>955</v>
      </c>
      <c r="P765" s="14">
        <v>66</v>
      </c>
      <c r="Q765" s="14">
        <f t="shared" si="11"/>
        <v>889</v>
      </c>
      <c r="R765" s="1">
        <v>9</v>
      </c>
      <c r="S765" s="1">
        <v>200010000782</v>
      </c>
      <c r="T765" s="1">
        <v>29</v>
      </c>
      <c r="U765" s="1">
        <v>1</v>
      </c>
      <c r="V765" s="1">
        <v>1</v>
      </c>
    </row>
    <row r="766" spans="1:22" x14ac:dyDescent="0.25">
      <c r="A766" s="3">
        <v>44775</v>
      </c>
      <c r="B766" s="4">
        <v>0.38119212962962962</v>
      </c>
      <c r="C766" s="1">
        <v>1422</v>
      </c>
      <c r="D766" s="1">
        <v>13002581</v>
      </c>
      <c r="E766" s="1">
        <v>13</v>
      </c>
      <c r="F766" s="1">
        <v>22589</v>
      </c>
      <c r="G766" s="1" t="s">
        <v>21</v>
      </c>
      <c r="H766" s="1">
        <v>18</v>
      </c>
      <c r="I766" s="1">
        <v>291429</v>
      </c>
      <c r="J766" s="14" t="s">
        <v>490</v>
      </c>
      <c r="K766" s="1" t="s">
        <v>51</v>
      </c>
      <c r="L766" s="1" t="s">
        <v>76</v>
      </c>
      <c r="M766" s="14">
        <v>1</v>
      </c>
      <c r="N766" s="2">
        <v>455.83</v>
      </c>
      <c r="O766" s="16">
        <v>602</v>
      </c>
      <c r="P766" s="14">
        <v>42</v>
      </c>
      <c r="Q766" s="14">
        <f t="shared" si="11"/>
        <v>560</v>
      </c>
      <c r="R766" s="1">
        <v>9</v>
      </c>
      <c r="S766" s="1">
        <v>200010004069</v>
      </c>
      <c r="T766" s="1">
        <v>29</v>
      </c>
      <c r="U766" s="1">
        <v>1</v>
      </c>
      <c r="V766" s="1">
        <v>4</v>
      </c>
    </row>
    <row r="767" spans="1:22" x14ac:dyDescent="0.25">
      <c r="A767" s="3">
        <v>44775</v>
      </c>
      <c r="B767" s="4">
        <v>0.38119212962962962</v>
      </c>
      <c r="C767" s="1">
        <v>1422</v>
      </c>
      <c r="D767" s="1">
        <v>13002581</v>
      </c>
      <c r="E767" s="1">
        <v>13</v>
      </c>
      <c r="F767" s="1">
        <v>22589</v>
      </c>
      <c r="G767" s="1" t="s">
        <v>21</v>
      </c>
      <c r="H767" s="1">
        <v>18</v>
      </c>
      <c r="I767" s="1">
        <v>291429</v>
      </c>
      <c r="J767" s="14" t="s">
        <v>490</v>
      </c>
      <c r="K767" s="1" t="s">
        <v>51</v>
      </c>
      <c r="L767" s="1" t="s">
        <v>76</v>
      </c>
      <c r="M767" s="14">
        <v>1</v>
      </c>
      <c r="N767" s="2">
        <v>451.18</v>
      </c>
      <c r="O767" s="16">
        <v>596</v>
      </c>
      <c r="P767" s="14">
        <v>41</v>
      </c>
      <c r="Q767" s="14">
        <f t="shared" si="11"/>
        <v>555</v>
      </c>
      <c r="R767" s="1">
        <v>9</v>
      </c>
      <c r="S767" s="1">
        <v>200010004069</v>
      </c>
      <c r="T767" s="1">
        <v>29</v>
      </c>
      <c r="U767" s="1">
        <v>1</v>
      </c>
      <c r="V767" s="1">
        <v>5</v>
      </c>
    </row>
    <row r="768" spans="1:22" x14ac:dyDescent="0.25">
      <c r="A768" s="3">
        <v>44775</v>
      </c>
      <c r="B768" s="4">
        <v>0.38119212962962962</v>
      </c>
      <c r="C768" s="1">
        <v>1422</v>
      </c>
      <c r="D768" s="1">
        <v>13002581</v>
      </c>
      <c r="E768" s="1">
        <v>13</v>
      </c>
      <c r="F768" s="1">
        <v>22589</v>
      </c>
      <c r="G768" s="1" t="s">
        <v>21</v>
      </c>
      <c r="H768" s="1">
        <v>18</v>
      </c>
      <c r="I768" s="1">
        <v>116131</v>
      </c>
      <c r="J768" s="14" t="s">
        <v>491</v>
      </c>
      <c r="K768" s="1" t="s">
        <v>51</v>
      </c>
      <c r="L768" s="1" t="s">
        <v>492</v>
      </c>
      <c r="M768" s="14">
        <v>1</v>
      </c>
      <c r="N768" s="2">
        <v>247.84</v>
      </c>
      <c r="O768" s="16">
        <v>377</v>
      </c>
      <c r="P768" s="14">
        <v>37</v>
      </c>
      <c r="Q768" s="14">
        <f t="shared" si="11"/>
        <v>340</v>
      </c>
      <c r="R768" s="1">
        <v>9</v>
      </c>
      <c r="S768" s="1">
        <v>200010004069</v>
      </c>
      <c r="T768" s="1">
        <v>29</v>
      </c>
      <c r="U768" s="1">
        <v>1</v>
      </c>
      <c r="V768" s="1">
        <v>6</v>
      </c>
    </row>
    <row r="769" spans="1:22" x14ac:dyDescent="0.25">
      <c r="A769" s="3">
        <v>44775</v>
      </c>
      <c r="B769" s="4">
        <v>0.71832175925925923</v>
      </c>
      <c r="C769" s="1">
        <v>1505</v>
      </c>
      <c r="D769" s="1">
        <v>13002581</v>
      </c>
      <c r="E769" s="1">
        <v>13</v>
      </c>
      <c r="F769" s="1">
        <v>22589</v>
      </c>
      <c r="G769" s="1" t="s">
        <v>21</v>
      </c>
      <c r="H769" s="1">
        <v>18</v>
      </c>
      <c r="I769" s="1">
        <v>295598</v>
      </c>
      <c r="J769" s="14" t="s">
        <v>657</v>
      </c>
      <c r="K769" s="1" t="s">
        <v>61</v>
      </c>
      <c r="L769" s="1" t="s">
        <v>559</v>
      </c>
      <c r="M769" s="14">
        <v>0.16666666999999999</v>
      </c>
      <c r="N769" s="2">
        <v>859.76</v>
      </c>
      <c r="O769" s="16">
        <v>1110</v>
      </c>
      <c r="P769" s="14">
        <v>12</v>
      </c>
      <c r="Q769" s="14">
        <f t="shared" si="11"/>
        <v>173.00000369999998</v>
      </c>
      <c r="R769" s="1">
        <v>9</v>
      </c>
      <c r="S769" s="1">
        <v>200010020875</v>
      </c>
      <c r="T769" s="1">
        <v>29</v>
      </c>
      <c r="U769" s="1">
        <v>1</v>
      </c>
      <c r="V769" s="1">
        <v>3</v>
      </c>
    </row>
    <row r="770" spans="1:22" x14ac:dyDescent="0.25">
      <c r="A770" s="3">
        <v>44775</v>
      </c>
      <c r="B770" s="4">
        <v>0.5007638888888889</v>
      </c>
      <c r="C770" s="1">
        <v>1456</v>
      </c>
      <c r="D770" s="1">
        <v>13002581</v>
      </c>
      <c r="E770" s="1">
        <v>13</v>
      </c>
      <c r="F770" s="1">
        <v>22589</v>
      </c>
      <c r="G770" s="1" t="s">
        <v>21</v>
      </c>
      <c r="H770" s="1">
        <v>15</v>
      </c>
      <c r="I770" s="1">
        <v>11811</v>
      </c>
      <c r="J770" s="14" t="s">
        <v>558</v>
      </c>
      <c r="K770" s="1" t="s">
        <v>117</v>
      </c>
      <c r="L770" s="1" t="s">
        <v>559</v>
      </c>
      <c r="M770" s="14">
        <v>1</v>
      </c>
      <c r="N770" s="2">
        <v>357.61</v>
      </c>
      <c r="O770" s="16">
        <v>473</v>
      </c>
      <c r="P770" s="14">
        <v>33</v>
      </c>
      <c r="Q770" s="14">
        <f t="shared" ref="Q770:Q833" si="12">M770*O770-P770</f>
        <v>440</v>
      </c>
      <c r="R770" s="1">
        <v>9</v>
      </c>
      <c r="S770" s="1">
        <v>200010020256</v>
      </c>
      <c r="T770" s="1">
        <v>29</v>
      </c>
      <c r="U770" s="1">
        <v>1</v>
      </c>
      <c r="V770" s="1">
        <v>2</v>
      </c>
    </row>
    <row r="771" spans="1:22" x14ac:dyDescent="0.25">
      <c r="A771" s="3">
        <v>44778</v>
      </c>
      <c r="B771" s="4">
        <v>0.3427546296296296</v>
      </c>
      <c r="C771" s="1">
        <v>1784</v>
      </c>
      <c r="D771" s="1">
        <v>13002616</v>
      </c>
      <c r="E771" s="1">
        <v>13</v>
      </c>
      <c r="F771" s="1">
        <v>22589</v>
      </c>
      <c r="G771" s="1" t="s">
        <v>21</v>
      </c>
      <c r="H771" s="1">
        <v>18</v>
      </c>
      <c r="I771" s="1">
        <v>11811</v>
      </c>
      <c r="J771" s="14" t="s">
        <v>558</v>
      </c>
      <c r="K771" s="1" t="s">
        <v>29</v>
      </c>
      <c r="L771" s="1" t="s">
        <v>78</v>
      </c>
      <c r="M771" s="14">
        <v>1</v>
      </c>
      <c r="N771" s="2">
        <v>360.53</v>
      </c>
      <c r="O771" s="16">
        <v>476</v>
      </c>
      <c r="P771" s="14">
        <v>0</v>
      </c>
      <c r="Q771" s="14">
        <f t="shared" si="12"/>
        <v>476</v>
      </c>
      <c r="R771" s="1" t="s">
        <v>25</v>
      </c>
      <c r="S771" s="1" t="s">
        <v>25</v>
      </c>
      <c r="T771" s="1">
        <v>50</v>
      </c>
      <c r="U771" s="1">
        <v>1</v>
      </c>
      <c r="V771" s="1">
        <v>1</v>
      </c>
    </row>
    <row r="772" spans="1:22" x14ac:dyDescent="0.25">
      <c r="A772" s="3">
        <v>44776</v>
      </c>
      <c r="B772" s="4">
        <v>0.69087962962962968</v>
      </c>
      <c r="C772" s="1">
        <v>1627</v>
      </c>
      <c r="D772" s="1">
        <v>13002595</v>
      </c>
      <c r="E772" s="1">
        <v>13</v>
      </c>
      <c r="F772" s="1">
        <v>22589</v>
      </c>
      <c r="G772" s="1" t="s">
        <v>21</v>
      </c>
      <c r="H772" s="1">
        <v>18</v>
      </c>
      <c r="I772" s="1">
        <v>3534</v>
      </c>
      <c r="J772" s="14" t="s">
        <v>881</v>
      </c>
      <c r="K772" s="1" t="s">
        <v>64</v>
      </c>
      <c r="L772" s="1" t="s">
        <v>882</v>
      </c>
      <c r="M772" s="14">
        <v>1</v>
      </c>
      <c r="N772" s="2">
        <v>296.8</v>
      </c>
      <c r="O772" s="16">
        <v>366</v>
      </c>
      <c r="P772" s="14">
        <v>18</v>
      </c>
      <c r="Q772" s="14">
        <f t="shared" si="12"/>
        <v>348</v>
      </c>
      <c r="R772" s="1">
        <v>9</v>
      </c>
      <c r="S772" s="1">
        <v>200010006183</v>
      </c>
      <c r="T772" s="1">
        <v>29</v>
      </c>
      <c r="U772" s="1">
        <v>1</v>
      </c>
      <c r="V772" s="1">
        <v>2</v>
      </c>
    </row>
    <row r="773" spans="1:22" x14ac:dyDescent="0.25">
      <c r="A773" s="3">
        <v>44777</v>
      </c>
      <c r="B773" s="4">
        <v>0.82451388888888888</v>
      </c>
      <c r="C773" s="1">
        <v>1777</v>
      </c>
      <c r="D773" s="1">
        <v>13002606</v>
      </c>
      <c r="E773" s="1">
        <v>13</v>
      </c>
      <c r="F773" s="1">
        <v>22589</v>
      </c>
      <c r="G773" s="1" t="s">
        <v>21</v>
      </c>
      <c r="H773" s="1">
        <v>18</v>
      </c>
      <c r="I773" s="1">
        <v>3534</v>
      </c>
      <c r="J773" s="14" t="s">
        <v>881</v>
      </c>
      <c r="K773" s="1" t="s">
        <v>48</v>
      </c>
      <c r="L773" s="1" t="s">
        <v>882</v>
      </c>
      <c r="M773" s="14">
        <v>1</v>
      </c>
      <c r="N773" s="2">
        <v>314.12</v>
      </c>
      <c r="O773" s="16">
        <v>383</v>
      </c>
      <c r="P773" s="14">
        <v>0</v>
      </c>
      <c r="Q773" s="14">
        <f t="shared" si="12"/>
        <v>383</v>
      </c>
      <c r="R773" s="1" t="s">
        <v>25</v>
      </c>
      <c r="S773" s="1" t="s">
        <v>25</v>
      </c>
      <c r="T773" s="1">
        <v>50</v>
      </c>
      <c r="U773" s="1">
        <v>1</v>
      </c>
      <c r="V773" s="1">
        <v>1</v>
      </c>
    </row>
    <row r="774" spans="1:22" x14ac:dyDescent="0.25">
      <c r="A774" s="3">
        <v>44776</v>
      </c>
      <c r="B774" s="4">
        <v>0.41375000000000001</v>
      </c>
      <c r="C774" s="1">
        <v>1547</v>
      </c>
      <c r="D774" s="1">
        <v>13002595</v>
      </c>
      <c r="E774" s="1">
        <v>13</v>
      </c>
      <c r="F774" s="1">
        <v>22589</v>
      </c>
      <c r="G774" s="1" t="s">
        <v>21</v>
      </c>
      <c r="H774" s="1">
        <v>15</v>
      </c>
      <c r="I774" s="1">
        <v>596246</v>
      </c>
      <c r="J774" s="14" t="s">
        <v>726</v>
      </c>
      <c r="K774" s="1" t="s">
        <v>141</v>
      </c>
      <c r="L774" s="1" t="s">
        <v>727</v>
      </c>
      <c r="M774" s="14">
        <v>1</v>
      </c>
      <c r="N774" s="2">
        <v>477.29</v>
      </c>
      <c r="O774" s="16">
        <v>631</v>
      </c>
      <c r="P774" s="14">
        <v>44</v>
      </c>
      <c r="Q774" s="14">
        <f t="shared" si="12"/>
        <v>587</v>
      </c>
      <c r="R774" s="1">
        <v>9</v>
      </c>
      <c r="S774" s="1">
        <v>200010001578</v>
      </c>
      <c r="T774" s="1">
        <v>29</v>
      </c>
      <c r="U774" s="1">
        <v>1</v>
      </c>
      <c r="V774" s="1">
        <v>1</v>
      </c>
    </row>
    <row r="775" spans="1:22" x14ac:dyDescent="0.25">
      <c r="A775" s="3">
        <v>44777</v>
      </c>
      <c r="B775" s="4">
        <v>0.79959490740740746</v>
      </c>
      <c r="C775" s="1">
        <v>1774</v>
      </c>
      <c r="D775" s="1">
        <v>13002606</v>
      </c>
      <c r="E775" s="1">
        <v>13</v>
      </c>
      <c r="F775" s="1">
        <v>22589</v>
      </c>
      <c r="G775" s="1" t="s">
        <v>21</v>
      </c>
      <c r="H775" s="1">
        <v>18</v>
      </c>
      <c r="I775" s="1">
        <v>506822</v>
      </c>
      <c r="J775" s="14" t="s">
        <v>1071</v>
      </c>
      <c r="K775" s="1" t="s">
        <v>34</v>
      </c>
      <c r="L775" s="1" t="s">
        <v>756</v>
      </c>
      <c r="M775" s="14">
        <v>1</v>
      </c>
      <c r="N775" s="2">
        <v>134.01</v>
      </c>
      <c r="O775" s="16">
        <v>162</v>
      </c>
      <c r="P775" s="14">
        <v>0</v>
      </c>
      <c r="Q775" s="14">
        <f t="shared" si="12"/>
        <v>162</v>
      </c>
      <c r="R775" s="1" t="s">
        <v>25</v>
      </c>
      <c r="S775" s="1" t="s">
        <v>25</v>
      </c>
      <c r="T775" s="1">
        <v>50</v>
      </c>
      <c r="U775" s="1">
        <v>1</v>
      </c>
      <c r="V775" s="1">
        <v>2</v>
      </c>
    </row>
    <row r="776" spans="1:22" x14ac:dyDescent="0.25">
      <c r="A776" s="3">
        <v>44776</v>
      </c>
      <c r="B776" s="4">
        <v>0.48781249999999998</v>
      </c>
      <c r="C776" s="1">
        <v>1570</v>
      </c>
      <c r="D776" s="1">
        <v>13002595</v>
      </c>
      <c r="E776" s="1">
        <v>13</v>
      </c>
      <c r="F776" s="1">
        <v>22589</v>
      </c>
      <c r="G776" s="1" t="s">
        <v>21</v>
      </c>
      <c r="H776" s="1">
        <v>18</v>
      </c>
      <c r="I776" s="1">
        <v>113562</v>
      </c>
      <c r="J776" s="14" t="s">
        <v>768</v>
      </c>
      <c r="K776" s="1" t="s">
        <v>34</v>
      </c>
      <c r="L776" s="1" t="s">
        <v>769</v>
      </c>
      <c r="M776" s="14">
        <v>1</v>
      </c>
      <c r="N776" s="2">
        <v>667.13</v>
      </c>
      <c r="O776" s="16">
        <v>861</v>
      </c>
      <c r="P776" s="14">
        <v>60</v>
      </c>
      <c r="Q776" s="14">
        <f t="shared" si="12"/>
        <v>801</v>
      </c>
      <c r="R776" s="1">
        <v>9</v>
      </c>
      <c r="S776" s="1">
        <v>200010026823</v>
      </c>
      <c r="T776" s="1">
        <v>29</v>
      </c>
      <c r="U776" s="1">
        <v>1</v>
      </c>
      <c r="V776" s="1">
        <v>5</v>
      </c>
    </row>
    <row r="777" spans="1:22" x14ac:dyDescent="0.25">
      <c r="A777" s="3">
        <v>44778</v>
      </c>
      <c r="B777" s="4">
        <v>0.64842592592592596</v>
      </c>
      <c r="C777" s="1">
        <v>1865</v>
      </c>
      <c r="D777" s="1">
        <v>13002616</v>
      </c>
      <c r="E777" s="1">
        <v>13</v>
      </c>
      <c r="F777" s="1">
        <v>22589</v>
      </c>
      <c r="G777" s="1" t="s">
        <v>21</v>
      </c>
      <c r="H777" s="1">
        <v>18</v>
      </c>
      <c r="I777" s="1">
        <v>141732</v>
      </c>
      <c r="J777" s="14" t="s">
        <v>1186</v>
      </c>
      <c r="K777" s="1" t="s">
        <v>34</v>
      </c>
      <c r="L777" s="1" t="s">
        <v>769</v>
      </c>
      <c r="M777" s="14">
        <v>0.2</v>
      </c>
      <c r="N777" s="2">
        <v>1581.29</v>
      </c>
      <c r="O777" s="16">
        <v>1945</v>
      </c>
      <c r="P777" s="14">
        <v>0</v>
      </c>
      <c r="Q777" s="14">
        <f t="shared" si="12"/>
        <v>389</v>
      </c>
      <c r="R777" s="1" t="s">
        <v>25</v>
      </c>
      <c r="S777" s="1" t="s">
        <v>25</v>
      </c>
      <c r="T777" s="1">
        <v>50</v>
      </c>
      <c r="U777" s="1">
        <v>1</v>
      </c>
      <c r="V777" s="1">
        <v>3</v>
      </c>
    </row>
    <row r="778" spans="1:22" x14ac:dyDescent="0.25">
      <c r="A778" s="3">
        <v>44776</v>
      </c>
      <c r="B778" s="4">
        <v>0.37939814814814815</v>
      </c>
      <c r="C778" s="1">
        <v>1544</v>
      </c>
      <c r="D778" s="1">
        <v>13002595</v>
      </c>
      <c r="E778" s="1">
        <v>13</v>
      </c>
      <c r="F778" s="1">
        <v>22589</v>
      </c>
      <c r="G778" s="1" t="s">
        <v>21</v>
      </c>
      <c r="H778" s="1">
        <v>15</v>
      </c>
      <c r="I778" s="1">
        <v>52492</v>
      </c>
      <c r="J778" s="14" t="s">
        <v>719</v>
      </c>
      <c r="K778" s="1" t="s">
        <v>23</v>
      </c>
      <c r="L778" s="1" t="s">
        <v>720</v>
      </c>
      <c r="M778" s="14">
        <v>0.5</v>
      </c>
      <c r="N778" s="2">
        <v>1418.27</v>
      </c>
      <c r="O778" s="16">
        <v>1773</v>
      </c>
      <c r="P778" s="14">
        <v>0</v>
      </c>
      <c r="Q778" s="14">
        <f t="shared" si="12"/>
        <v>886.5</v>
      </c>
      <c r="R778" s="1" t="s">
        <v>25</v>
      </c>
      <c r="S778" s="1" t="s">
        <v>25</v>
      </c>
      <c r="T778" s="1">
        <v>29</v>
      </c>
      <c r="U778" s="1">
        <v>1</v>
      </c>
      <c r="V778" s="1">
        <v>3</v>
      </c>
    </row>
    <row r="779" spans="1:22" x14ac:dyDescent="0.25">
      <c r="A779" s="3">
        <v>44778</v>
      </c>
      <c r="B779" s="4">
        <v>0.59703703703703703</v>
      </c>
      <c r="C779" s="1">
        <v>1853</v>
      </c>
      <c r="D779" s="1">
        <v>13002616</v>
      </c>
      <c r="E779" s="1">
        <v>13</v>
      </c>
      <c r="F779" s="1">
        <v>22589</v>
      </c>
      <c r="G779" s="1" t="s">
        <v>21</v>
      </c>
      <c r="H779" s="1">
        <v>18</v>
      </c>
      <c r="I779" s="1">
        <v>51103</v>
      </c>
      <c r="J779" s="14" t="s">
        <v>1173</v>
      </c>
      <c r="K779" s="1" t="s">
        <v>29</v>
      </c>
      <c r="L779" s="1" t="s">
        <v>1174</v>
      </c>
      <c r="M779" s="14">
        <v>1</v>
      </c>
      <c r="N779" s="2">
        <v>443.52</v>
      </c>
      <c r="O779" s="16">
        <v>497</v>
      </c>
      <c r="P779" s="14">
        <v>34</v>
      </c>
      <c r="Q779" s="14">
        <f t="shared" si="12"/>
        <v>463</v>
      </c>
      <c r="R779" s="1">
        <v>9</v>
      </c>
      <c r="S779" s="1">
        <v>200010023020</v>
      </c>
      <c r="T779" s="1">
        <v>50</v>
      </c>
      <c r="U779" s="1">
        <v>1</v>
      </c>
      <c r="V779" s="1">
        <v>2</v>
      </c>
    </row>
    <row r="780" spans="1:22" x14ac:dyDescent="0.25">
      <c r="A780" s="3">
        <v>44775</v>
      </c>
      <c r="B780" s="4">
        <v>0.69490740740740742</v>
      </c>
      <c r="C780" s="1">
        <v>1498</v>
      </c>
      <c r="D780" s="1">
        <v>13002581</v>
      </c>
      <c r="E780" s="1">
        <v>13</v>
      </c>
      <c r="F780" s="1">
        <v>22589</v>
      </c>
      <c r="G780" s="1" t="s">
        <v>21</v>
      </c>
      <c r="H780" s="1">
        <v>18</v>
      </c>
      <c r="I780" s="1">
        <v>265690</v>
      </c>
      <c r="J780" s="14" t="s">
        <v>643</v>
      </c>
      <c r="K780" s="1" t="s">
        <v>117</v>
      </c>
      <c r="L780" s="1" t="s">
        <v>368</v>
      </c>
      <c r="M780" s="14">
        <v>1</v>
      </c>
      <c r="N780" s="2">
        <v>55.06</v>
      </c>
      <c r="O780" s="16">
        <v>87</v>
      </c>
      <c r="P780" s="14">
        <v>8</v>
      </c>
      <c r="Q780" s="14">
        <f t="shared" si="12"/>
        <v>79</v>
      </c>
      <c r="R780" s="1">
        <v>9</v>
      </c>
      <c r="S780" s="1">
        <v>200010012147</v>
      </c>
      <c r="T780" s="1">
        <v>29</v>
      </c>
      <c r="U780" s="1">
        <v>1</v>
      </c>
      <c r="V780" s="1">
        <v>3</v>
      </c>
    </row>
    <row r="781" spans="1:22" x14ac:dyDescent="0.25">
      <c r="A781" s="3">
        <v>44775</v>
      </c>
      <c r="B781" s="4">
        <v>0.49481481481481482</v>
      </c>
      <c r="C781" s="1">
        <v>1451</v>
      </c>
      <c r="D781" s="1">
        <v>13002581</v>
      </c>
      <c r="E781" s="1">
        <v>13</v>
      </c>
      <c r="F781" s="1">
        <v>22589</v>
      </c>
      <c r="G781" s="1" t="s">
        <v>21</v>
      </c>
      <c r="H781" s="1">
        <v>18</v>
      </c>
      <c r="I781" s="1">
        <v>90385</v>
      </c>
      <c r="J781" s="14" t="s">
        <v>549</v>
      </c>
      <c r="K781" s="1" t="s">
        <v>51</v>
      </c>
      <c r="L781" s="1" t="s">
        <v>368</v>
      </c>
      <c r="M781" s="14">
        <v>1</v>
      </c>
      <c r="N781" s="2">
        <v>35.049999999999997</v>
      </c>
      <c r="O781" s="16">
        <v>57</v>
      </c>
      <c r="P781" s="14">
        <v>0</v>
      </c>
      <c r="Q781" s="14">
        <f t="shared" si="12"/>
        <v>57</v>
      </c>
      <c r="R781" s="1" t="s">
        <v>25</v>
      </c>
      <c r="S781" s="1" t="s">
        <v>25</v>
      </c>
      <c r="T781" s="1">
        <v>29</v>
      </c>
      <c r="U781" s="1">
        <v>1</v>
      </c>
      <c r="V781" s="1">
        <v>2</v>
      </c>
    </row>
    <row r="782" spans="1:22" x14ac:dyDescent="0.25">
      <c r="A782" s="3">
        <v>44777</v>
      </c>
      <c r="B782" s="4">
        <v>0.75688657407407411</v>
      </c>
      <c r="C782" s="1">
        <v>1766</v>
      </c>
      <c r="D782" s="1">
        <v>13002606</v>
      </c>
      <c r="E782" s="1">
        <v>13</v>
      </c>
      <c r="F782" s="1">
        <v>22589</v>
      </c>
      <c r="G782" s="1" t="s">
        <v>21</v>
      </c>
      <c r="H782" s="1">
        <v>18</v>
      </c>
      <c r="I782" s="1">
        <v>265097</v>
      </c>
      <c r="J782" s="14" t="s">
        <v>1062</v>
      </c>
      <c r="K782" s="1" t="s">
        <v>61</v>
      </c>
      <c r="L782" s="1" t="s">
        <v>368</v>
      </c>
      <c r="M782" s="14">
        <v>1</v>
      </c>
      <c r="N782" s="2">
        <v>258.66000000000003</v>
      </c>
      <c r="O782" s="16">
        <v>394</v>
      </c>
      <c r="P782" s="14">
        <v>39</v>
      </c>
      <c r="Q782" s="14">
        <f t="shared" si="12"/>
        <v>355</v>
      </c>
      <c r="R782" s="1">
        <v>9</v>
      </c>
      <c r="S782" s="1">
        <v>200010012137</v>
      </c>
      <c r="T782" s="1">
        <v>50</v>
      </c>
      <c r="U782" s="1">
        <v>1</v>
      </c>
      <c r="V782" s="1">
        <v>1</v>
      </c>
    </row>
    <row r="783" spans="1:22" x14ac:dyDescent="0.25">
      <c r="A783" s="3">
        <v>44774</v>
      </c>
      <c r="B783" s="4">
        <v>0.67701388888888892</v>
      </c>
      <c r="C783" s="1">
        <v>1371</v>
      </c>
      <c r="D783" s="1">
        <v>13002561</v>
      </c>
      <c r="E783" s="1">
        <v>13</v>
      </c>
      <c r="F783" s="1">
        <v>22589</v>
      </c>
      <c r="G783" s="1" t="s">
        <v>21</v>
      </c>
      <c r="H783" s="1">
        <v>15</v>
      </c>
      <c r="I783" s="1">
        <v>161749</v>
      </c>
      <c r="J783" s="14" t="s">
        <v>367</v>
      </c>
      <c r="K783" s="1" t="s">
        <v>117</v>
      </c>
      <c r="L783" s="1" t="s">
        <v>368</v>
      </c>
      <c r="M783" s="14">
        <v>1</v>
      </c>
      <c r="N783" s="2">
        <v>94.92</v>
      </c>
      <c r="O783" s="16">
        <v>164</v>
      </c>
      <c r="P783" s="14">
        <v>16</v>
      </c>
      <c r="Q783" s="14">
        <f t="shared" si="12"/>
        <v>148</v>
      </c>
      <c r="R783" s="1">
        <v>9</v>
      </c>
      <c r="S783" s="1">
        <v>200010022477</v>
      </c>
      <c r="T783" s="1">
        <v>29</v>
      </c>
      <c r="U783" s="1">
        <v>1</v>
      </c>
      <c r="V783" s="1">
        <v>1</v>
      </c>
    </row>
    <row r="784" spans="1:22" x14ac:dyDescent="0.25">
      <c r="A784" s="3">
        <v>44775</v>
      </c>
      <c r="B784" s="4">
        <v>0.78771990740740738</v>
      </c>
      <c r="C784" s="1">
        <v>1527</v>
      </c>
      <c r="D784" s="1">
        <v>13002581</v>
      </c>
      <c r="E784" s="1">
        <v>13</v>
      </c>
      <c r="F784" s="1">
        <v>22589</v>
      </c>
      <c r="G784" s="1" t="s">
        <v>21</v>
      </c>
      <c r="H784" s="1">
        <v>18</v>
      </c>
      <c r="I784" s="1">
        <v>3147</v>
      </c>
      <c r="J784" s="14" t="s">
        <v>687</v>
      </c>
      <c r="K784" s="1" t="s">
        <v>117</v>
      </c>
      <c r="L784" s="1" t="s">
        <v>688</v>
      </c>
      <c r="M784" s="14">
        <v>1</v>
      </c>
      <c r="N784" s="2">
        <v>633.61</v>
      </c>
      <c r="O784" s="16">
        <v>818</v>
      </c>
      <c r="P784" s="14">
        <v>57</v>
      </c>
      <c r="Q784" s="14">
        <f t="shared" si="12"/>
        <v>761</v>
      </c>
      <c r="R784" s="1">
        <v>9</v>
      </c>
      <c r="S784" s="1">
        <v>200010020455</v>
      </c>
      <c r="T784" s="1">
        <v>29</v>
      </c>
      <c r="U784" s="1">
        <v>1</v>
      </c>
      <c r="V784" s="1">
        <v>10</v>
      </c>
    </row>
    <row r="785" spans="1:22" x14ac:dyDescent="0.25">
      <c r="A785" s="3">
        <v>44775</v>
      </c>
      <c r="B785" s="4">
        <v>0.49568287037037034</v>
      </c>
      <c r="C785" s="1">
        <v>1452</v>
      </c>
      <c r="D785" s="1">
        <v>13002581</v>
      </c>
      <c r="E785" s="1">
        <v>13</v>
      </c>
      <c r="F785" s="1">
        <v>22589</v>
      </c>
      <c r="G785" s="1" t="s">
        <v>21</v>
      </c>
      <c r="H785" s="1">
        <v>15</v>
      </c>
      <c r="I785" s="1">
        <v>9937</v>
      </c>
      <c r="J785" s="14" t="s">
        <v>550</v>
      </c>
      <c r="K785" s="1" t="s">
        <v>117</v>
      </c>
      <c r="L785" s="1" t="s">
        <v>80</v>
      </c>
      <c r="M785" s="14">
        <v>1</v>
      </c>
      <c r="N785" s="2">
        <v>31.28</v>
      </c>
      <c r="O785" s="16">
        <v>54</v>
      </c>
      <c r="P785" s="14">
        <v>0</v>
      </c>
      <c r="Q785" s="14">
        <f t="shared" si="12"/>
        <v>54</v>
      </c>
      <c r="R785" s="1" t="s">
        <v>25</v>
      </c>
      <c r="S785" s="1" t="s">
        <v>25</v>
      </c>
      <c r="T785" s="1">
        <v>29</v>
      </c>
      <c r="U785" s="1">
        <v>1</v>
      </c>
      <c r="V785" s="1">
        <v>2</v>
      </c>
    </row>
    <row r="786" spans="1:22" x14ac:dyDescent="0.25">
      <c r="A786" s="3">
        <v>44774</v>
      </c>
      <c r="B786" s="4">
        <v>0.7457407407407407</v>
      </c>
      <c r="C786" s="1">
        <v>1394</v>
      </c>
      <c r="D786" s="1">
        <v>13002561</v>
      </c>
      <c r="E786" s="1">
        <v>13</v>
      </c>
      <c r="F786" s="1">
        <v>22589</v>
      </c>
      <c r="G786" s="1" t="s">
        <v>21</v>
      </c>
      <c r="H786" s="1">
        <v>18</v>
      </c>
      <c r="I786" s="1">
        <v>127007</v>
      </c>
      <c r="J786" s="14" t="s">
        <v>426</v>
      </c>
      <c r="K786" s="1" t="s">
        <v>51</v>
      </c>
      <c r="L786" s="1" t="s">
        <v>80</v>
      </c>
      <c r="M786" s="14">
        <v>1</v>
      </c>
      <c r="N786" s="2">
        <v>125.44</v>
      </c>
      <c r="O786" s="16">
        <v>195</v>
      </c>
      <c r="P786" s="14">
        <v>0</v>
      </c>
      <c r="Q786" s="14">
        <f t="shared" si="12"/>
        <v>195</v>
      </c>
      <c r="R786" s="1" t="s">
        <v>25</v>
      </c>
      <c r="S786" s="1" t="s">
        <v>25</v>
      </c>
      <c r="T786" s="1">
        <v>29</v>
      </c>
      <c r="U786" s="1">
        <v>1</v>
      </c>
      <c r="V786" s="1">
        <v>2</v>
      </c>
    </row>
    <row r="787" spans="1:22" x14ac:dyDescent="0.25">
      <c r="A787" s="3">
        <v>44776</v>
      </c>
      <c r="B787" s="4">
        <v>0.53388888888888886</v>
      </c>
      <c r="C787" s="1">
        <v>1587</v>
      </c>
      <c r="D787" s="1">
        <v>13002595</v>
      </c>
      <c r="E787" s="1">
        <v>13</v>
      </c>
      <c r="F787" s="1">
        <v>22589</v>
      </c>
      <c r="G787" s="1" t="s">
        <v>21</v>
      </c>
      <c r="H787" s="1">
        <v>15</v>
      </c>
      <c r="I787" s="1">
        <v>540835</v>
      </c>
      <c r="J787" s="14" t="s">
        <v>813</v>
      </c>
      <c r="K787" s="1" t="s">
        <v>34</v>
      </c>
      <c r="L787" s="1" t="s">
        <v>80</v>
      </c>
      <c r="M787" s="14">
        <v>1</v>
      </c>
      <c r="N787" s="2">
        <v>152.04</v>
      </c>
      <c r="O787" s="16">
        <v>236</v>
      </c>
      <c r="P787" s="14">
        <v>0</v>
      </c>
      <c r="Q787" s="14">
        <f t="shared" si="12"/>
        <v>236</v>
      </c>
      <c r="R787" s="1" t="s">
        <v>25</v>
      </c>
      <c r="S787" s="1" t="s">
        <v>25</v>
      </c>
      <c r="T787" s="1">
        <v>29</v>
      </c>
      <c r="U787" s="1">
        <v>1</v>
      </c>
      <c r="V787" s="1">
        <v>3</v>
      </c>
    </row>
    <row r="788" spans="1:22" x14ac:dyDescent="0.25">
      <c r="A788" s="3">
        <v>44776</v>
      </c>
      <c r="B788" s="4">
        <v>0.53388888888888886</v>
      </c>
      <c r="C788" s="1">
        <v>1587</v>
      </c>
      <c r="D788" s="1">
        <v>13002595</v>
      </c>
      <c r="E788" s="1">
        <v>13</v>
      </c>
      <c r="F788" s="1">
        <v>22589</v>
      </c>
      <c r="G788" s="1" t="s">
        <v>21</v>
      </c>
      <c r="H788" s="1">
        <v>15</v>
      </c>
      <c r="I788" s="1">
        <v>59689</v>
      </c>
      <c r="J788" s="14" t="s">
        <v>815</v>
      </c>
      <c r="K788" s="1" t="s">
        <v>64</v>
      </c>
      <c r="L788" s="1" t="s">
        <v>80</v>
      </c>
      <c r="M788" s="14">
        <v>1</v>
      </c>
      <c r="N788" s="2">
        <v>61.96</v>
      </c>
      <c r="O788" s="16">
        <v>98</v>
      </c>
      <c r="P788" s="14">
        <v>0</v>
      </c>
      <c r="Q788" s="14">
        <f t="shared" si="12"/>
        <v>98</v>
      </c>
      <c r="R788" s="1" t="s">
        <v>25</v>
      </c>
      <c r="S788" s="1" t="s">
        <v>25</v>
      </c>
      <c r="T788" s="1">
        <v>29</v>
      </c>
      <c r="U788" s="1">
        <v>1</v>
      </c>
      <c r="V788" s="1">
        <v>4</v>
      </c>
    </row>
    <row r="789" spans="1:22" x14ac:dyDescent="0.25">
      <c r="A789" s="3">
        <v>44776</v>
      </c>
      <c r="B789" s="4">
        <v>0.53388888888888886</v>
      </c>
      <c r="C789" s="1">
        <v>1587</v>
      </c>
      <c r="D789" s="1">
        <v>13002595</v>
      </c>
      <c r="E789" s="1">
        <v>13</v>
      </c>
      <c r="F789" s="1">
        <v>22589</v>
      </c>
      <c r="G789" s="1" t="s">
        <v>21</v>
      </c>
      <c r="H789" s="1">
        <v>15</v>
      </c>
      <c r="I789" s="1">
        <v>13911</v>
      </c>
      <c r="J789" s="14" t="s">
        <v>814</v>
      </c>
      <c r="K789" s="1" t="s">
        <v>51</v>
      </c>
      <c r="L789" s="1" t="s">
        <v>80</v>
      </c>
      <c r="M789" s="14">
        <v>1</v>
      </c>
      <c r="N789" s="2">
        <v>66.2</v>
      </c>
      <c r="O789" s="16">
        <v>104</v>
      </c>
      <c r="P789" s="14">
        <v>0</v>
      </c>
      <c r="Q789" s="14">
        <f t="shared" si="12"/>
        <v>104</v>
      </c>
      <c r="R789" s="1" t="s">
        <v>25</v>
      </c>
      <c r="S789" s="1" t="s">
        <v>25</v>
      </c>
      <c r="T789" s="1">
        <v>29</v>
      </c>
      <c r="U789" s="1">
        <v>1</v>
      </c>
      <c r="V789" s="1">
        <v>5</v>
      </c>
    </row>
    <row r="790" spans="1:22" x14ac:dyDescent="0.25">
      <c r="A790" s="3">
        <v>44774</v>
      </c>
      <c r="B790" s="4">
        <v>0.79040509259259262</v>
      </c>
      <c r="C790" s="1">
        <v>1405</v>
      </c>
      <c r="D790" s="1">
        <v>13002561</v>
      </c>
      <c r="E790" s="1">
        <v>13</v>
      </c>
      <c r="F790" s="1">
        <v>22589</v>
      </c>
      <c r="G790" s="1" t="s">
        <v>21</v>
      </c>
      <c r="H790" s="1">
        <v>18</v>
      </c>
      <c r="I790" s="1">
        <v>280592</v>
      </c>
      <c r="J790" s="14" t="s">
        <v>457</v>
      </c>
      <c r="K790" s="1" t="s">
        <v>51</v>
      </c>
      <c r="L790" s="1" t="s">
        <v>458</v>
      </c>
      <c r="M790" s="14">
        <v>1</v>
      </c>
      <c r="N790" s="2">
        <v>154.13</v>
      </c>
      <c r="O790" s="16">
        <v>239</v>
      </c>
      <c r="P790" s="14">
        <v>0</v>
      </c>
      <c r="Q790" s="14">
        <f t="shared" si="12"/>
        <v>239</v>
      </c>
      <c r="R790" s="1" t="s">
        <v>25</v>
      </c>
      <c r="S790" s="1" t="s">
        <v>25</v>
      </c>
      <c r="T790" s="1">
        <v>29</v>
      </c>
      <c r="U790" s="1">
        <v>1</v>
      </c>
      <c r="V790" s="1">
        <v>6</v>
      </c>
    </row>
    <row r="791" spans="1:22" x14ac:dyDescent="0.25">
      <c r="A791" s="3">
        <v>44776</v>
      </c>
      <c r="B791" s="4">
        <v>0.52491898148148153</v>
      </c>
      <c r="C791" s="1">
        <v>1584</v>
      </c>
      <c r="D791" s="1">
        <v>13002595</v>
      </c>
      <c r="E791" s="1">
        <v>13</v>
      </c>
      <c r="F791" s="1">
        <v>22589</v>
      </c>
      <c r="G791" s="1" t="s">
        <v>21</v>
      </c>
      <c r="H791" s="1">
        <v>15</v>
      </c>
      <c r="I791" s="1">
        <v>303829</v>
      </c>
      <c r="J791" s="14" t="s">
        <v>806</v>
      </c>
      <c r="K791" s="1" t="s">
        <v>23</v>
      </c>
      <c r="L791" s="1" t="s">
        <v>37</v>
      </c>
      <c r="M791" s="14">
        <v>1</v>
      </c>
      <c r="N791" s="2">
        <v>226.01</v>
      </c>
      <c r="O791" s="16">
        <v>281</v>
      </c>
      <c r="P791" s="14">
        <v>14</v>
      </c>
      <c r="Q791" s="14">
        <f t="shared" si="12"/>
        <v>267</v>
      </c>
      <c r="R791" s="1">
        <v>9</v>
      </c>
      <c r="S791" s="1">
        <v>200010010278</v>
      </c>
      <c r="T791" s="1">
        <v>29</v>
      </c>
      <c r="U791" s="1">
        <v>1</v>
      </c>
      <c r="V791" s="1">
        <v>3</v>
      </c>
    </row>
    <row r="792" spans="1:22" x14ac:dyDescent="0.25">
      <c r="A792" s="3">
        <v>44778</v>
      </c>
      <c r="B792" s="4">
        <v>0.50062499999999999</v>
      </c>
      <c r="C792" s="1">
        <v>1829</v>
      </c>
      <c r="D792" s="1">
        <v>13002616</v>
      </c>
      <c r="E792" s="1">
        <v>13</v>
      </c>
      <c r="F792" s="1">
        <v>22589</v>
      </c>
      <c r="G792" s="1" t="s">
        <v>21</v>
      </c>
      <c r="H792" s="1">
        <v>18</v>
      </c>
      <c r="I792" s="1">
        <v>303829</v>
      </c>
      <c r="J792" s="14" t="s">
        <v>806</v>
      </c>
      <c r="K792" s="1" t="s">
        <v>23</v>
      </c>
      <c r="L792" s="1" t="s">
        <v>37</v>
      </c>
      <c r="M792" s="14">
        <v>1</v>
      </c>
      <c r="N792" s="2">
        <v>226.01</v>
      </c>
      <c r="O792" s="16">
        <v>281</v>
      </c>
      <c r="P792" s="14">
        <v>14</v>
      </c>
      <c r="Q792" s="14">
        <f t="shared" si="12"/>
        <v>267</v>
      </c>
      <c r="R792" s="1">
        <v>9</v>
      </c>
      <c r="S792" s="1">
        <v>200010002734</v>
      </c>
      <c r="T792" s="1">
        <v>50</v>
      </c>
      <c r="U792" s="1">
        <v>1</v>
      </c>
      <c r="V792" s="1">
        <v>3</v>
      </c>
    </row>
    <row r="793" spans="1:22" x14ac:dyDescent="0.25">
      <c r="A793" s="3">
        <v>44778</v>
      </c>
      <c r="B793" s="4">
        <v>0.58674768518518516</v>
      </c>
      <c r="C793" s="1">
        <v>1850</v>
      </c>
      <c r="D793" s="1">
        <v>13002616</v>
      </c>
      <c r="E793" s="1">
        <v>13</v>
      </c>
      <c r="F793" s="1">
        <v>22589</v>
      </c>
      <c r="G793" s="1" t="s">
        <v>21</v>
      </c>
      <c r="H793" s="1">
        <v>15</v>
      </c>
      <c r="I793" s="1">
        <v>336869</v>
      </c>
      <c r="J793" s="14" t="s">
        <v>1164</v>
      </c>
      <c r="K793" s="1" t="s">
        <v>51</v>
      </c>
      <c r="L793" s="1" t="s">
        <v>1165</v>
      </c>
      <c r="M793" s="14">
        <v>1</v>
      </c>
      <c r="N793" s="2">
        <v>323.60000000000002</v>
      </c>
      <c r="O793" s="16">
        <v>428</v>
      </c>
      <c r="P793" s="14">
        <v>0</v>
      </c>
      <c r="Q793" s="14">
        <f t="shared" si="12"/>
        <v>428</v>
      </c>
      <c r="R793" s="1" t="s">
        <v>25</v>
      </c>
      <c r="S793" s="1" t="s">
        <v>25</v>
      </c>
      <c r="T793" s="1">
        <v>50</v>
      </c>
      <c r="U793" s="1">
        <v>1</v>
      </c>
      <c r="V793" s="1">
        <v>2</v>
      </c>
    </row>
    <row r="794" spans="1:22" x14ac:dyDescent="0.25">
      <c r="A794" s="3">
        <v>44776</v>
      </c>
      <c r="B794" s="4">
        <v>0.41524305555555557</v>
      </c>
      <c r="C794" s="1">
        <v>1548</v>
      </c>
      <c r="D794" s="1">
        <v>13002595</v>
      </c>
      <c r="E794" s="1">
        <v>13</v>
      </c>
      <c r="F794" s="1">
        <v>22589</v>
      </c>
      <c r="G794" s="1" t="s">
        <v>21</v>
      </c>
      <c r="H794" s="1">
        <v>15</v>
      </c>
      <c r="I794" s="1">
        <v>511366</v>
      </c>
      <c r="J794" s="14" t="s">
        <v>728</v>
      </c>
      <c r="K794" s="1" t="s">
        <v>51</v>
      </c>
      <c r="L794" s="1" t="s">
        <v>729</v>
      </c>
      <c r="M794" s="14">
        <v>1</v>
      </c>
      <c r="N794" s="2">
        <v>236.27</v>
      </c>
      <c r="O794" s="16">
        <v>319</v>
      </c>
      <c r="P794" s="14">
        <v>0</v>
      </c>
      <c r="Q794" s="14">
        <f t="shared" si="12"/>
        <v>319</v>
      </c>
      <c r="R794" s="1" t="s">
        <v>25</v>
      </c>
      <c r="S794" s="1" t="s">
        <v>25</v>
      </c>
      <c r="T794" s="1">
        <v>29</v>
      </c>
      <c r="U794" s="1">
        <v>1</v>
      </c>
      <c r="V794" s="1">
        <v>1</v>
      </c>
    </row>
    <row r="795" spans="1:22" x14ac:dyDescent="0.25">
      <c r="A795" s="3">
        <v>44775</v>
      </c>
      <c r="B795" s="4">
        <v>0.52030092592592592</v>
      </c>
      <c r="C795" s="1">
        <v>1462</v>
      </c>
      <c r="D795" s="1">
        <v>13002581</v>
      </c>
      <c r="E795" s="1">
        <v>13</v>
      </c>
      <c r="F795" s="1">
        <v>22589</v>
      </c>
      <c r="G795" s="1" t="s">
        <v>21</v>
      </c>
      <c r="H795" s="1">
        <v>15</v>
      </c>
      <c r="I795" s="1">
        <v>406428</v>
      </c>
      <c r="J795" s="14" t="s">
        <v>569</v>
      </c>
      <c r="K795" s="1" t="s">
        <v>51</v>
      </c>
      <c r="L795" s="1" t="s">
        <v>76</v>
      </c>
      <c r="M795" s="14">
        <v>1</v>
      </c>
      <c r="N795" s="2">
        <v>42.56</v>
      </c>
      <c r="O795" s="16">
        <v>65</v>
      </c>
      <c r="P795" s="14">
        <v>4</v>
      </c>
      <c r="Q795" s="14">
        <f t="shared" si="12"/>
        <v>61</v>
      </c>
      <c r="R795" s="1">
        <v>9</v>
      </c>
      <c r="S795" s="1">
        <v>200010009449</v>
      </c>
      <c r="T795" s="1">
        <v>29</v>
      </c>
      <c r="U795" s="1">
        <v>1</v>
      </c>
      <c r="V795" s="1">
        <v>1</v>
      </c>
    </row>
    <row r="796" spans="1:22" x14ac:dyDescent="0.25">
      <c r="A796" s="3">
        <v>44775</v>
      </c>
      <c r="B796" s="4">
        <v>0.52030092592592592</v>
      </c>
      <c r="C796" s="1">
        <v>1462</v>
      </c>
      <c r="D796" s="1">
        <v>13002581</v>
      </c>
      <c r="E796" s="1">
        <v>13</v>
      </c>
      <c r="F796" s="1">
        <v>22589</v>
      </c>
      <c r="G796" s="1" t="s">
        <v>21</v>
      </c>
      <c r="H796" s="1">
        <v>15</v>
      </c>
      <c r="I796" s="1">
        <v>406428</v>
      </c>
      <c r="J796" s="14" t="s">
        <v>569</v>
      </c>
      <c r="K796" s="1" t="s">
        <v>51</v>
      </c>
      <c r="L796" s="1" t="s">
        <v>76</v>
      </c>
      <c r="M796" s="14">
        <v>1</v>
      </c>
      <c r="N796" s="2">
        <v>42.56</v>
      </c>
      <c r="O796" s="16">
        <v>65</v>
      </c>
      <c r="P796" s="14">
        <v>4</v>
      </c>
      <c r="Q796" s="14">
        <f t="shared" si="12"/>
        <v>61</v>
      </c>
      <c r="R796" s="1">
        <v>9</v>
      </c>
      <c r="S796" s="1">
        <v>200010009449</v>
      </c>
      <c r="T796" s="1">
        <v>29</v>
      </c>
      <c r="U796" s="1">
        <v>1</v>
      </c>
      <c r="V796" s="1">
        <v>2</v>
      </c>
    </row>
    <row r="797" spans="1:22" x14ac:dyDescent="0.25">
      <c r="A797" s="3">
        <v>44775</v>
      </c>
      <c r="B797" s="4">
        <v>0.67112268518518514</v>
      </c>
      <c r="C797" s="1">
        <v>1492</v>
      </c>
      <c r="D797" s="1">
        <v>13002581</v>
      </c>
      <c r="E797" s="1">
        <v>13</v>
      </c>
      <c r="F797" s="1">
        <v>22589</v>
      </c>
      <c r="G797" s="1" t="s">
        <v>21</v>
      </c>
      <c r="H797" s="1">
        <v>18</v>
      </c>
      <c r="I797" s="1">
        <v>261433</v>
      </c>
      <c r="J797" s="14" t="s">
        <v>635</v>
      </c>
      <c r="K797" s="1" t="s">
        <v>51</v>
      </c>
      <c r="L797" s="1" t="s">
        <v>65</v>
      </c>
      <c r="M797" s="14">
        <v>1</v>
      </c>
      <c r="N797" s="2">
        <v>70.22</v>
      </c>
      <c r="O797" s="16">
        <v>100</v>
      </c>
      <c r="P797" s="14">
        <v>7</v>
      </c>
      <c r="Q797" s="14">
        <f t="shared" si="12"/>
        <v>93</v>
      </c>
      <c r="R797" s="1">
        <v>9</v>
      </c>
      <c r="S797" s="1">
        <v>200010026807</v>
      </c>
      <c r="T797" s="1">
        <v>29</v>
      </c>
      <c r="U797" s="1">
        <v>1</v>
      </c>
      <c r="V797" s="1">
        <v>2</v>
      </c>
    </row>
    <row r="798" spans="1:22" x14ac:dyDescent="0.25">
      <c r="A798" s="3">
        <v>44776</v>
      </c>
      <c r="B798" s="4">
        <v>0.5942708333333333</v>
      </c>
      <c r="C798" s="1">
        <v>1608</v>
      </c>
      <c r="D798" s="1">
        <v>13002595</v>
      </c>
      <c r="E798" s="1">
        <v>13</v>
      </c>
      <c r="F798" s="1">
        <v>22589</v>
      </c>
      <c r="G798" s="1" t="s">
        <v>21</v>
      </c>
      <c r="H798" s="1">
        <v>18</v>
      </c>
      <c r="I798" s="1">
        <v>2448</v>
      </c>
      <c r="J798" s="14" t="s">
        <v>851</v>
      </c>
      <c r="K798" s="1" t="s">
        <v>23</v>
      </c>
      <c r="L798" s="1" t="s">
        <v>852</v>
      </c>
      <c r="M798" s="14">
        <v>1</v>
      </c>
      <c r="N798" s="2">
        <v>155.83000000000001</v>
      </c>
      <c r="O798" s="16">
        <v>214</v>
      </c>
      <c r="P798" s="14">
        <v>14</v>
      </c>
      <c r="Q798" s="14">
        <f t="shared" si="12"/>
        <v>200</v>
      </c>
      <c r="R798" s="1">
        <v>9</v>
      </c>
      <c r="S798" s="1">
        <v>200010020930</v>
      </c>
      <c r="T798" s="1">
        <v>29</v>
      </c>
      <c r="U798" s="1">
        <v>1</v>
      </c>
      <c r="V798" s="1">
        <v>2</v>
      </c>
    </row>
    <row r="799" spans="1:22" x14ac:dyDescent="0.25">
      <c r="A799" s="3">
        <v>44778</v>
      </c>
      <c r="B799" s="4">
        <v>0.37512731481481482</v>
      </c>
      <c r="C799" s="1">
        <v>1790</v>
      </c>
      <c r="D799" s="1">
        <v>13002616</v>
      </c>
      <c r="E799" s="1">
        <v>13</v>
      </c>
      <c r="F799" s="1">
        <v>22589</v>
      </c>
      <c r="G799" s="1" t="s">
        <v>21</v>
      </c>
      <c r="H799" s="1">
        <v>18</v>
      </c>
      <c r="I799" s="1">
        <v>157882</v>
      </c>
      <c r="J799" s="14" t="s">
        <v>1086</v>
      </c>
      <c r="K799" s="1" t="s">
        <v>23</v>
      </c>
      <c r="L799" s="1" t="s">
        <v>1087</v>
      </c>
      <c r="M799" s="14">
        <v>1</v>
      </c>
      <c r="N799" s="2">
        <v>203.54</v>
      </c>
      <c r="O799" s="16">
        <v>275</v>
      </c>
      <c r="P799" s="14">
        <v>0</v>
      </c>
      <c r="Q799" s="14">
        <f t="shared" si="12"/>
        <v>275</v>
      </c>
      <c r="R799" s="1" t="s">
        <v>25</v>
      </c>
      <c r="S799" s="1" t="s">
        <v>25</v>
      </c>
      <c r="T799" s="1">
        <v>50</v>
      </c>
      <c r="U799" s="1">
        <v>1</v>
      </c>
      <c r="V799" s="1">
        <v>1</v>
      </c>
    </row>
    <row r="800" spans="1:22" x14ac:dyDescent="0.25">
      <c r="A800" s="3">
        <v>44778</v>
      </c>
      <c r="B800" s="4">
        <v>0.4886226851851852</v>
      </c>
      <c r="C800" s="1">
        <v>1824</v>
      </c>
      <c r="D800" s="1">
        <v>13002616</v>
      </c>
      <c r="E800" s="1">
        <v>13</v>
      </c>
      <c r="F800" s="1">
        <v>22589</v>
      </c>
      <c r="G800" s="1" t="s">
        <v>21</v>
      </c>
      <c r="H800" s="1">
        <v>18</v>
      </c>
      <c r="I800" s="1">
        <v>5571</v>
      </c>
      <c r="J800" s="14" t="s">
        <v>1117</v>
      </c>
      <c r="K800" s="1" t="s">
        <v>23</v>
      </c>
      <c r="L800" s="1" t="s">
        <v>1118</v>
      </c>
      <c r="M800" s="14">
        <v>1</v>
      </c>
      <c r="N800" s="2">
        <v>890.84</v>
      </c>
      <c r="O800" s="16">
        <v>1150</v>
      </c>
      <c r="P800" s="14">
        <v>80</v>
      </c>
      <c r="Q800" s="14">
        <f t="shared" si="12"/>
        <v>1070</v>
      </c>
      <c r="R800" s="1">
        <v>9</v>
      </c>
      <c r="S800" s="1">
        <v>200010015871</v>
      </c>
      <c r="T800" s="1">
        <v>50</v>
      </c>
      <c r="U800" s="1">
        <v>1</v>
      </c>
      <c r="V800" s="1">
        <v>1</v>
      </c>
    </row>
    <row r="801" spans="1:22" x14ac:dyDescent="0.25">
      <c r="A801" s="3">
        <v>44778</v>
      </c>
      <c r="B801" s="4">
        <v>0.50503472222222223</v>
      </c>
      <c r="C801" s="1">
        <v>1830</v>
      </c>
      <c r="D801" s="1">
        <v>13002616</v>
      </c>
      <c r="E801" s="1">
        <v>13</v>
      </c>
      <c r="F801" s="1">
        <v>22589</v>
      </c>
      <c r="G801" s="1" t="s">
        <v>21</v>
      </c>
      <c r="H801" s="1">
        <v>15</v>
      </c>
      <c r="I801" s="1">
        <v>156809</v>
      </c>
      <c r="J801" s="14" t="s">
        <v>1126</v>
      </c>
      <c r="K801" s="1" t="s">
        <v>51</v>
      </c>
      <c r="L801" s="1" t="s">
        <v>35</v>
      </c>
      <c r="M801" s="14">
        <v>1</v>
      </c>
      <c r="N801" s="2">
        <v>304.42</v>
      </c>
      <c r="O801" s="16">
        <v>402</v>
      </c>
      <c r="P801" s="14">
        <v>28</v>
      </c>
      <c r="Q801" s="14">
        <f t="shared" si="12"/>
        <v>374</v>
      </c>
      <c r="R801" s="1">
        <v>9</v>
      </c>
      <c r="S801" s="1">
        <v>200010004073</v>
      </c>
      <c r="T801" s="1">
        <v>50</v>
      </c>
      <c r="U801" s="1">
        <v>1</v>
      </c>
      <c r="V801" s="1">
        <v>1</v>
      </c>
    </row>
    <row r="802" spans="1:22" x14ac:dyDescent="0.25">
      <c r="A802" s="3">
        <v>44774</v>
      </c>
      <c r="B802" s="4">
        <v>0.57905092592592589</v>
      </c>
      <c r="C802" s="1">
        <v>1349</v>
      </c>
      <c r="D802" s="1">
        <v>13002561</v>
      </c>
      <c r="E802" s="1">
        <v>13</v>
      </c>
      <c r="F802" s="1">
        <v>22589</v>
      </c>
      <c r="G802" s="1" t="s">
        <v>21</v>
      </c>
      <c r="H802" s="1">
        <v>15</v>
      </c>
      <c r="I802" s="1">
        <v>5093</v>
      </c>
      <c r="J802" s="14" t="s">
        <v>311</v>
      </c>
      <c r="K802" s="1" t="s">
        <v>29</v>
      </c>
      <c r="L802" s="1" t="s">
        <v>35</v>
      </c>
      <c r="M802" s="14">
        <v>1</v>
      </c>
      <c r="N802" s="2">
        <v>208.26</v>
      </c>
      <c r="O802" s="16">
        <v>240</v>
      </c>
      <c r="P802" s="14">
        <v>16</v>
      </c>
      <c r="Q802" s="14">
        <f t="shared" si="12"/>
        <v>224</v>
      </c>
      <c r="R802" s="1">
        <v>9</v>
      </c>
      <c r="S802" s="1">
        <v>200010022582</v>
      </c>
      <c r="T802" s="1">
        <v>29</v>
      </c>
      <c r="U802" s="1">
        <v>1</v>
      </c>
      <c r="V802" s="1">
        <v>2</v>
      </c>
    </row>
    <row r="803" spans="1:22" x14ac:dyDescent="0.25">
      <c r="A803" s="3">
        <v>44774</v>
      </c>
      <c r="B803" s="4">
        <v>0.69748842592592597</v>
      </c>
      <c r="C803" s="1">
        <v>1379</v>
      </c>
      <c r="D803" s="1">
        <v>13002561</v>
      </c>
      <c r="E803" s="1">
        <v>13</v>
      </c>
      <c r="F803" s="1">
        <v>22589</v>
      </c>
      <c r="G803" s="1" t="s">
        <v>21</v>
      </c>
      <c r="H803" s="1">
        <v>18</v>
      </c>
      <c r="I803" s="1">
        <v>384267</v>
      </c>
      <c r="J803" s="14" t="s">
        <v>385</v>
      </c>
      <c r="K803" s="1" t="s">
        <v>29</v>
      </c>
      <c r="L803" s="1" t="s">
        <v>35</v>
      </c>
      <c r="M803" s="14">
        <v>1</v>
      </c>
      <c r="N803" s="2">
        <v>256.69</v>
      </c>
      <c r="O803" s="16">
        <v>347</v>
      </c>
      <c r="P803" s="14">
        <v>24</v>
      </c>
      <c r="Q803" s="14">
        <f t="shared" si="12"/>
        <v>323</v>
      </c>
      <c r="R803" s="1">
        <v>9</v>
      </c>
      <c r="S803" s="1">
        <v>200010026815</v>
      </c>
      <c r="T803" s="1">
        <v>29</v>
      </c>
      <c r="U803" s="1">
        <v>1</v>
      </c>
      <c r="V803" s="1">
        <v>7</v>
      </c>
    </row>
    <row r="804" spans="1:22" x14ac:dyDescent="0.25">
      <c r="A804" s="3">
        <v>44775</v>
      </c>
      <c r="B804" s="4">
        <v>0.74587962962962961</v>
      </c>
      <c r="C804" s="1">
        <v>1518</v>
      </c>
      <c r="D804" s="1">
        <v>13002581</v>
      </c>
      <c r="E804" s="1">
        <v>13</v>
      </c>
      <c r="F804" s="1">
        <v>22589</v>
      </c>
      <c r="G804" s="1" t="s">
        <v>21</v>
      </c>
      <c r="H804" s="1">
        <v>15</v>
      </c>
      <c r="I804" s="1">
        <v>384267</v>
      </c>
      <c r="J804" s="14" t="s">
        <v>385</v>
      </c>
      <c r="K804" s="1" t="s">
        <v>466</v>
      </c>
      <c r="L804" s="1" t="s">
        <v>35</v>
      </c>
      <c r="M804" s="14">
        <v>1</v>
      </c>
      <c r="N804" s="2">
        <v>288.31</v>
      </c>
      <c r="O804" s="16">
        <v>302</v>
      </c>
      <c r="P804" s="14">
        <v>0</v>
      </c>
      <c r="Q804" s="14">
        <f t="shared" si="12"/>
        <v>302</v>
      </c>
      <c r="R804" s="1" t="s">
        <v>25</v>
      </c>
      <c r="S804" s="1" t="s">
        <v>25</v>
      </c>
      <c r="T804" s="1">
        <v>29</v>
      </c>
      <c r="U804" s="1">
        <v>2</v>
      </c>
      <c r="V804" s="1">
        <v>10</v>
      </c>
    </row>
    <row r="805" spans="1:22" x14ac:dyDescent="0.25">
      <c r="A805" s="3">
        <v>44776</v>
      </c>
      <c r="B805" s="4">
        <v>0.57062500000000005</v>
      </c>
      <c r="C805" s="1">
        <v>1602</v>
      </c>
      <c r="D805" s="1">
        <v>13002595</v>
      </c>
      <c r="E805" s="1">
        <v>13</v>
      </c>
      <c r="F805" s="1">
        <v>22589</v>
      </c>
      <c r="G805" s="1" t="s">
        <v>21</v>
      </c>
      <c r="H805" s="1">
        <v>18</v>
      </c>
      <c r="I805" s="1">
        <v>384267</v>
      </c>
      <c r="J805" s="14" t="s">
        <v>385</v>
      </c>
      <c r="K805" s="1" t="s">
        <v>29</v>
      </c>
      <c r="L805" s="1" t="s">
        <v>35</v>
      </c>
      <c r="M805" s="14">
        <v>1</v>
      </c>
      <c r="N805" s="2">
        <v>256.69</v>
      </c>
      <c r="O805" s="16">
        <v>347</v>
      </c>
      <c r="P805" s="14">
        <v>24</v>
      </c>
      <c r="Q805" s="14">
        <f t="shared" si="12"/>
        <v>323</v>
      </c>
      <c r="R805" s="1">
        <v>9</v>
      </c>
      <c r="S805" s="1">
        <v>200010023583</v>
      </c>
      <c r="T805" s="1">
        <v>29</v>
      </c>
      <c r="U805" s="1">
        <v>1</v>
      </c>
      <c r="V805" s="1">
        <v>1</v>
      </c>
    </row>
    <row r="806" spans="1:22" x14ac:dyDescent="0.25">
      <c r="A806" s="3">
        <v>44774</v>
      </c>
      <c r="B806" s="4">
        <v>0.43896990740740743</v>
      </c>
      <c r="C806" s="1">
        <v>1290</v>
      </c>
      <c r="D806" s="1">
        <v>13002561</v>
      </c>
      <c r="E806" s="1">
        <v>13</v>
      </c>
      <c r="F806" s="1">
        <v>22589</v>
      </c>
      <c r="G806" s="1" t="s">
        <v>21</v>
      </c>
      <c r="H806" s="1">
        <v>15</v>
      </c>
      <c r="I806" s="1">
        <v>523194</v>
      </c>
      <c r="J806" s="14" t="s">
        <v>102</v>
      </c>
      <c r="K806" s="1" t="s">
        <v>29</v>
      </c>
      <c r="L806" s="1" t="s">
        <v>35</v>
      </c>
      <c r="M806" s="14">
        <v>1</v>
      </c>
      <c r="N806" s="2">
        <v>320.39</v>
      </c>
      <c r="O806" s="16">
        <v>423</v>
      </c>
      <c r="P806" s="14">
        <v>29</v>
      </c>
      <c r="Q806" s="14">
        <f t="shared" si="12"/>
        <v>394</v>
      </c>
      <c r="R806" s="1">
        <v>9</v>
      </c>
      <c r="S806" s="1">
        <v>200010000065</v>
      </c>
      <c r="T806" s="1">
        <v>29</v>
      </c>
      <c r="U806" s="1">
        <v>1</v>
      </c>
      <c r="V806" s="1">
        <v>3</v>
      </c>
    </row>
    <row r="807" spans="1:22" x14ac:dyDescent="0.25">
      <c r="A807" s="3">
        <v>44774</v>
      </c>
      <c r="B807" s="4">
        <v>0.55760416666666668</v>
      </c>
      <c r="C807" s="1">
        <v>1340</v>
      </c>
      <c r="D807" s="1">
        <v>13002561</v>
      </c>
      <c r="E807" s="1">
        <v>13</v>
      </c>
      <c r="F807" s="1">
        <v>22589</v>
      </c>
      <c r="G807" s="1" t="s">
        <v>21</v>
      </c>
      <c r="H807" s="1">
        <v>18</v>
      </c>
      <c r="I807" s="1">
        <v>102068</v>
      </c>
      <c r="J807" s="14" t="s">
        <v>285</v>
      </c>
      <c r="K807" s="1" t="s">
        <v>29</v>
      </c>
      <c r="L807" s="1" t="s">
        <v>286</v>
      </c>
      <c r="M807" s="14">
        <v>1</v>
      </c>
      <c r="N807" s="2">
        <v>151.01</v>
      </c>
      <c r="O807" s="16">
        <v>235</v>
      </c>
      <c r="P807" s="14">
        <v>23</v>
      </c>
      <c r="Q807" s="14">
        <f t="shared" si="12"/>
        <v>212</v>
      </c>
      <c r="R807" s="1">
        <v>9</v>
      </c>
      <c r="S807" s="1">
        <v>200010000752</v>
      </c>
      <c r="T807" s="1">
        <v>29</v>
      </c>
      <c r="U807" s="1">
        <v>1</v>
      </c>
      <c r="V807" s="1">
        <v>2</v>
      </c>
    </row>
    <row r="808" spans="1:22" x14ac:dyDescent="0.25">
      <c r="A808" s="3">
        <v>44778</v>
      </c>
      <c r="B808" s="4">
        <v>0.5577199074074074</v>
      </c>
      <c r="C808" s="1">
        <v>1844</v>
      </c>
      <c r="D808" s="1">
        <v>13002616</v>
      </c>
      <c r="E808" s="1">
        <v>13</v>
      </c>
      <c r="F808" s="1">
        <v>22589</v>
      </c>
      <c r="G808" s="1" t="s">
        <v>21</v>
      </c>
      <c r="H808" s="1">
        <v>18</v>
      </c>
      <c r="I808" s="1">
        <v>102068</v>
      </c>
      <c r="J808" s="14" t="s">
        <v>285</v>
      </c>
      <c r="K808" s="1" t="s">
        <v>51</v>
      </c>
      <c r="L808" s="1" t="s">
        <v>286</v>
      </c>
      <c r="M808" s="14">
        <v>1</v>
      </c>
      <c r="N808" s="2">
        <v>149.6</v>
      </c>
      <c r="O808" s="16">
        <v>232</v>
      </c>
      <c r="P808" s="14">
        <v>0</v>
      </c>
      <c r="Q808" s="14">
        <f t="shared" si="12"/>
        <v>232</v>
      </c>
      <c r="R808" s="1" t="s">
        <v>25</v>
      </c>
      <c r="S808" s="1" t="s">
        <v>25</v>
      </c>
      <c r="T808" s="1">
        <v>50</v>
      </c>
      <c r="U808" s="1">
        <v>1</v>
      </c>
      <c r="V808" s="1">
        <v>6</v>
      </c>
    </row>
    <row r="809" spans="1:22" x14ac:dyDescent="0.25">
      <c r="A809" s="3">
        <v>44775</v>
      </c>
      <c r="B809" s="4">
        <v>0.71690972222222227</v>
      </c>
      <c r="C809" s="1">
        <v>1504</v>
      </c>
      <c r="D809" s="1">
        <v>13002581</v>
      </c>
      <c r="E809" s="1">
        <v>13</v>
      </c>
      <c r="F809" s="1">
        <v>22589</v>
      </c>
      <c r="G809" s="1" t="s">
        <v>21</v>
      </c>
      <c r="H809" s="1">
        <v>18</v>
      </c>
      <c r="I809" s="1">
        <v>56672</v>
      </c>
      <c r="J809" s="14" t="s">
        <v>653</v>
      </c>
      <c r="K809" s="1" t="s">
        <v>117</v>
      </c>
      <c r="L809" s="1" t="s">
        <v>654</v>
      </c>
      <c r="M809" s="14">
        <v>1</v>
      </c>
      <c r="N809" s="2">
        <v>39.65</v>
      </c>
      <c r="O809" s="16">
        <v>65</v>
      </c>
      <c r="P809" s="14">
        <v>6</v>
      </c>
      <c r="Q809" s="14">
        <f t="shared" si="12"/>
        <v>59</v>
      </c>
      <c r="R809" s="1">
        <v>9</v>
      </c>
      <c r="S809" s="1">
        <v>200010020718</v>
      </c>
      <c r="T809" s="1">
        <v>29</v>
      </c>
      <c r="U809" s="1">
        <v>1</v>
      </c>
      <c r="V809" s="1">
        <v>1</v>
      </c>
    </row>
    <row r="810" spans="1:22" x14ac:dyDescent="0.25">
      <c r="A810" s="3">
        <v>44774</v>
      </c>
      <c r="B810" s="4">
        <v>0.71596064814814819</v>
      </c>
      <c r="C810" s="1">
        <v>1384</v>
      </c>
      <c r="D810" s="1">
        <v>13002561</v>
      </c>
      <c r="E810" s="1">
        <v>13</v>
      </c>
      <c r="F810" s="1">
        <v>22589</v>
      </c>
      <c r="G810" s="1" t="s">
        <v>21</v>
      </c>
      <c r="H810" s="1">
        <v>15</v>
      </c>
      <c r="I810" s="1">
        <v>12643</v>
      </c>
      <c r="J810" s="14" t="s">
        <v>400</v>
      </c>
      <c r="K810" s="1" t="s">
        <v>51</v>
      </c>
      <c r="L810" s="1" t="s">
        <v>56</v>
      </c>
      <c r="M810" s="14">
        <v>1</v>
      </c>
      <c r="N810" s="2">
        <v>145.52000000000001</v>
      </c>
      <c r="O810" s="16">
        <v>175</v>
      </c>
      <c r="P810" s="14">
        <v>20.86</v>
      </c>
      <c r="Q810" s="14">
        <f t="shared" si="12"/>
        <v>154.13999999999999</v>
      </c>
      <c r="R810" s="1">
        <v>925</v>
      </c>
      <c r="S810" s="1">
        <v>200000000492</v>
      </c>
      <c r="T810" s="1">
        <v>29</v>
      </c>
      <c r="U810" s="1">
        <v>1</v>
      </c>
      <c r="V810" s="1">
        <v>2</v>
      </c>
    </row>
    <row r="811" spans="1:22" x14ac:dyDescent="0.25">
      <c r="A811" s="3">
        <v>44774</v>
      </c>
      <c r="B811" s="4">
        <v>0.82774305555555561</v>
      </c>
      <c r="C811" s="1">
        <v>1413</v>
      </c>
      <c r="D811" s="1">
        <v>13002561</v>
      </c>
      <c r="E811" s="1">
        <v>13</v>
      </c>
      <c r="F811" s="1">
        <v>22589</v>
      </c>
      <c r="G811" s="1" t="s">
        <v>21</v>
      </c>
      <c r="H811" s="1">
        <v>15</v>
      </c>
      <c r="I811" s="1">
        <v>12643</v>
      </c>
      <c r="J811" s="14" t="s">
        <v>400</v>
      </c>
      <c r="K811" s="1" t="s">
        <v>51</v>
      </c>
      <c r="L811" s="1" t="s">
        <v>56</v>
      </c>
      <c r="M811" s="14">
        <v>1</v>
      </c>
      <c r="N811" s="2">
        <v>145.52000000000001</v>
      </c>
      <c r="O811" s="16">
        <v>175</v>
      </c>
      <c r="P811" s="14">
        <v>0</v>
      </c>
      <c r="Q811" s="14">
        <f t="shared" si="12"/>
        <v>175</v>
      </c>
      <c r="R811" s="1" t="s">
        <v>25</v>
      </c>
      <c r="S811" s="1" t="s">
        <v>25</v>
      </c>
      <c r="T811" s="1">
        <v>29</v>
      </c>
      <c r="U811" s="1">
        <v>1</v>
      </c>
      <c r="V811" s="1">
        <v>3</v>
      </c>
    </row>
    <row r="812" spans="1:22" x14ac:dyDescent="0.25">
      <c r="A812" s="3">
        <v>44774</v>
      </c>
      <c r="B812" s="4">
        <v>0.68009259259259258</v>
      </c>
      <c r="C812" s="1">
        <v>1372</v>
      </c>
      <c r="D812" s="1">
        <v>13002561</v>
      </c>
      <c r="E812" s="1">
        <v>13</v>
      </c>
      <c r="F812" s="1">
        <v>22589</v>
      </c>
      <c r="G812" s="1" t="s">
        <v>21</v>
      </c>
      <c r="H812" s="1">
        <v>18</v>
      </c>
      <c r="I812" s="1">
        <v>9220</v>
      </c>
      <c r="J812" s="14" t="s">
        <v>371</v>
      </c>
      <c r="K812" s="1" t="s">
        <v>45</v>
      </c>
      <c r="L812" s="1" t="s">
        <v>175</v>
      </c>
      <c r="M812" s="14">
        <v>1</v>
      </c>
      <c r="N812" s="2">
        <v>428.4</v>
      </c>
      <c r="O812" s="16">
        <v>566</v>
      </c>
      <c r="P812" s="14">
        <v>39</v>
      </c>
      <c r="Q812" s="14">
        <f t="shared" si="12"/>
        <v>527</v>
      </c>
      <c r="R812" s="1">
        <v>9</v>
      </c>
      <c r="S812" s="1">
        <v>200010003301</v>
      </c>
      <c r="T812" s="1">
        <v>29</v>
      </c>
      <c r="U812" s="1">
        <v>1</v>
      </c>
      <c r="V812" s="1">
        <v>1</v>
      </c>
    </row>
    <row r="813" spans="1:22" x14ac:dyDescent="0.25">
      <c r="A813" s="3">
        <v>44774</v>
      </c>
      <c r="B813" s="4">
        <v>0.6031481481481481</v>
      </c>
      <c r="C813" s="1">
        <v>1355</v>
      </c>
      <c r="D813" s="1">
        <v>13002561</v>
      </c>
      <c r="E813" s="1">
        <v>13</v>
      </c>
      <c r="F813" s="1">
        <v>22589</v>
      </c>
      <c r="G813" s="1" t="s">
        <v>21</v>
      </c>
      <c r="H813" s="1">
        <v>18</v>
      </c>
      <c r="I813" s="1">
        <v>346864</v>
      </c>
      <c r="J813" s="14" t="s">
        <v>331</v>
      </c>
      <c r="K813" s="1" t="s">
        <v>58</v>
      </c>
      <c r="L813" s="1" t="s">
        <v>332</v>
      </c>
      <c r="M813" s="14">
        <v>0.1071429</v>
      </c>
      <c r="N813" s="2">
        <v>622.16</v>
      </c>
      <c r="O813" s="16">
        <v>685</v>
      </c>
      <c r="P813" s="14">
        <v>1.39</v>
      </c>
      <c r="Q813" s="14">
        <f t="shared" si="12"/>
        <v>72.002886500000002</v>
      </c>
      <c r="R813" s="1">
        <v>9</v>
      </c>
      <c r="S813" s="1">
        <v>200010026851</v>
      </c>
      <c r="T813" s="1">
        <v>29</v>
      </c>
      <c r="U813" s="1">
        <v>1</v>
      </c>
      <c r="V813" s="1">
        <v>1</v>
      </c>
    </row>
    <row r="814" spans="1:22" x14ac:dyDescent="0.25">
      <c r="A814" s="3">
        <v>44775</v>
      </c>
      <c r="B814" s="4">
        <v>0.74380787037037033</v>
      </c>
      <c r="C814" s="1">
        <v>1517</v>
      </c>
      <c r="D814" s="1">
        <v>13002581</v>
      </c>
      <c r="E814" s="1">
        <v>13</v>
      </c>
      <c r="F814" s="1">
        <v>22589</v>
      </c>
      <c r="G814" s="1" t="s">
        <v>21</v>
      </c>
      <c r="H814" s="1">
        <v>18</v>
      </c>
      <c r="I814" s="1">
        <v>346864</v>
      </c>
      <c r="J814" s="14" t="s">
        <v>331</v>
      </c>
      <c r="K814" s="1" t="s">
        <v>58</v>
      </c>
      <c r="L814" s="1" t="s">
        <v>332</v>
      </c>
      <c r="M814" s="14">
        <v>0.1071429</v>
      </c>
      <c r="N814" s="2">
        <v>622.16</v>
      </c>
      <c r="O814" s="16">
        <v>685</v>
      </c>
      <c r="P814" s="14">
        <v>1.39</v>
      </c>
      <c r="Q814" s="14">
        <f t="shared" si="12"/>
        <v>72.002886500000002</v>
      </c>
      <c r="R814" s="1">
        <v>9</v>
      </c>
      <c r="S814" s="1">
        <v>200010026851</v>
      </c>
      <c r="T814" s="1">
        <v>29</v>
      </c>
      <c r="U814" s="1">
        <v>1</v>
      </c>
      <c r="V814" s="1">
        <v>1</v>
      </c>
    </row>
    <row r="815" spans="1:22" x14ac:dyDescent="0.25">
      <c r="A815" s="3">
        <v>44776</v>
      </c>
      <c r="B815" s="4">
        <v>0.63142361111111112</v>
      </c>
      <c r="C815" s="1">
        <v>1615</v>
      </c>
      <c r="D815" s="1">
        <v>13002595</v>
      </c>
      <c r="E815" s="1">
        <v>13</v>
      </c>
      <c r="F815" s="1">
        <v>22589</v>
      </c>
      <c r="G815" s="1" t="s">
        <v>21</v>
      </c>
      <c r="H815" s="1">
        <v>15</v>
      </c>
      <c r="I815" s="1">
        <v>346864</v>
      </c>
      <c r="J815" s="14" t="s">
        <v>331</v>
      </c>
      <c r="K815" s="1" t="s">
        <v>58</v>
      </c>
      <c r="L815" s="1" t="s">
        <v>332</v>
      </c>
      <c r="M815" s="14">
        <v>0.32142860000000001</v>
      </c>
      <c r="N815" s="2">
        <v>622.16</v>
      </c>
      <c r="O815" s="16">
        <v>685</v>
      </c>
      <c r="P815" s="14">
        <v>0</v>
      </c>
      <c r="Q815" s="14">
        <f t="shared" si="12"/>
        <v>220.17859100000001</v>
      </c>
      <c r="R815" s="1" t="s">
        <v>25</v>
      </c>
      <c r="S815" s="1" t="s">
        <v>25</v>
      </c>
      <c r="T815" s="1">
        <v>29</v>
      </c>
      <c r="U815" s="1">
        <v>1</v>
      </c>
      <c r="V815" s="1">
        <v>1</v>
      </c>
    </row>
    <row r="816" spans="1:22" x14ac:dyDescent="0.25">
      <c r="A816" s="3">
        <v>44775</v>
      </c>
      <c r="B816" s="4">
        <v>0.41692129629629632</v>
      </c>
      <c r="C816" s="1">
        <v>1431</v>
      </c>
      <c r="D816" s="1">
        <v>13002581</v>
      </c>
      <c r="E816" s="1">
        <v>13</v>
      </c>
      <c r="F816" s="1">
        <v>22589</v>
      </c>
      <c r="G816" s="1" t="s">
        <v>21</v>
      </c>
      <c r="H816" s="1">
        <v>15</v>
      </c>
      <c r="I816" s="1">
        <v>131362</v>
      </c>
      <c r="J816" s="14" t="s">
        <v>512</v>
      </c>
      <c r="K816" s="1" t="s">
        <v>34</v>
      </c>
      <c r="L816" s="1" t="s">
        <v>155</v>
      </c>
      <c r="M816" s="14">
        <v>1</v>
      </c>
      <c r="N816" s="2">
        <v>86.22</v>
      </c>
      <c r="O816" s="16">
        <v>136</v>
      </c>
      <c r="P816" s="14">
        <v>13</v>
      </c>
      <c r="Q816" s="14">
        <f t="shared" si="12"/>
        <v>123</v>
      </c>
      <c r="R816" s="1">
        <v>9</v>
      </c>
      <c r="S816" s="1">
        <v>200010018003</v>
      </c>
      <c r="T816" s="1">
        <v>29</v>
      </c>
      <c r="U816" s="1">
        <v>1</v>
      </c>
      <c r="V816" s="1">
        <v>3</v>
      </c>
    </row>
    <row r="817" spans="1:22" x14ac:dyDescent="0.25">
      <c r="A817" s="3">
        <v>44778</v>
      </c>
      <c r="B817" s="4">
        <v>0.34179398148148149</v>
      </c>
      <c r="C817" s="1">
        <v>1783</v>
      </c>
      <c r="D817" s="1">
        <v>13002616</v>
      </c>
      <c r="E817" s="1">
        <v>13</v>
      </c>
      <c r="F817" s="1">
        <v>22589</v>
      </c>
      <c r="G817" s="1" t="s">
        <v>21</v>
      </c>
      <c r="H817" s="1">
        <v>18</v>
      </c>
      <c r="I817" s="1">
        <v>18274</v>
      </c>
      <c r="J817" s="14" t="s">
        <v>1077</v>
      </c>
      <c r="K817" s="1" t="s">
        <v>34</v>
      </c>
      <c r="L817" s="1" t="s">
        <v>1078</v>
      </c>
      <c r="M817" s="14">
        <v>1</v>
      </c>
      <c r="N817" s="2">
        <v>57.53</v>
      </c>
      <c r="O817" s="16">
        <v>91</v>
      </c>
      <c r="P817" s="14">
        <v>5.62</v>
      </c>
      <c r="Q817" s="14">
        <f t="shared" si="12"/>
        <v>85.38</v>
      </c>
      <c r="R817" s="1">
        <v>925</v>
      </c>
      <c r="S817" s="1">
        <v>200000000492</v>
      </c>
      <c r="T817" s="1">
        <v>50</v>
      </c>
      <c r="U817" s="1">
        <v>1</v>
      </c>
      <c r="V817" s="1">
        <v>2</v>
      </c>
    </row>
    <row r="818" spans="1:22" x14ac:dyDescent="0.25">
      <c r="A818" s="3">
        <v>44774</v>
      </c>
      <c r="B818" s="4">
        <v>0.57143518518518521</v>
      </c>
      <c r="C818" s="1">
        <v>1346</v>
      </c>
      <c r="D818" s="1">
        <v>13002561</v>
      </c>
      <c r="E818" s="1">
        <v>13</v>
      </c>
      <c r="F818" s="1">
        <v>22589</v>
      </c>
      <c r="G818" s="1" t="s">
        <v>21</v>
      </c>
      <c r="H818" s="1">
        <v>18</v>
      </c>
      <c r="I818" s="1">
        <v>23672</v>
      </c>
      <c r="J818" s="14" t="s">
        <v>300</v>
      </c>
      <c r="K818" s="1" t="s">
        <v>58</v>
      </c>
      <c r="L818" s="1" t="s">
        <v>301</v>
      </c>
      <c r="M818" s="14">
        <v>1</v>
      </c>
      <c r="N818" s="2">
        <v>50.31</v>
      </c>
      <c r="O818" s="16">
        <v>79</v>
      </c>
      <c r="P818" s="14">
        <v>7</v>
      </c>
      <c r="Q818" s="14">
        <f t="shared" si="12"/>
        <v>72</v>
      </c>
      <c r="R818" s="1">
        <v>9</v>
      </c>
      <c r="S818" s="1">
        <v>200010020116</v>
      </c>
      <c r="T818" s="1">
        <v>29</v>
      </c>
      <c r="U818" s="1">
        <v>1</v>
      </c>
      <c r="V818" s="1">
        <v>1</v>
      </c>
    </row>
    <row r="819" spans="1:22" x14ac:dyDescent="0.25">
      <c r="A819" s="3">
        <v>44774</v>
      </c>
      <c r="B819" s="4">
        <v>0.74328703703703702</v>
      </c>
      <c r="C819" s="1">
        <v>1392</v>
      </c>
      <c r="D819" s="1">
        <v>13002561</v>
      </c>
      <c r="E819" s="1">
        <v>13</v>
      </c>
      <c r="F819" s="1">
        <v>22589</v>
      </c>
      <c r="G819" s="1" t="s">
        <v>21</v>
      </c>
      <c r="H819" s="1">
        <v>18</v>
      </c>
      <c r="I819" s="1">
        <v>348186</v>
      </c>
      <c r="J819" s="14" t="s">
        <v>419</v>
      </c>
      <c r="K819" s="1" t="s">
        <v>141</v>
      </c>
      <c r="L819" s="1" t="s">
        <v>173</v>
      </c>
      <c r="M819" s="14">
        <v>2</v>
      </c>
      <c r="N819" s="2">
        <v>5.83</v>
      </c>
      <c r="O819" s="16">
        <v>8</v>
      </c>
      <c r="P819" s="14">
        <v>0</v>
      </c>
      <c r="Q819" s="14">
        <f t="shared" si="12"/>
        <v>16</v>
      </c>
      <c r="R819" s="1" t="s">
        <v>25</v>
      </c>
      <c r="S819" s="1" t="s">
        <v>25</v>
      </c>
      <c r="T819" s="1">
        <v>29</v>
      </c>
      <c r="U819" s="1">
        <v>1</v>
      </c>
      <c r="V819" s="1">
        <v>4</v>
      </c>
    </row>
    <row r="820" spans="1:22" x14ac:dyDescent="0.25">
      <c r="A820" s="3">
        <v>44775</v>
      </c>
      <c r="B820" s="4">
        <v>0.64693287037037039</v>
      </c>
      <c r="C820" s="1">
        <v>1489</v>
      </c>
      <c r="D820" s="1">
        <v>13002581</v>
      </c>
      <c r="E820" s="1">
        <v>13</v>
      </c>
      <c r="F820" s="1">
        <v>22589</v>
      </c>
      <c r="G820" s="1" t="s">
        <v>21</v>
      </c>
      <c r="H820" s="1">
        <v>18</v>
      </c>
      <c r="I820" s="1">
        <v>348186</v>
      </c>
      <c r="J820" s="14" t="s">
        <v>419</v>
      </c>
      <c r="K820" s="1" t="s">
        <v>141</v>
      </c>
      <c r="L820" s="1" t="s">
        <v>173</v>
      </c>
      <c r="M820" s="14">
        <v>10</v>
      </c>
      <c r="N820" s="2">
        <v>5.83</v>
      </c>
      <c r="O820" s="16">
        <v>8</v>
      </c>
      <c r="P820" s="14">
        <v>0</v>
      </c>
      <c r="Q820" s="14">
        <f t="shared" si="12"/>
        <v>80</v>
      </c>
      <c r="R820" s="1" t="s">
        <v>25</v>
      </c>
      <c r="S820" s="1" t="s">
        <v>25</v>
      </c>
      <c r="T820" s="1">
        <v>29</v>
      </c>
      <c r="U820" s="1">
        <v>1</v>
      </c>
      <c r="V820" s="1">
        <v>1</v>
      </c>
    </row>
    <row r="821" spans="1:22" x14ac:dyDescent="0.25">
      <c r="A821" s="3">
        <v>44776</v>
      </c>
      <c r="B821" s="4">
        <v>0.6390393518518519</v>
      </c>
      <c r="C821" s="1">
        <v>1617</v>
      </c>
      <c r="D821" s="1">
        <v>13002595</v>
      </c>
      <c r="E821" s="1">
        <v>13</v>
      </c>
      <c r="F821" s="1">
        <v>22589</v>
      </c>
      <c r="G821" s="1" t="s">
        <v>21</v>
      </c>
      <c r="H821" s="1">
        <v>15</v>
      </c>
      <c r="I821" s="1">
        <v>348186</v>
      </c>
      <c r="J821" s="14" t="s">
        <v>419</v>
      </c>
      <c r="K821" s="1" t="s">
        <v>141</v>
      </c>
      <c r="L821" s="1" t="s">
        <v>173</v>
      </c>
      <c r="M821" s="14">
        <v>1</v>
      </c>
      <c r="N821" s="2">
        <v>5.83</v>
      </c>
      <c r="O821" s="16">
        <v>8</v>
      </c>
      <c r="P821" s="14">
        <v>0</v>
      </c>
      <c r="Q821" s="14">
        <f t="shared" si="12"/>
        <v>8</v>
      </c>
      <c r="R821" s="1" t="s">
        <v>25</v>
      </c>
      <c r="S821" s="1" t="s">
        <v>25</v>
      </c>
      <c r="T821" s="1">
        <v>29</v>
      </c>
      <c r="U821" s="1">
        <v>1</v>
      </c>
      <c r="V821" s="1">
        <v>2</v>
      </c>
    </row>
    <row r="822" spans="1:22" x14ac:dyDescent="0.25">
      <c r="A822" s="3">
        <v>44776</v>
      </c>
      <c r="B822" s="4">
        <v>0.69327546296296294</v>
      </c>
      <c r="C822" s="1">
        <v>1628</v>
      </c>
      <c r="D822" s="1">
        <v>13002595</v>
      </c>
      <c r="E822" s="1">
        <v>13</v>
      </c>
      <c r="F822" s="1">
        <v>22589</v>
      </c>
      <c r="G822" s="1" t="s">
        <v>21</v>
      </c>
      <c r="H822" s="1">
        <v>18</v>
      </c>
      <c r="I822" s="1">
        <v>348186</v>
      </c>
      <c r="J822" s="14" t="s">
        <v>419</v>
      </c>
      <c r="K822" s="1" t="s">
        <v>141</v>
      </c>
      <c r="L822" s="1" t="s">
        <v>173</v>
      </c>
      <c r="M822" s="14">
        <v>4</v>
      </c>
      <c r="N822" s="2">
        <v>5.83</v>
      </c>
      <c r="O822" s="16">
        <v>8</v>
      </c>
      <c r="P822" s="14">
        <v>0</v>
      </c>
      <c r="Q822" s="14">
        <f t="shared" si="12"/>
        <v>32</v>
      </c>
      <c r="R822" s="1" t="s">
        <v>25</v>
      </c>
      <c r="S822" s="1" t="s">
        <v>25</v>
      </c>
      <c r="T822" s="1">
        <v>29</v>
      </c>
      <c r="U822" s="1">
        <v>1</v>
      </c>
      <c r="V822" s="1">
        <v>1</v>
      </c>
    </row>
    <row r="823" spans="1:22" x14ac:dyDescent="0.25">
      <c r="A823" s="3">
        <v>44777</v>
      </c>
      <c r="B823" s="4">
        <v>0.60395833333333337</v>
      </c>
      <c r="C823" s="1">
        <v>1731</v>
      </c>
      <c r="D823" s="1">
        <v>13002606</v>
      </c>
      <c r="E823" s="1">
        <v>13</v>
      </c>
      <c r="F823" s="1">
        <v>22589</v>
      </c>
      <c r="G823" s="1" t="s">
        <v>21</v>
      </c>
      <c r="H823" s="1">
        <v>15</v>
      </c>
      <c r="I823" s="1">
        <v>348186</v>
      </c>
      <c r="J823" s="14" t="s">
        <v>419</v>
      </c>
      <c r="K823" s="1" t="s">
        <v>141</v>
      </c>
      <c r="L823" s="1" t="s">
        <v>173</v>
      </c>
      <c r="M823" s="14">
        <v>1</v>
      </c>
      <c r="N823" s="2">
        <v>5.83</v>
      </c>
      <c r="O823" s="16">
        <v>8</v>
      </c>
      <c r="P823" s="14">
        <v>0</v>
      </c>
      <c r="Q823" s="14">
        <f t="shared" si="12"/>
        <v>8</v>
      </c>
      <c r="R823" s="1" t="s">
        <v>25</v>
      </c>
      <c r="S823" s="1" t="s">
        <v>25</v>
      </c>
      <c r="T823" s="1">
        <v>50</v>
      </c>
      <c r="U823" s="1">
        <v>1</v>
      </c>
      <c r="V823" s="1">
        <v>2</v>
      </c>
    </row>
    <row r="824" spans="1:22" x14ac:dyDescent="0.25">
      <c r="A824" s="3">
        <v>44777</v>
      </c>
      <c r="B824" s="4">
        <v>0.77209490740740738</v>
      </c>
      <c r="C824" s="1">
        <v>1768</v>
      </c>
      <c r="D824" s="1">
        <v>13002606</v>
      </c>
      <c r="E824" s="1">
        <v>13</v>
      </c>
      <c r="F824" s="1">
        <v>22589</v>
      </c>
      <c r="G824" s="1" t="s">
        <v>21</v>
      </c>
      <c r="H824" s="1">
        <v>15</v>
      </c>
      <c r="I824" s="1">
        <v>348186</v>
      </c>
      <c r="J824" s="14" t="s">
        <v>419</v>
      </c>
      <c r="K824" s="1" t="s">
        <v>141</v>
      </c>
      <c r="L824" s="1" t="s">
        <v>173</v>
      </c>
      <c r="M824" s="14">
        <v>1</v>
      </c>
      <c r="N824" s="2">
        <v>5.83</v>
      </c>
      <c r="O824" s="16">
        <v>8</v>
      </c>
      <c r="P824" s="14">
        <v>0.34</v>
      </c>
      <c r="Q824" s="14">
        <f t="shared" si="12"/>
        <v>7.66</v>
      </c>
      <c r="R824" s="1">
        <v>9</v>
      </c>
      <c r="S824" s="1">
        <v>200010001749</v>
      </c>
      <c r="T824" s="1">
        <v>50</v>
      </c>
      <c r="U824" s="1">
        <v>1</v>
      </c>
      <c r="V824" s="1">
        <v>4</v>
      </c>
    </row>
    <row r="825" spans="1:22" x14ac:dyDescent="0.25">
      <c r="A825" s="3">
        <v>44777</v>
      </c>
      <c r="B825" s="4">
        <v>0.77209490740740738</v>
      </c>
      <c r="C825" s="1">
        <v>1768</v>
      </c>
      <c r="D825" s="1">
        <v>13002606</v>
      </c>
      <c r="E825" s="1">
        <v>13</v>
      </c>
      <c r="F825" s="1">
        <v>22589</v>
      </c>
      <c r="G825" s="1" t="s">
        <v>21</v>
      </c>
      <c r="H825" s="1">
        <v>15</v>
      </c>
      <c r="I825" s="1">
        <v>348186</v>
      </c>
      <c r="J825" s="14" t="s">
        <v>419</v>
      </c>
      <c r="K825" s="1" t="s">
        <v>141</v>
      </c>
      <c r="L825" s="1" t="s">
        <v>173</v>
      </c>
      <c r="M825" s="14">
        <v>2</v>
      </c>
      <c r="N825" s="2">
        <v>5.83</v>
      </c>
      <c r="O825" s="16">
        <v>8</v>
      </c>
      <c r="P825" s="14">
        <v>0.66</v>
      </c>
      <c r="Q825" s="14">
        <f t="shared" si="12"/>
        <v>15.34</v>
      </c>
      <c r="R825" s="1">
        <v>9</v>
      </c>
      <c r="S825" s="1">
        <v>200010001749</v>
      </c>
      <c r="T825" s="1">
        <v>50</v>
      </c>
      <c r="U825" s="1">
        <v>1</v>
      </c>
      <c r="V825" s="1">
        <v>5</v>
      </c>
    </row>
    <row r="826" spans="1:22" x14ac:dyDescent="0.25">
      <c r="A826" s="3">
        <v>44778</v>
      </c>
      <c r="B826" s="4">
        <v>0.52940972222222227</v>
      </c>
      <c r="C826" s="1">
        <v>1838</v>
      </c>
      <c r="D826" s="1">
        <v>13002616</v>
      </c>
      <c r="E826" s="1">
        <v>13</v>
      </c>
      <c r="F826" s="1">
        <v>22589</v>
      </c>
      <c r="G826" s="1" t="s">
        <v>21</v>
      </c>
      <c r="H826" s="1">
        <v>18</v>
      </c>
      <c r="I826" s="1">
        <v>348186</v>
      </c>
      <c r="J826" s="14" t="s">
        <v>419</v>
      </c>
      <c r="K826" s="1" t="s">
        <v>141</v>
      </c>
      <c r="L826" s="1" t="s">
        <v>173</v>
      </c>
      <c r="M826" s="14">
        <v>2</v>
      </c>
      <c r="N826" s="2">
        <v>5.83</v>
      </c>
      <c r="O826" s="16">
        <v>8</v>
      </c>
      <c r="P826" s="14">
        <v>0</v>
      </c>
      <c r="Q826" s="14">
        <f t="shared" si="12"/>
        <v>16</v>
      </c>
      <c r="R826" s="1" t="s">
        <v>25</v>
      </c>
      <c r="S826" s="1" t="s">
        <v>25</v>
      </c>
      <c r="T826" s="1">
        <v>50</v>
      </c>
      <c r="U826" s="1">
        <v>1</v>
      </c>
      <c r="V826" s="1">
        <v>1</v>
      </c>
    </row>
    <row r="827" spans="1:22" x14ac:dyDescent="0.25">
      <c r="A827" s="3">
        <v>44778</v>
      </c>
      <c r="B827" s="4">
        <v>0.61406249999999996</v>
      </c>
      <c r="C827" s="1">
        <v>1859</v>
      </c>
      <c r="D827" s="1">
        <v>13002616</v>
      </c>
      <c r="E827" s="1">
        <v>13</v>
      </c>
      <c r="F827" s="1">
        <v>22589</v>
      </c>
      <c r="G827" s="1" t="s">
        <v>21</v>
      </c>
      <c r="H827" s="1">
        <v>15</v>
      </c>
      <c r="I827" s="1">
        <v>348186</v>
      </c>
      <c r="J827" s="14" t="s">
        <v>419</v>
      </c>
      <c r="K827" s="1" t="s">
        <v>141</v>
      </c>
      <c r="L827" s="1" t="s">
        <v>173</v>
      </c>
      <c r="M827" s="14">
        <v>12</v>
      </c>
      <c r="N827" s="2">
        <v>5.83</v>
      </c>
      <c r="O827" s="16">
        <v>8</v>
      </c>
      <c r="P827" s="14">
        <v>0</v>
      </c>
      <c r="Q827" s="14">
        <f t="shared" si="12"/>
        <v>96</v>
      </c>
      <c r="R827" s="1" t="s">
        <v>25</v>
      </c>
      <c r="S827" s="1" t="s">
        <v>25</v>
      </c>
      <c r="T827" s="1">
        <v>50</v>
      </c>
      <c r="U827" s="1">
        <v>1</v>
      </c>
      <c r="V827" s="1">
        <v>1</v>
      </c>
    </row>
    <row r="828" spans="1:22" x14ac:dyDescent="0.25">
      <c r="A828" s="3">
        <v>44777</v>
      </c>
      <c r="B828" s="4">
        <v>0.37998842592592591</v>
      </c>
      <c r="C828" s="1">
        <v>1667</v>
      </c>
      <c r="D828" s="1">
        <v>13002606</v>
      </c>
      <c r="E828" s="1">
        <v>13</v>
      </c>
      <c r="F828" s="1">
        <v>22589</v>
      </c>
      <c r="G828" s="1" t="s">
        <v>21</v>
      </c>
      <c r="H828" s="1">
        <v>15</v>
      </c>
      <c r="I828" s="1">
        <v>312880</v>
      </c>
      <c r="J828" s="14" t="s">
        <v>934</v>
      </c>
      <c r="K828" s="1" t="s">
        <v>34</v>
      </c>
      <c r="L828" s="1" t="s">
        <v>37</v>
      </c>
      <c r="M828" s="14">
        <v>1</v>
      </c>
      <c r="N828" s="2">
        <v>436.25</v>
      </c>
      <c r="O828" s="16">
        <v>576</v>
      </c>
      <c r="P828" s="14">
        <v>40</v>
      </c>
      <c r="Q828" s="14">
        <f t="shared" si="12"/>
        <v>536</v>
      </c>
      <c r="R828" s="1">
        <v>9</v>
      </c>
      <c r="S828" s="1">
        <v>200010006097</v>
      </c>
      <c r="T828" s="1">
        <v>50</v>
      </c>
      <c r="U828" s="1">
        <v>1</v>
      </c>
      <c r="V828" s="1">
        <v>4</v>
      </c>
    </row>
    <row r="829" spans="1:22" x14ac:dyDescent="0.25">
      <c r="A829" s="3">
        <v>44778</v>
      </c>
      <c r="B829" s="4">
        <v>0.63206018518518514</v>
      </c>
      <c r="C829" s="1">
        <v>1862</v>
      </c>
      <c r="D829" s="1">
        <v>13002616</v>
      </c>
      <c r="E829" s="1">
        <v>13</v>
      </c>
      <c r="F829" s="1">
        <v>22589</v>
      </c>
      <c r="G829" s="1" t="s">
        <v>21</v>
      </c>
      <c r="H829" s="1">
        <v>18</v>
      </c>
      <c r="I829" s="1">
        <v>8327</v>
      </c>
      <c r="J829" s="14" t="s">
        <v>1184</v>
      </c>
      <c r="K829" s="1" t="s">
        <v>48</v>
      </c>
      <c r="L829" s="1" t="s">
        <v>214</v>
      </c>
      <c r="M829" s="14">
        <v>1</v>
      </c>
      <c r="N829" s="2">
        <v>618.6</v>
      </c>
      <c r="O829" s="16">
        <v>798</v>
      </c>
      <c r="P829" s="14">
        <v>119</v>
      </c>
      <c r="Q829" s="14">
        <f t="shared" si="12"/>
        <v>679</v>
      </c>
      <c r="R829" s="1">
        <v>27</v>
      </c>
      <c r="S829" s="1">
        <v>200010000015</v>
      </c>
      <c r="T829" s="1">
        <v>50</v>
      </c>
      <c r="U829" s="1">
        <v>1</v>
      </c>
      <c r="V829" s="1">
        <v>3</v>
      </c>
    </row>
    <row r="830" spans="1:22" x14ac:dyDescent="0.25">
      <c r="A830" s="3">
        <v>44775</v>
      </c>
      <c r="B830" s="4">
        <v>0.46716435185185184</v>
      </c>
      <c r="C830" s="1">
        <v>1441</v>
      </c>
      <c r="D830" s="1">
        <v>13002581</v>
      </c>
      <c r="E830" s="1">
        <v>13</v>
      </c>
      <c r="F830" s="1">
        <v>22589</v>
      </c>
      <c r="G830" s="1" t="s">
        <v>21</v>
      </c>
      <c r="H830" s="1">
        <v>18</v>
      </c>
      <c r="I830" s="1">
        <v>182633</v>
      </c>
      <c r="J830" s="14" t="s">
        <v>534</v>
      </c>
      <c r="K830" s="1" t="s">
        <v>117</v>
      </c>
      <c r="L830" s="1" t="s">
        <v>394</v>
      </c>
      <c r="M830" s="14">
        <v>1</v>
      </c>
      <c r="N830" s="2">
        <v>210.19</v>
      </c>
      <c r="O830" s="16">
        <v>253</v>
      </c>
      <c r="P830" s="14">
        <v>12</v>
      </c>
      <c r="Q830" s="14">
        <f t="shared" si="12"/>
        <v>241</v>
      </c>
      <c r="R830" s="1">
        <v>9</v>
      </c>
      <c r="S830" s="1">
        <v>200010022273</v>
      </c>
      <c r="T830" s="1">
        <v>29</v>
      </c>
      <c r="U830" s="1">
        <v>1</v>
      </c>
      <c r="V830" s="1">
        <v>2</v>
      </c>
    </row>
    <row r="831" spans="1:22" x14ac:dyDescent="0.25">
      <c r="A831" s="3">
        <v>44774</v>
      </c>
      <c r="B831" s="4">
        <v>0.82155092592592593</v>
      </c>
      <c r="C831" s="1">
        <v>1412</v>
      </c>
      <c r="D831" s="1">
        <v>13002561</v>
      </c>
      <c r="E831" s="1">
        <v>13</v>
      </c>
      <c r="F831" s="1">
        <v>22589</v>
      </c>
      <c r="G831" s="1" t="s">
        <v>21</v>
      </c>
      <c r="H831" s="1">
        <v>15</v>
      </c>
      <c r="I831" s="1">
        <v>20094</v>
      </c>
      <c r="J831" s="14" t="s">
        <v>472</v>
      </c>
      <c r="K831" s="1" t="s">
        <v>29</v>
      </c>
      <c r="L831" s="1" t="s">
        <v>210</v>
      </c>
      <c r="M831" s="14">
        <v>1</v>
      </c>
      <c r="N831" s="2">
        <v>196.48</v>
      </c>
      <c r="O831" s="16">
        <v>270</v>
      </c>
      <c r="P831" s="14">
        <v>18</v>
      </c>
      <c r="Q831" s="14">
        <f t="shared" si="12"/>
        <v>252</v>
      </c>
      <c r="R831" s="1">
        <v>9</v>
      </c>
      <c r="S831" s="1">
        <v>200010022499</v>
      </c>
      <c r="T831" s="1">
        <v>29</v>
      </c>
      <c r="U831" s="1">
        <v>1</v>
      </c>
      <c r="V831" s="1">
        <v>1</v>
      </c>
    </row>
    <row r="832" spans="1:22" x14ac:dyDescent="0.25">
      <c r="A832" s="3">
        <v>44776</v>
      </c>
      <c r="B832" s="4">
        <v>0.56773148148148145</v>
      </c>
      <c r="C832" s="1">
        <v>1599</v>
      </c>
      <c r="D832" s="1">
        <v>13002595</v>
      </c>
      <c r="E832" s="1">
        <v>13</v>
      </c>
      <c r="F832" s="1">
        <v>22589</v>
      </c>
      <c r="G832" s="1" t="s">
        <v>21</v>
      </c>
      <c r="H832" s="1">
        <v>18</v>
      </c>
      <c r="I832" s="1">
        <v>3037</v>
      </c>
      <c r="J832" s="14" t="s">
        <v>831</v>
      </c>
      <c r="K832" s="1" t="s">
        <v>34</v>
      </c>
      <c r="L832" s="1" t="s">
        <v>832</v>
      </c>
      <c r="M832" s="14">
        <v>1</v>
      </c>
      <c r="N832" s="2">
        <v>149.37</v>
      </c>
      <c r="O832" s="16">
        <v>217</v>
      </c>
      <c r="P832" s="14">
        <v>0</v>
      </c>
      <c r="Q832" s="14">
        <f t="shared" si="12"/>
        <v>217</v>
      </c>
      <c r="R832" s="1" t="s">
        <v>25</v>
      </c>
      <c r="S832" s="1" t="s">
        <v>25</v>
      </c>
      <c r="T832" s="1">
        <v>29</v>
      </c>
      <c r="U832" s="1">
        <v>1</v>
      </c>
      <c r="V832" s="1">
        <v>5</v>
      </c>
    </row>
    <row r="833" spans="1:22" x14ac:dyDescent="0.25">
      <c r="A833" s="3">
        <v>44778</v>
      </c>
      <c r="B833" s="4">
        <v>0.34179398148148149</v>
      </c>
      <c r="C833" s="1">
        <v>1783</v>
      </c>
      <c r="D833" s="1">
        <v>13002616</v>
      </c>
      <c r="E833" s="1">
        <v>13</v>
      </c>
      <c r="F833" s="1">
        <v>22589</v>
      </c>
      <c r="G833" s="1" t="s">
        <v>21</v>
      </c>
      <c r="H833" s="1">
        <v>18</v>
      </c>
      <c r="I833" s="1">
        <v>318215</v>
      </c>
      <c r="J833" s="14" t="s">
        <v>1075</v>
      </c>
      <c r="K833" s="1" t="s">
        <v>45</v>
      </c>
      <c r="L833" s="1" t="s">
        <v>1076</v>
      </c>
      <c r="M833" s="14">
        <v>1</v>
      </c>
      <c r="N833" s="2">
        <v>446.06</v>
      </c>
      <c r="O833" s="16">
        <v>589</v>
      </c>
      <c r="P833" s="14">
        <v>36.39</v>
      </c>
      <c r="Q833" s="14">
        <f t="shared" si="12"/>
        <v>552.61</v>
      </c>
      <c r="R833" s="1">
        <v>925</v>
      </c>
      <c r="S833" s="1">
        <v>200000000492</v>
      </c>
      <c r="T833" s="1">
        <v>50</v>
      </c>
      <c r="U833" s="1">
        <v>1</v>
      </c>
      <c r="V833" s="1">
        <v>3</v>
      </c>
    </row>
    <row r="834" spans="1:22" x14ac:dyDescent="0.25">
      <c r="A834" s="3">
        <v>44775</v>
      </c>
      <c r="B834" s="4">
        <v>0.44946759259259261</v>
      </c>
      <c r="C834" s="1">
        <v>1436</v>
      </c>
      <c r="D834" s="1">
        <v>13002581</v>
      </c>
      <c r="E834" s="1">
        <v>13</v>
      </c>
      <c r="F834" s="1">
        <v>22589</v>
      </c>
      <c r="G834" s="1" t="s">
        <v>21</v>
      </c>
      <c r="H834" s="1">
        <v>18</v>
      </c>
      <c r="I834" s="1">
        <v>347696</v>
      </c>
      <c r="J834" s="14" t="s">
        <v>523</v>
      </c>
      <c r="K834" s="1" t="s">
        <v>51</v>
      </c>
      <c r="L834" s="1" t="s">
        <v>492</v>
      </c>
      <c r="M834" s="14">
        <v>1</v>
      </c>
      <c r="N834" s="2">
        <v>288.08</v>
      </c>
      <c r="O834" s="16">
        <v>438</v>
      </c>
      <c r="P834" s="14">
        <v>43</v>
      </c>
      <c r="Q834" s="14">
        <f t="shared" ref="Q834:Q897" si="13">M834*O834-P834</f>
        <v>395</v>
      </c>
      <c r="R834" s="1">
        <v>9</v>
      </c>
      <c r="S834" s="1">
        <v>200010011842</v>
      </c>
      <c r="T834" s="1">
        <v>29</v>
      </c>
      <c r="U834" s="1">
        <v>1</v>
      </c>
      <c r="V834" s="1">
        <v>2</v>
      </c>
    </row>
    <row r="835" spans="1:22" x14ac:dyDescent="0.25">
      <c r="A835" s="3">
        <v>44775</v>
      </c>
      <c r="B835" s="4">
        <v>0.38952546296296298</v>
      </c>
      <c r="C835" s="1">
        <v>1427</v>
      </c>
      <c r="D835" s="1">
        <v>13002581</v>
      </c>
      <c r="E835" s="1">
        <v>13</v>
      </c>
      <c r="F835" s="1">
        <v>22589</v>
      </c>
      <c r="G835" s="1" t="s">
        <v>21</v>
      </c>
      <c r="H835" s="1">
        <v>15</v>
      </c>
      <c r="I835" s="1">
        <v>347642</v>
      </c>
      <c r="J835" s="14" t="s">
        <v>499</v>
      </c>
      <c r="K835" s="1" t="s">
        <v>51</v>
      </c>
      <c r="L835" s="1" t="s">
        <v>492</v>
      </c>
      <c r="M835" s="14">
        <v>1</v>
      </c>
      <c r="N835" s="2">
        <v>334.63</v>
      </c>
      <c r="O835" s="16">
        <v>492</v>
      </c>
      <c r="P835" s="14">
        <v>49</v>
      </c>
      <c r="Q835" s="14">
        <f t="shared" si="13"/>
        <v>443</v>
      </c>
      <c r="R835" s="1">
        <v>9</v>
      </c>
      <c r="S835" s="1">
        <v>200010021998</v>
      </c>
      <c r="T835" s="1">
        <v>29</v>
      </c>
      <c r="U835" s="1">
        <v>1</v>
      </c>
      <c r="V835" s="1">
        <v>2</v>
      </c>
    </row>
    <row r="836" spans="1:22" x14ac:dyDescent="0.25">
      <c r="A836" s="3">
        <v>44775</v>
      </c>
      <c r="B836" s="4">
        <v>0.38211805555555556</v>
      </c>
      <c r="C836" s="1">
        <v>1423</v>
      </c>
      <c r="D836" s="1">
        <v>13002581</v>
      </c>
      <c r="E836" s="1">
        <v>13</v>
      </c>
      <c r="F836" s="1">
        <v>22589</v>
      </c>
      <c r="G836" s="1" t="s">
        <v>21</v>
      </c>
      <c r="H836" s="1">
        <v>18</v>
      </c>
      <c r="I836" s="1">
        <v>386904</v>
      </c>
      <c r="J836" s="14" t="s">
        <v>493</v>
      </c>
      <c r="K836" s="1" t="s">
        <v>117</v>
      </c>
      <c r="L836" s="1" t="s">
        <v>494</v>
      </c>
      <c r="M836" s="14">
        <v>1</v>
      </c>
      <c r="N836" s="2">
        <v>199.03</v>
      </c>
      <c r="O836" s="16">
        <v>309</v>
      </c>
      <c r="P836" s="14">
        <v>0</v>
      </c>
      <c r="Q836" s="14">
        <f t="shared" si="13"/>
        <v>309</v>
      </c>
      <c r="R836" s="1" t="s">
        <v>25</v>
      </c>
      <c r="S836" s="1" t="s">
        <v>25</v>
      </c>
      <c r="T836" s="1">
        <v>29</v>
      </c>
      <c r="U836" s="1">
        <v>1</v>
      </c>
      <c r="V836" s="1">
        <v>1</v>
      </c>
    </row>
    <row r="837" spans="1:22" x14ac:dyDescent="0.25">
      <c r="A837" s="3">
        <v>44774</v>
      </c>
      <c r="B837" s="4">
        <v>0.74195601851851856</v>
      </c>
      <c r="C837" s="1">
        <v>1391</v>
      </c>
      <c r="D837" s="1">
        <v>13002561</v>
      </c>
      <c r="E837" s="1">
        <v>13</v>
      </c>
      <c r="F837" s="1">
        <v>22589</v>
      </c>
      <c r="G837" s="1" t="s">
        <v>21</v>
      </c>
      <c r="H837" s="1">
        <v>15</v>
      </c>
      <c r="I837" s="1">
        <v>13574</v>
      </c>
      <c r="J837" s="14" t="s">
        <v>416</v>
      </c>
      <c r="K837" s="1" t="s">
        <v>48</v>
      </c>
      <c r="L837" s="1" t="s">
        <v>417</v>
      </c>
      <c r="M837" s="14">
        <v>0.1</v>
      </c>
      <c r="N837" s="2">
        <v>927.61</v>
      </c>
      <c r="O837" s="16">
        <v>1197</v>
      </c>
      <c r="P837" s="14">
        <v>0</v>
      </c>
      <c r="Q837" s="14">
        <f t="shared" si="13"/>
        <v>119.7</v>
      </c>
      <c r="R837" s="1" t="s">
        <v>25</v>
      </c>
      <c r="S837" s="1" t="s">
        <v>25</v>
      </c>
      <c r="T837" s="1">
        <v>29</v>
      </c>
      <c r="U837" s="1">
        <v>1</v>
      </c>
      <c r="V837" s="1">
        <v>2</v>
      </c>
    </row>
    <row r="838" spans="1:22" x14ac:dyDescent="0.25">
      <c r="A838" s="3">
        <v>44775</v>
      </c>
      <c r="B838" s="4">
        <v>0.67783564814814812</v>
      </c>
      <c r="C838" s="1">
        <v>1494</v>
      </c>
      <c r="D838" s="1">
        <v>13002581</v>
      </c>
      <c r="E838" s="1">
        <v>13</v>
      </c>
      <c r="F838" s="1">
        <v>22589</v>
      </c>
      <c r="G838" s="1" t="s">
        <v>21</v>
      </c>
      <c r="H838" s="1">
        <v>15</v>
      </c>
      <c r="I838" s="1">
        <v>13574</v>
      </c>
      <c r="J838" s="14" t="s">
        <v>416</v>
      </c>
      <c r="K838" s="1" t="s">
        <v>48</v>
      </c>
      <c r="L838" s="1" t="s">
        <v>417</v>
      </c>
      <c r="M838" s="14">
        <v>0.1</v>
      </c>
      <c r="N838" s="2">
        <v>927.61</v>
      </c>
      <c r="O838" s="16">
        <v>1197</v>
      </c>
      <c r="P838" s="14">
        <v>7.7</v>
      </c>
      <c r="Q838" s="14">
        <f t="shared" si="13"/>
        <v>112</v>
      </c>
      <c r="R838" s="1">
        <v>9</v>
      </c>
      <c r="S838" s="1">
        <v>200010003383</v>
      </c>
      <c r="T838" s="1">
        <v>29</v>
      </c>
      <c r="U838" s="1">
        <v>1</v>
      </c>
      <c r="V838" s="1">
        <v>1</v>
      </c>
    </row>
    <row r="839" spans="1:22" x14ac:dyDescent="0.25">
      <c r="A839" s="3">
        <v>44776</v>
      </c>
      <c r="B839" s="4">
        <v>0.44114583333333335</v>
      </c>
      <c r="C839" s="1">
        <v>1556</v>
      </c>
      <c r="D839" s="1">
        <v>13002595</v>
      </c>
      <c r="E839" s="1">
        <v>13</v>
      </c>
      <c r="F839" s="1">
        <v>22589</v>
      </c>
      <c r="G839" s="1" t="s">
        <v>21</v>
      </c>
      <c r="H839" s="1">
        <v>15</v>
      </c>
      <c r="I839" s="1">
        <v>13574</v>
      </c>
      <c r="J839" s="14" t="s">
        <v>416</v>
      </c>
      <c r="K839" s="1" t="s">
        <v>29</v>
      </c>
      <c r="L839" s="1" t="s">
        <v>743</v>
      </c>
      <c r="M839" s="14">
        <v>1</v>
      </c>
      <c r="N839" s="2">
        <v>914.38</v>
      </c>
      <c r="O839" s="16">
        <v>1180</v>
      </c>
      <c r="P839" s="14">
        <v>82</v>
      </c>
      <c r="Q839" s="14">
        <f t="shared" si="13"/>
        <v>1098</v>
      </c>
      <c r="R839" s="1">
        <v>9</v>
      </c>
      <c r="S839" s="1">
        <v>200010004807</v>
      </c>
      <c r="T839" s="1">
        <v>29</v>
      </c>
      <c r="U839" s="1">
        <v>1</v>
      </c>
      <c r="V839" s="1">
        <v>1</v>
      </c>
    </row>
    <row r="840" spans="1:22" x14ac:dyDescent="0.25">
      <c r="A840" s="3">
        <v>44777</v>
      </c>
      <c r="B840" s="4">
        <v>0.45601851851851855</v>
      </c>
      <c r="C840" s="1">
        <v>1675</v>
      </c>
      <c r="D840" s="1">
        <v>13002606</v>
      </c>
      <c r="E840" s="1">
        <v>13</v>
      </c>
      <c r="F840" s="1">
        <v>22589</v>
      </c>
      <c r="G840" s="1" t="s">
        <v>21</v>
      </c>
      <c r="H840" s="1">
        <v>18</v>
      </c>
      <c r="I840" s="1">
        <v>13574</v>
      </c>
      <c r="J840" s="14" t="s">
        <v>416</v>
      </c>
      <c r="K840" s="1" t="s">
        <v>48</v>
      </c>
      <c r="L840" s="1" t="s">
        <v>417</v>
      </c>
      <c r="M840" s="14">
        <v>0.1</v>
      </c>
      <c r="N840" s="2">
        <v>927.61</v>
      </c>
      <c r="O840" s="16">
        <v>1197</v>
      </c>
      <c r="P840" s="14">
        <v>0</v>
      </c>
      <c r="Q840" s="14">
        <f t="shared" si="13"/>
        <v>119.7</v>
      </c>
      <c r="R840" s="1" t="s">
        <v>25</v>
      </c>
      <c r="S840" s="1" t="s">
        <v>25</v>
      </c>
      <c r="T840" s="1">
        <v>50</v>
      </c>
      <c r="U840" s="1">
        <v>1</v>
      </c>
      <c r="V840" s="1">
        <v>3</v>
      </c>
    </row>
    <row r="841" spans="1:22" x14ac:dyDescent="0.25">
      <c r="A841" s="3">
        <v>44776</v>
      </c>
      <c r="B841" s="4">
        <v>0.78501157407407407</v>
      </c>
      <c r="C841" s="1">
        <v>1648</v>
      </c>
      <c r="D841" s="1">
        <v>13002595</v>
      </c>
      <c r="E841" s="1">
        <v>13</v>
      </c>
      <c r="F841" s="1">
        <v>22589</v>
      </c>
      <c r="G841" s="1" t="s">
        <v>21</v>
      </c>
      <c r="H841" s="1">
        <v>15</v>
      </c>
      <c r="I841" s="1">
        <v>342459</v>
      </c>
      <c r="J841" s="14" t="s">
        <v>910</v>
      </c>
      <c r="K841" s="1" t="s">
        <v>51</v>
      </c>
      <c r="L841" s="1" t="s">
        <v>844</v>
      </c>
      <c r="M841" s="14">
        <v>1</v>
      </c>
      <c r="N841" s="2">
        <v>57.82</v>
      </c>
      <c r="O841" s="16">
        <v>83</v>
      </c>
      <c r="P841" s="14">
        <v>0</v>
      </c>
      <c r="Q841" s="14">
        <f t="shared" si="13"/>
        <v>83</v>
      </c>
      <c r="R841" s="1" t="s">
        <v>25</v>
      </c>
      <c r="S841" s="1" t="s">
        <v>25</v>
      </c>
      <c r="T841" s="1">
        <v>29</v>
      </c>
      <c r="U841" s="1">
        <v>1</v>
      </c>
      <c r="V841" s="1">
        <v>2</v>
      </c>
    </row>
    <row r="842" spans="1:22" x14ac:dyDescent="0.25">
      <c r="A842" s="3">
        <v>44776</v>
      </c>
      <c r="B842" s="4">
        <v>0.82193287037037033</v>
      </c>
      <c r="C842" s="1">
        <v>1658</v>
      </c>
      <c r="D842" s="1">
        <v>13002595</v>
      </c>
      <c r="E842" s="1">
        <v>13</v>
      </c>
      <c r="F842" s="1">
        <v>22589</v>
      </c>
      <c r="G842" s="1" t="s">
        <v>21</v>
      </c>
      <c r="H842" s="1">
        <v>15</v>
      </c>
      <c r="I842" s="1">
        <v>9634</v>
      </c>
      <c r="J842" s="14" t="s">
        <v>925</v>
      </c>
      <c r="K842" s="1" t="s">
        <v>23</v>
      </c>
      <c r="L842" s="1" t="s">
        <v>926</v>
      </c>
      <c r="M842" s="14">
        <v>1</v>
      </c>
      <c r="N842" s="2">
        <v>370.22</v>
      </c>
      <c r="O842" s="16">
        <v>489</v>
      </c>
      <c r="P842" s="14">
        <v>34</v>
      </c>
      <c r="Q842" s="14">
        <f t="shared" si="13"/>
        <v>455</v>
      </c>
      <c r="R842" s="1">
        <v>9</v>
      </c>
      <c r="S842" s="1">
        <v>200010019519</v>
      </c>
      <c r="T842" s="1">
        <v>29</v>
      </c>
      <c r="U842" s="1">
        <v>1</v>
      </c>
      <c r="V842" s="1">
        <v>1</v>
      </c>
    </row>
    <row r="843" spans="1:22" x14ac:dyDescent="0.25">
      <c r="A843" s="3">
        <v>44774</v>
      </c>
      <c r="B843" s="4">
        <v>0.5615162037037037</v>
      </c>
      <c r="C843" s="1">
        <v>1343</v>
      </c>
      <c r="D843" s="1">
        <v>13002561</v>
      </c>
      <c r="E843" s="1">
        <v>13</v>
      </c>
      <c r="F843" s="1">
        <v>22589</v>
      </c>
      <c r="G843" s="1" t="s">
        <v>21</v>
      </c>
      <c r="H843" s="1">
        <v>15</v>
      </c>
      <c r="I843" s="1">
        <v>100370</v>
      </c>
      <c r="J843" s="14" t="s">
        <v>291</v>
      </c>
      <c r="K843" s="1" t="s">
        <v>117</v>
      </c>
      <c r="L843" s="1" t="s">
        <v>248</v>
      </c>
      <c r="M843" s="14">
        <v>1</v>
      </c>
      <c r="N843" s="2">
        <v>32.74</v>
      </c>
      <c r="O843" s="16">
        <v>41</v>
      </c>
      <c r="P843" s="14">
        <v>2</v>
      </c>
      <c r="Q843" s="14">
        <f t="shared" si="13"/>
        <v>39</v>
      </c>
      <c r="R843" s="1">
        <v>9</v>
      </c>
      <c r="S843" s="1">
        <v>200010023539</v>
      </c>
      <c r="T843" s="1">
        <v>29</v>
      </c>
      <c r="U843" s="1">
        <v>1</v>
      </c>
      <c r="V843" s="1">
        <v>1</v>
      </c>
    </row>
    <row r="844" spans="1:22" x14ac:dyDescent="0.25">
      <c r="A844" s="3">
        <v>44774</v>
      </c>
      <c r="B844" s="4">
        <v>0.5615162037037037</v>
      </c>
      <c r="C844" s="1">
        <v>1343</v>
      </c>
      <c r="D844" s="1">
        <v>13002561</v>
      </c>
      <c r="E844" s="1">
        <v>13</v>
      </c>
      <c r="F844" s="1">
        <v>22589</v>
      </c>
      <c r="G844" s="1" t="s">
        <v>21</v>
      </c>
      <c r="H844" s="1">
        <v>15</v>
      </c>
      <c r="I844" s="1">
        <v>100370</v>
      </c>
      <c r="J844" s="14" t="s">
        <v>291</v>
      </c>
      <c r="K844" s="1" t="s">
        <v>292</v>
      </c>
      <c r="L844" s="1" t="s">
        <v>248</v>
      </c>
      <c r="M844" s="14">
        <v>1</v>
      </c>
      <c r="N844" s="2">
        <v>34.840000000000003</v>
      </c>
      <c r="O844" s="16">
        <v>43</v>
      </c>
      <c r="P844" s="14">
        <v>2</v>
      </c>
      <c r="Q844" s="14">
        <f t="shared" si="13"/>
        <v>41</v>
      </c>
      <c r="R844" s="1">
        <v>9</v>
      </c>
      <c r="S844" s="1">
        <v>200010023539</v>
      </c>
      <c r="T844" s="1">
        <v>29</v>
      </c>
      <c r="U844" s="1">
        <v>1</v>
      </c>
      <c r="V844" s="1">
        <v>2</v>
      </c>
    </row>
    <row r="845" spans="1:22" x14ac:dyDescent="0.25">
      <c r="A845" s="3">
        <v>44776</v>
      </c>
      <c r="B845" s="4">
        <v>0.48405092592592591</v>
      </c>
      <c r="C845" s="1">
        <v>1569</v>
      </c>
      <c r="D845" s="1">
        <v>13002595</v>
      </c>
      <c r="E845" s="1">
        <v>13</v>
      </c>
      <c r="F845" s="1">
        <v>22589</v>
      </c>
      <c r="G845" s="1" t="s">
        <v>21</v>
      </c>
      <c r="H845" s="1">
        <v>18</v>
      </c>
      <c r="I845" s="1">
        <v>100370</v>
      </c>
      <c r="J845" s="14" t="s">
        <v>291</v>
      </c>
      <c r="K845" s="1" t="s">
        <v>117</v>
      </c>
      <c r="L845" s="1" t="s">
        <v>248</v>
      </c>
      <c r="M845" s="14">
        <v>1</v>
      </c>
      <c r="N845" s="2">
        <v>32.74</v>
      </c>
      <c r="O845" s="16">
        <v>41</v>
      </c>
      <c r="P845" s="14">
        <v>2</v>
      </c>
      <c r="Q845" s="14">
        <f t="shared" si="13"/>
        <v>39</v>
      </c>
      <c r="R845" s="1">
        <v>9</v>
      </c>
      <c r="S845" s="1">
        <v>200010017048</v>
      </c>
      <c r="T845" s="1">
        <v>29</v>
      </c>
      <c r="U845" s="1">
        <v>1</v>
      </c>
      <c r="V845" s="1">
        <v>2</v>
      </c>
    </row>
    <row r="846" spans="1:22" x14ac:dyDescent="0.25">
      <c r="A846" s="3">
        <v>44776</v>
      </c>
      <c r="B846" s="4">
        <v>0.73282407407407413</v>
      </c>
      <c r="C846" s="1">
        <v>1635</v>
      </c>
      <c r="D846" s="1">
        <v>13002595</v>
      </c>
      <c r="E846" s="1">
        <v>13</v>
      </c>
      <c r="F846" s="1">
        <v>22589</v>
      </c>
      <c r="G846" s="1" t="s">
        <v>21</v>
      </c>
      <c r="H846" s="1">
        <v>15</v>
      </c>
      <c r="I846" s="1">
        <v>6597</v>
      </c>
      <c r="J846" s="14" t="s">
        <v>894</v>
      </c>
      <c r="K846" s="1" t="s">
        <v>45</v>
      </c>
      <c r="L846" s="1" t="s">
        <v>895</v>
      </c>
      <c r="M846" s="14">
        <v>0.33333332999999998</v>
      </c>
      <c r="N846" s="2">
        <v>1150.58</v>
      </c>
      <c r="O846" s="16">
        <v>1531</v>
      </c>
      <c r="P846" s="14">
        <v>0</v>
      </c>
      <c r="Q846" s="14">
        <f t="shared" si="13"/>
        <v>510.33332822999995</v>
      </c>
      <c r="R846" s="1" t="s">
        <v>25</v>
      </c>
      <c r="S846" s="1" t="s">
        <v>25</v>
      </c>
      <c r="T846" s="1">
        <v>29</v>
      </c>
      <c r="U846" s="1">
        <v>1</v>
      </c>
      <c r="V846" s="1">
        <v>1</v>
      </c>
    </row>
    <row r="847" spans="1:22" x14ac:dyDescent="0.25">
      <c r="A847" s="3">
        <v>44774</v>
      </c>
      <c r="B847" s="4">
        <v>0.54684027777777777</v>
      </c>
      <c r="C847" s="1">
        <v>1336</v>
      </c>
      <c r="D847" s="1">
        <v>13002561</v>
      </c>
      <c r="E847" s="1">
        <v>13</v>
      </c>
      <c r="F847" s="1">
        <v>22589</v>
      </c>
      <c r="G847" s="1" t="s">
        <v>21</v>
      </c>
      <c r="H847" s="1">
        <v>15</v>
      </c>
      <c r="I847" s="1">
        <v>100228</v>
      </c>
      <c r="J847" s="14" t="s">
        <v>275</v>
      </c>
      <c r="K847" s="1" t="s">
        <v>23</v>
      </c>
      <c r="L847" s="1" t="s">
        <v>276</v>
      </c>
      <c r="M847" s="14">
        <v>1</v>
      </c>
      <c r="N847" s="2">
        <v>639.91999999999996</v>
      </c>
      <c r="O847" s="16">
        <v>788</v>
      </c>
      <c r="P847" s="14">
        <v>0</v>
      </c>
      <c r="Q847" s="14">
        <f t="shared" si="13"/>
        <v>788</v>
      </c>
      <c r="R847" s="1" t="s">
        <v>25</v>
      </c>
      <c r="S847" s="1" t="s">
        <v>25</v>
      </c>
      <c r="T847" s="1">
        <v>29</v>
      </c>
      <c r="U847" s="1">
        <v>1</v>
      </c>
      <c r="V847" s="1">
        <v>1</v>
      </c>
    </row>
    <row r="848" spans="1:22" x14ac:dyDescent="0.25">
      <c r="A848" s="3">
        <v>44774</v>
      </c>
      <c r="B848" s="4">
        <v>0.77285879629629628</v>
      </c>
      <c r="C848" s="1">
        <v>1399</v>
      </c>
      <c r="D848" s="1">
        <v>13002561</v>
      </c>
      <c r="E848" s="1">
        <v>13</v>
      </c>
      <c r="F848" s="1">
        <v>22589</v>
      </c>
      <c r="G848" s="1" t="s">
        <v>21</v>
      </c>
      <c r="H848" s="1">
        <v>18</v>
      </c>
      <c r="I848" s="1">
        <v>100269</v>
      </c>
      <c r="J848" s="14" t="s">
        <v>435</v>
      </c>
      <c r="K848" s="1" t="s">
        <v>29</v>
      </c>
      <c r="L848" s="1" t="s">
        <v>436</v>
      </c>
      <c r="M848" s="14">
        <v>1</v>
      </c>
      <c r="N848" s="2">
        <v>726.99</v>
      </c>
      <c r="O848" s="16">
        <v>895</v>
      </c>
      <c r="P848" s="14">
        <v>62</v>
      </c>
      <c r="Q848" s="14">
        <f t="shared" si="13"/>
        <v>833</v>
      </c>
      <c r="R848" s="1">
        <v>9</v>
      </c>
      <c r="S848" s="1">
        <v>200010012028</v>
      </c>
      <c r="T848" s="1">
        <v>29</v>
      </c>
      <c r="U848" s="1">
        <v>1</v>
      </c>
      <c r="V848" s="1">
        <v>1</v>
      </c>
    </row>
    <row r="849" spans="1:22" x14ac:dyDescent="0.25">
      <c r="A849" s="3">
        <v>44776</v>
      </c>
      <c r="B849" s="4">
        <v>0.56052083333333336</v>
      </c>
      <c r="C849" s="1">
        <v>1596</v>
      </c>
      <c r="D849" s="1">
        <v>13002595</v>
      </c>
      <c r="E849" s="1">
        <v>13</v>
      </c>
      <c r="F849" s="1">
        <v>22589</v>
      </c>
      <c r="G849" s="1" t="s">
        <v>21</v>
      </c>
      <c r="H849" s="1">
        <v>18</v>
      </c>
      <c r="I849" s="1">
        <v>100269</v>
      </c>
      <c r="J849" s="14" t="s">
        <v>435</v>
      </c>
      <c r="K849" s="1" t="s">
        <v>29</v>
      </c>
      <c r="L849" s="1" t="s">
        <v>436</v>
      </c>
      <c r="M849" s="14">
        <v>1</v>
      </c>
      <c r="N849" s="2">
        <v>724.63</v>
      </c>
      <c r="O849" s="16">
        <v>892</v>
      </c>
      <c r="P849" s="14">
        <v>24</v>
      </c>
      <c r="Q849" s="14">
        <f t="shared" si="13"/>
        <v>868</v>
      </c>
      <c r="R849" s="1">
        <v>925</v>
      </c>
      <c r="S849" s="1">
        <v>200000000492</v>
      </c>
      <c r="T849" s="1">
        <v>29</v>
      </c>
      <c r="U849" s="1">
        <v>1</v>
      </c>
      <c r="V849" s="1">
        <v>1</v>
      </c>
    </row>
    <row r="850" spans="1:22" x14ac:dyDescent="0.25">
      <c r="A850" s="3">
        <v>44775</v>
      </c>
      <c r="B850" s="4">
        <v>0.38119212962962962</v>
      </c>
      <c r="C850" s="1">
        <v>1422</v>
      </c>
      <c r="D850" s="1">
        <v>13002581</v>
      </c>
      <c r="E850" s="1">
        <v>13</v>
      </c>
      <c r="F850" s="1">
        <v>22589</v>
      </c>
      <c r="G850" s="1" t="s">
        <v>21</v>
      </c>
      <c r="H850" s="1">
        <v>18</v>
      </c>
      <c r="I850" s="1">
        <v>101346</v>
      </c>
      <c r="J850" s="14" t="s">
        <v>485</v>
      </c>
      <c r="K850" s="1" t="s">
        <v>117</v>
      </c>
      <c r="L850" s="1" t="s">
        <v>39</v>
      </c>
      <c r="M850" s="14">
        <v>1</v>
      </c>
      <c r="N850" s="2">
        <v>107.34</v>
      </c>
      <c r="O850" s="16">
        <v>148</v>
      </c>
      <c r="P850" s="14">
        <v>10</v>
      </c>
      <c r="Q850" s="14">
        <f t="shared" si="13"/>
        <v>138</v>
      </c>
      <c r="R850" s="1">
        <v>9</v>
      </c>
      <c r="S850" s="1">
        <v>200010004069</v>
      </c>
      <c r="T850" s="1">
        <v>29</v>
      </c>
      <c r="U850" s="1">
        <v>1</v>
      </c>
      <c r="V850" s="1">
        <v>7</v>
      </c>
    </row>
    <row r="851" spans="1:22" x14ac:dyDescent="0.25">
      <c r="A851" s="3">
        <v>44778</v>
      </c>
      <c r="B851" s="4">
        <v>0.64842592592592596</v>
      </c>
      <c r="C851" s="1">
        <v>1865</v>
      </c>
      <c r="D851" s="1">
        <v>13002616</v>
      </c>
      <c r="E851" s="1">
        <v>13</v>
      </c>
      <c r="F851" s="1">
        <v>22589</v>
      </c>
      <c r="G851" s="1" t="s">
        <v>21</v>
      </c>
      <c r="H851" s="1">
        <v>18</v>
      </c>
      <c r="I851" s="1">
        <v>101346</v>
      </c>
      <c r="J851" s="14" t="s">
        <v>485</v>
      </c>
      <c r="K851" s="1" t="s">
        <v>51</v>
      </c>
      <c r="L851" s="1" t="s">
        <v>272</v>
      </c>
      <c r="M851" s="14">
        <v>1</v>
      </c>
      <c r="N851" s="2">
        <v>115.48</v>
      </c>
      <c r="O851" s="16">
        <v>159</v>
      </c>
      <c r="P851" s="14">
        <v>0</v>
      </c>
      <c r="Q851" s="14">
        <f t="shared" si="13"/>
        <v>159</v>
      </c>
      <c r="R851" s="1" t="s">
        <v>25</v>
      </c>
      <c r="S851" s="1" t="s">
        <v>25</v>
      </c>
      <c r="T851" s="1">
        <v>50</v>
      </c>
      <c r="U851" s="1">
        <v>1</v>
      </c>
      <c r="V851" s="1">
        <v>4</v>
      </c>
    </row>
    <row r="852" spans="1:22" x14ac:dyDescent="0.25">
      <c r="A852" s="3">
        <v>44776</v>
      </c>
      <c r="B852" s="4">
        <v>0.66252314814814817</v>
      </c>
      <c r="C852" s="1">
        <v>1622</v>
      </c>
      <c r="D852" s="1">
        <v>13002595</v>
      </c>
      <c r="E852" s="1">
        <v>13</v>
      </c>
      <c r="F852" s="1">
        <v>22589</v>
      </c>
      <c r="G852" s="1" t="s">
        <v>21</v>
      </c>
      <c r="H852" s="1">
        <v>18</v>
      </c>
      <c r="I852" s="1">
        <v>101347</v>
      </c>
      <c r="J852" s="14" t="s">
        <v>875</v>
      </c>
      <c r="K852" s="1" t="s">
        <v>29</v>
      </c>
      <c r="L852" s="1" t="s">
        <v>272</v>
      </c>
      <c r="M852" s="14">
        <v>1</v>
      </c>
      <c r="N852" s="2">
        <v>269.87</v>
      </c>
      <c r="O852" s="16">
        <v>365</v>
      </c>
      <c r="P852" s="14">
        <v>3.26</v>
      </c>
      <c r="Q852" s="14">
        <f t="shared" si="13"/>
        <v>361.74</v>
      </c>
      <c r="R852" s="1">
        <v>925</v>
      </c>
      <c r="S852" s="1">
        <v>200000000492</v>
      </c>
      <c r="T852" s="1">
        <v>29</v>
      </c>
      <c r="U852" s="1">
        <v>1</v>
      </c>
      <c r="V852" s="1">
        <v>1</v>
      </c>
    </row>
    <row r="853" spans="1:22" x14ac:dyDescent="0.25">
      <c r="A853" s="3">
        <v>44778</v>
      </c>
      <c r="B853" s="4">
        <v>0.7277893518518519</v>
      </c>
      <c r="C853" s="1">
        <v>1881</v>
      </c>
      <c r="D853" s="1">
        <v>13002616</v>
      </c>
      <c r="E853" s="1">
        <v>13</v>
      </c>
      <c r="F853" s="1">
        <v>22589</v>
      </c>
      <c r="G853" s="1" t="s">
        <v>21</v>
      </c>
      <c r="H853" s="1">
        <v>18</v>
      </c>
      <c r="I853" s="1">
        <v>101347</v>
      </c>
      <c r="J853" s="14" t="s">
        <v>875</v>
      </c>
      <c r="K853" s="1" t="s">
        <v>29</v>
      </c>
      <c r="L853" s="1" t="s">
        <v>272</v>
      </c>
      <c r="M853" s="14">
        <v>1</v>
      </c>
      <c r="N853" s="2">
        <v>269.87</v>
      </c>
      <c r="O853" s="16">
        <v>365</v>
      </c>
      <c r="P853" s="14">
        <v>25</v>
      </c>
      <c r="Q853" s="14">
        <f t="shared" si="13"/>
        <v>340</v>
      </c>
      <c r="R853" s="1">
        <v>9</v>
      </c>
      <c r="S853" s="1">
        <v>200010012138</v>
      </c>
      <c r="T853" s="1">
        <v>50</v>
      </c>
      <c r="U853" s="1">
        <v>1</v>
      </c>
      <c r="V853" s="1">
        <v>1</v>
      </c>
    </row>
    <row r="854" spans="1:22" x14ac:dyDescent="0.25">
      <c r="A854" s="3">
        <v>44775</v>
      </c>
      <c r="B854" s="4">
        <v>0.57376157407407402</v>
      </c>
      <c r="C854" s="1">
        <v>1477</v>
      </c>
      <c r="D854" s="1">
        <v>13002581</v>
      </c>
      <c r="E854" s="1">
        <v>13</v>
      </c>
      <c r="F854" s="1">
        <v>22589</v>
      </c>
      <c r="G854" s="1" t="s">
        <v>21</v>
      </c>
      <c r="H854" s="1">
        <v>18</v>
      </c>
      <c r="I854" s="1">
        <v>254242</v>
      </c>
      <c r="J854" s="14" t="s">
        <v>603</v>
      </c>
      <c r="K854" s="1" t="s">
        <v>61</v>
      </c>
      <c r="L854" s="1" t="s">
        <v>604</v>
      </c>
      <c r="M854" s="14">
        <v>1</v>
      </c>
      <c r="N854" s="2">
        <v>513.24</v>
      </c>
      <c r="O854" s="16">
        <v>719</v>
      </c>
      <c r="P854" s="14">
        <v>0</v>
      </c>
      <c r="Q854" s="14">
        <f t="shared" si="13"/>
        <v>719</v>
      </c>
      <c r="R854" s="1" t="s">
        <v>25</v>
      </c>
      <c r="S854" s="1" t="s">
        <v>25</v>
      </c>
      <c r="T854" s="1">
        <v>29</v>
      </c>
      <c r="U854" s="1">
        <v>1</v>
      </c>
      <c r="V854" s="1">
        <v>4</v>
      </c>
    </row>
    <row r="855" spans="1:22" x14ac:dyDescent="0.25">
      <c r="A855" s="3">
        <v>44777</v>
      </c>
      <c r="B855" s="4">
        <v>0.69369212962962967</v>
      </c>
      <c r="C855" s="1">
        <v>1751</v>
      </c>
      <c r="D855" s="1">
        <v>13002606</v>
      </c>
      <c r="E855" s="1">
        <v>13</v>
      </c>
      <c r="F855" s="1">
        <v>22589</v>
      </c>
      <c r="G855" s="1" t="s">
        <v>21</v>
      </c>
      <c r="H855" s="1">
        <v>15</v>
      </c>
      <c r="I855" s="1">
        <v>9591</v>
      </c>
      <c r="J855" s="14" t="s">
        <v>1049</v>
      </c>
      <c r="K855" s="1" t="s">
        <v>48</v>
      </c>
      <c r="L855" s="1" t="s">
        <v>895</v>
      </c>
      <c r="M855" s="14">
        <v>1</v>
      </c>
      <c r="N855" s="2">
        <v>168.92</v>
      </c>
      <c r="O855" s="16">
        <v>200</v>
      </c>
      <c r="P855" s="14">
        <v>10</v>
      </c>
      <c r="Q855" s="14">
        <f t="shared" si="13"/>
        <v>190</v>
      </c>
      <c r="R855" s="1">
        <v>9</v>
      </c>
      <c r="S855" s="1">
        <v>200010017973</v>
      </c>
      <c r="T855" s="1">
        <v>50</v>
      </c>
      <c r="U855" s="1">
        <v>1</v>
      </c>
      <c r="V855" s="1">
        <v>4</v>
      </c>
    </row>
    <row r="856" spans="1:22" x14ac:dyDescent="0.25">
      <c r="A856" s="3">
        <v>44778</v>
      </c>
      <c r="B856" s="4">
        <v>0.35546296296296298</v>
      </c>
      <c r="C856" s="1">
        <v>1787</v>
      </c>
      <c r="D856" s="1">
        <v>13002616</v>
      </c>
      <c r="E856" s="1">
        <v>13</v>
      </c>
      <c r="F856" s="1">
        <v>22589</v>
      </c>
      <c r="G856" s="1" t="s">
        <v>21</v>
      </c>
      <c r="H856" s="1">
        <v>18</v>
      </c>
      <c r="I856" s="1">
        <v>825</v>
      </c>
      <c r="J856" s="14" t="s">
        <v>1081</v>
      </c>
      <c r="K856" s="1" t="s">
        <v>23</v>
      </c>
      <c r="L856" s="1" t="s">
        <v>1082</v>
      </c>
      <c r="M856" s="14">
        <v>0.2</v>
      </c>
      <c r="N856" s="2">
        <v>454.16</v>
      </c>
      <c r="O856" s="16">
        <v>539</v>
      </c>
      <c r="P856" s="14">
        <v>0</v>
      </c>
      <c r="Q856" s="14">
        <f t="shared" si="13"/>
        <v>107.80000000000001</v>
      </c>
      <c r="R856" s="1" t="s">
        <v>25</v>
      </c>
      <c r="S856" s="1" t="s">
        <v>25</v>
      </c>
      <c r="T856" s="1">
        <v>50</v>
      </c>
      <c r="U856" s="1">
        <v>1</v>
      </c>
      <c r="V856" s="1">
        <v>2</v>
      </c>
    </row>
    <row r="857" spans="1:22" x14ac:dyDescent="0.25">
      <c r="A857" s="3">
        <v>44775</v>
      </c>
      <c r="B857" s="4">
        <v>0.44471064814814815</v>
      </c>
      <c r="C857" s="1">
        <v>1435</v>
      </c>
      <c r="D857" s="1">
        <v>13002581</v>
      </c>
      <c r="E857" s="1">
        <v>13</v>
      </c>
      <c r="F857" s="1">
        <v>22589</v>
      </c>
      <c r="G857" s="1" t="s">
        <v>21</v>
      </c>
      <c r="H857" s="1">
        <v>18</v>
      </c>
      <c r="I857" s="1">
        <v>168705</v>
      </c>
      <c r="J857" s="14" t="s">
        <v>522</v>
      </c>
      <c r="K857" s="1" t="s">
        <v>110</v>
      </c>
      <c r="L857" s="1" t="s">
        <v>449</v>
      </c>
      <c r="M857" s="14">
        <v>1</v>
      </c>
      <c r="N857" s="2">
        <v>98.01</v>
      </c>
      <c r="O857" s="16">
        <v>121</v>
      </c>
      <c r="P857" s="14">
        <v>0</v>
      </c>
      <c r="Q857" s="14">
        <f t="shared" si="13"/>
        <v>121</v>
      </c>
      <c r="R857" s="1" t="s">
        <v>25</v>
      </c>
      <c r="S857" s="1" t="s">
        <v>25</v>
      </c>
      <c r="T857" s="1">
        <v>29</v>
      </c>
      <c r="U857" s="1">
        <v>1</v>
      </c>
      <c r="V857" s="1">
        <v>1</v>
      </c>
    </row>
    <row r="858" spans="1:22" x14ac:dyDescent="0.25">
      <c r="A858" s="3">
        <v>44775</v>
      </c>
      <c r="B858" s="4">
        <v>0.71690972222222227</v>
      </c>
      <c r="C858" s="1">
        <v>1504</v>
      </c>
      <c r="D858" s="1">
        <v>13002581</v>
      </c>
      <c r="E858" s="1">
        <v>13</v>
      </c>
      <c r="F858" s="1">
        <v>22589</v>
      </c>
      <c r="G858" s="1" t="s">
        <v>21</v>
      </c>
      <c r="H858" s="1">
        <v>18</v>
      </c>
      <c r="I858" s="1">
        <v>168705</v>
      </c>
      <c r="J858" s="14" t="s">
        <v>522</v>
      </c>
      <c r="K858" s="1" t="s">
        <v>110</v>
      </c>
      <c r="L858" s="1" t="s">
        <v>449</v>
      </c>
      <c r="M858" s="14">
        <v>1</v>
      </c>
      <c r="N858" s="2">
        <v>98.01</v>
      </c>
      <c r="O858" s="16">
        <v>121</v>
      </c>
      <c r="P858" s="14">
        <v>6</v>
      </c>
      <c r="Q858" s="14">
        <f t="shared" si="13"/>
        <v>115</v>
      </c>
      <c r="R858" s="1">
        <v>9</v>
      </c>
      <c r="S858" s="1">
        <v>200010020718</v>
      </c>
      <c r="T858" s="1">
        <v>29</v>
      </c>
      <c r="U858" s="1">
        <v>1</v>
      </c>
      <c r="V858" s="1">
        <v>2</v>
      </c>
    </row>
    <row r="859" spans="1:22" x14ac:dyDescent="0.25">
      <c r="A859" s="3">
        <v>44778</v>
      </c>
      <c r="B859" s="4">
        <v>0.7950694444444445</v>
      </c>
      <c r="C859" s="1">
        <v>1896</v>
      </c>
      <c r="D859" s="1">
        <v>13002616</v>
      </c>
      <c r="E859" s="1">
        <v>13</v>
      </c>
      <c r="F859" s="1">
        <v>22589</v>
      </c>
      <c r="G859" s="1" t="s">
        <v>21</v>
      </c>
      <c r="H859" s="1">
        <v>18</v>
      </c>
      <c r="I859" s="1">
        <v>168705</v>
      </c>
      <c r="J859" s="14" t="s">
        <v>522</v>
      </c>
      <c r="K859" s="1" t="s">
        <v>110</v>
      </c>
      <c r="L859" s="1" t="s">
        <v>449</v>
      </c>
      <c r="M859" s="14">
        <v>1</v>
      </c>
      <c r="N859" s="2">
        <v>98.01</v>
      </c>
      <c r="O859" s="16">
        <v>121</v>
      </c>
      <c r="P859" s="14">
        <v>6</v>
      </c>
      <c r="Q859" s="14">
        <f t="shared" si="13"/>
        <v>115</v>
      </c>
      <c r="R859" s="1">
        <v>9</v>
      </c>
      <c r="S859" s="1">
        <v>200010023600</v>
      </c>
      <c r="T859" s="1">
        <v>50</v>
      </c>
      <c r="U859" s="1">
        <v>1</v>
      </c>
      <c r="V859" s="1">
        <v>1</v>
      </c>
    </row>
    <row r="860" spans="1:22" x14ac:dyDescent="0.25">
      <c r="A860" s="3">
        <v>44774</v>
      </c>
      <c r="B860" s="4">
        <v>0.78341435185185182</v>
      </c>
      <c r="C860" s="1">
        <v>1403</v>
      </c>
      <c r="D860" s="1">
        <v>13002561</v>
      </c>
      <c r="E860" s="1">
        <v>13</v>
      </c>
      <c r="F860" s="1">
        <v>22589</v>
      </c>
      <c r="G860" s="1" t="s">
        <v>21</v>
      </c>
      <c r="H860" s="1">
        <v>15</v>
      </c>
      <c r="I860" s="1">
        <v>393135</v>
      </c>
      <c r="J860" s="14" t="s">
        <v>448</v>
      </c>
      <c r="K860" s="1" t="s">
        <v>51</v>
      </c>
      <c r="L860" s="1" t="s">
        <v>449</v>
      </c>
      <c r="M860" s="14">
        <v>1</v>
      </c>
      <c r="N860" s="2">
        <v>211.4</v>
      </c>
      <c r="O860" s="16">
        <v>252</v>
      </c>
      <c r="P860" s="14">
        <v>12</v>
      </c>
      <c r="Q860" s="14">
        <f t="shared" si="13"/>
        <v>240</v>
      </c>
      <c r="R860" s="1">
        <v>9</v>
      </c>
      <c r="S860" s="1">
        <v>200010004835</v>
      </c>
      <c r="T860" s="1">
        <v>29</v>
      </c>
      <c r="U860" s="1">
        <v>1</v>
      </c>
      <c r="V860" s="1">
        <v>1</v>
      </c>
    </row>
    <row r="861" spans="1:22" x14ac:dyDescent="0.25">
      <c r="A861" s="3">
        <v>44774</v>
      </c>
      <c r="B861" s="4">
        <v>0.45111111111111113</v>
      </c>
      <c r="C861" s="1">
        <v>1298</v>
      </c>
      <c r="D861" s="1">
        <v>13002561</v>
      </c>
      <c r="E861" s="1">
        <v>13</v>
      </c>
      <c r="F861" s="1">
        <v>22589</v>
      </c>
      <c r="G861" s="1" t="s">
        <v>21</v>
      </c>
      <c r="H861" s="1">
        <v>18</v>
      </c>
      <c r="I861" s="1">
        <v>41241</v>
      </c>
      <c r="J861" s="14" t="s">
        <v>150</v>
      </c>
      <c r="K861" s="1" t="s">
        <v>34</v>
      </c>
      <c r="L861" s="1" t="s">
        <v>151</v>
      </c>
      <c r="M861" s="14">
        <v>1</v>
      </c>
      <c r="N861" s="2">
        <v>99.97</v>
      </c>
      <c r="O861" s="16">
        <v>121.72</v>
      </c>
      <c r="P861" s="14">
        <v>0</v>
      </c>
      <c r="Q861" s="14">
        <f t="shared" si="13"/>
        <v>121.72</v>
      </c>
      <c r="R861" s="1" t="s">
        <v>25</v>
      </c>
      <c r="S861" s="1" t="s">
        <v>25</v>
      </c>
      <c r="T861" s="1">
        <v>29</v>
      </c>
      <c r="U861" s="1">
        <v>2</v>
      </c>
      <c r="V861" s="1">
        <v>3</v>
      </c>
    </row>
    <row r="862" spans="1:22" x14ac:dyDescent="0.25">
      <c r="A862" s="3">
        <v>44775</v>
      </c>
      <c r="B862" s="4">
        <v>0.4767824074074074</v>
      </c>
      <c r="C862" s="1">
        <v>1446</v>
      </c>
      <c r="D862" s="1">
        <v>13002581</v>
      </c>
      <c r="E862" s="1">
        <v>13</v>
      </c>
      <c r="F862" s="1">
        <v>22589</v>
      </c>
      <c r="G862" s="1" t="s">
        <v>21</v>
      </c>
      <c r="H862" s="1">
        <v>18</v>
      </c>
      <c r="I862" s="1">
        <v>41241</v>
      </c>
      <c r="J862" s="14" t="s">
        <v>150</v>
      </c>
      <c r="K862" s="1" t="s">
        <v>34</v>
      </c>
      <c r="L862" s="1" t="s">
        <v>151</v>
      </c>
      <c r="M862" s="14">
        <v>1</v>
      </c>
      <c r="N862" s="2">
        <v>99.97</v>
      </c>
      <c r="O862" s="16">
        <v>121.72</v>
      </c>
      <c r="P862" s="14">
        <v>0</v>
      </c>
      <c r="Q862" s="14">
        <f t="shared" si="13"/>
        <v>121.72</v>
      </c>
      <c r="R862" s="1" t="s">
        <v>25</v>
      </c>
      <c r="S862" s="1" t="s">
        <v>25</v>
      </c>
      <c r="T862" s="1">
        <v>29</v>
      </c>
      <c r="U862" s="1">
        <v>2</v>
      </c>
      <c r="V862" s="1">
        <v>1</v>
      </c>
    </row>
    <row r="863" spans="1:22" x14ac:dyDescent="0.25">
      <c r="A863" s="3">
        <v>44775</v>
      </c>
      <c r="B863" s="4">
        <v>0.7515856481481481</v>
      </c>
      <c r="C863" s="1">
        <v>1521</v>
      </c>
      <c r="D863" s="1">
        <v>13002581</v>
      </c>
      <c r="E863" s="1">
        <v>13</v>
      </c>
      <c r="F863" s="1">
        <v>22589</v>
      </c>
      <c r="G863" s="1" t="s">
        <v>21</v>
      </c>
      <c r="H863" s="1">
        <v>18</v>
      </c>
      <c r="I863" s="1">
        <v>41241</v>
      </c>
      <c r="J863" s="14" t="s">
        <v>150</v>
      </c>
      <c r="K863" s="1" t="s">
        <v>34</v>
      </c>
      <c r="L863" s="1" t="s">
        <v>151</v>
      </c>
      <c r="M863" s="14">
        <v>1</v>
      </c>
      <c r="N863" s="2">
        <v>99.97</v>
      </c>
      <c r="O863" s="16">
        <v>121.72</v>
      </c>
      <c r="P863" s="14">
        <v>0</v>
      </c>
      <c r="Q863" s="14">
        <f t="shared" si="13"/>
        <v>121.72</v>
      </c>
      <c r="R863" s="1" t="s">
        <v>25</v>
      </c>
      <c r="S863" s="1" t="s">
        <v>25</v>
      </c>
      <c r="T863" s="1">
        <v>29</v>
      </c>
      <c r="U863" s="1">
        <v>2</v>
      </c>
      <c r="V863" s="1">
        <v>2</v>
      </c>
    </row>
    <row r="864" spans="1:22" x14ac:dyDescent="0.25">
      <c r="A864" s="3">
        <v>44775</v>
      </c>
      <c r="B864" s="4">
        <v>0.48563657407407407</v>
      </c>
      <c r="C864" s="1">
        <v>1448</v>
      </c>
      <c r="D864" s="1">
        <v>13002581</v>
      </c>
      <c r="E864" s="1">
        <v>13</v>
      </c>
      <c r="F864" s="1">
        <v>22589</v>
      </c>
      <c r="G864" s="1" t="s">
        <v>21</v>
      </c>
      <c r="H864" s="1">
        <v>15</v>
      </c>
      <c r="I864" s="1">
        <v>523021</v>
      </c>
      <c r="J864" s="14" t="s">
        <v>538</v>
      </c>
      <c r="K864" s="1" t="s">
        <v>23</v>
      </c>
      <c r="L864" s="1" t="s">
        <v>539</v>
      </c>
      <c r="M864" s="14">
        <v>1</v>
      </c>
      <c r="N864" s="2">
        <v>127.49</v>
      </c>
      <c r="O864" s="16">
        <v>153</v>
      </c>
      <c r="P864" s="14">
        <v>7</v>
      </c>
      <c r="Q864" s="14">
        <f t="shared" si="13"/>
        <v>146</v>
      </c>
      <c r="R864" s="1">
        <v>9</v>
      </c>
      <c r="S864" s="1">
        <v>200010014189</v>
      </c>
      <c r="T864" s="1">
        <v>29</v>
      </c>
      <c r="U864" s="1">
        <v>1</v>
      </c>
      <c r="V864" s="1">
        <v>1</v>
      </c>
    </row>
    <row r="865" spans="1:22" x14ac:dyDescent="0.25">
      <c r="A865" s="3">
        <v>44778</v>
      </c>
      <c r="B865" s="4">
        <v>0.67054398148148153</v>
      </c>
      <c r="C865" s="1">
        <v>1872</v>
      </c>
      <c r="D865" s="1">
        <v>13002616</v>
      </c>
      <c r="E865" s="1">
        <v>13</v>
      </c>
      <c r="F865" s="1">
        <v>22589</v>
      </c>
      <c r="G865" s="1" t="s">
        <v>21</v>
      </c>
      <c r="H865" s="1">
        <v>18</v>
      </c>
      <c r="I865" s="1">
        <v>265247</v>
      </c>
      <c r="J865" s="14" t="s">
        <v>1194</v>
      </c>
      <c r="K865" s="1" t="s">
        <v>51</v>
      </c>
      <c r="L865" s="1" t="s">
        <v>825</v>
      </c>
      <c r="M865" s="14">
        <v>1</v>
      </c>
      <c r="N865" s="2">
        <v>141.6</v>
      </c>
      <c r="O865" s="16">
        <v>168</v>
      </c>
      <c r="P865" s="14">
        <v>8</v>
      </c>
      <c r="Q865" s="14">
        <f t="shared" si="13"/>
        <v>160</v>
      </c>
      <c r="R865" s="1">
        <v>9</v>
      </c>
      <c r="S865" s="1">
        <v>200010023937</v>
      </c>
      <c r="T865" s="1">
        <v>50</v>
      </c>
      <c r="U865" s="1">
        <v>1</v>
      </c>
      <c r="V865" s="1">
        <v>3</v>
      </c>
    </row>
    <row r="866" spans="1:22" x14ac:dyDescent="0.25">
      <c r="A866" s="3">
        <v>44774</v>
      </c>
      <c r="B866" s="4">
        <v>0.49210648148148151</v>
      </c>
      <c r="C866" s="1">
        <v>1313</v>
      </c>
      <c r="D866" s="1">
        <v>13002561</v>
      </c>
      <c r="E866" s="1">
        <v>13</v>
      </c>
      <c r="F866" s="1">
        <v>22589</v>
      </c>
      <c r="G866" s="1" t="s">
        <v>21</v>
      </c>
      <c r="H866" s="1">
        <v>18</v>
      </c>
      <c r="I866" s="1">
        <v>27591</v>
      </c>
      <c r="J866" s="14" t="s">
        <v>191</v>
      </c>
      <c r="K866" s="1" t="s">
        <v>34</v>
      </c>
      <c r="L866" s="1" t="s">
        <v>192</v>
      </c>
      <c r="M866" s="14">
        <v>1</v>
      </c>
      <c r="N866" s="2">
        <v>91.25</v>
      </c>
      <c r="O866" s="16">
        <v>111</v>
      </c>
      <c r="P866" s="14">
        <v>0</v>
      </c>
      <c r="Q866" s="14">
        <f t="shared" si="13"/>
        <v>111</v>
      </c>
      <c r="R866" s="1" t="s">
        <v>25</v>
      </c>
      <c r="S866" s="1" t="s">
        <v>25</v>
      </c>
      <c r="T866" s="1">
        <v>29</v>
      </c>
      <c r="U866" s="1">
        <v>1</v>
      </c>
      <c r="V866" s="1">
        <v>2</v>
      </c>
    </row>
    <row r="867" spans="1:22" x14ac:dyDescent="0.25">
      <c r="A867" s="3">
        <v>44775</v>
      </c>
      <c r="B867" s="4">
        <v>0.52342592592592596</v>
      </c>
      <c r="C867" s="1">
        <v>1463</v>
      </c>
      <c r="D867" s="1">
        <v>13002581</v>
      </c>
      <c r="E867" s="1">
        <v>13</v>
      </c>
      <c r="F867" s="1">
        <v>22589</v>
      </c>
      <c r="G867" s="1" t="s">
        <v>21</v>
      </c>
      <c r="H867" s="1">
        <v>18</v>
      </c>
      <c r="I867" s="1">
        <v>301669</v>
      </c>
      <c r="J867" s="14" t="s">
        <v>573</v>
      </c>
      <c r="K867" s="1" t="s">
        <v>51</v>
      </c>
      <c r="L867" s="1" t="s">
        <v>192</v>
      </c>
      <c r="M867" s="14">
        <v>1</v>
      </c>
      <c r="N867" s="2">
        <v>239.36</v>
      </c>
      <c r="O867" s="16">
        <v>286</v>
      </c>
      <c r="P867" s="14">
        <v>14</v>
      </c>
      <c r="Q867" s="14">
        <f t="shared" si="13"/>
        <v>272</v>
      </c>
      <c r="R867" s="1">
        <v>9</v>
      </c>
      <c r="S867" s="1">
        <v>200010000964</v>
      </c>
      <c r="T867" s="1">
        <v>29</v>
      </c>
      <c r="U867" s="1">
        <v>1</v>
      </c>
      <c r="V867" s="1">
        <v>1</v>
      </c>
    </row>
    <row r="868" spans="1:22" x14ac:dyDescent="0.25">
      <c r="A868" s="3">
        <v>44774</v>
      </c>
      <c r="B868" s="4">
        <v>0.51023148148148145</v>
      </c>
      <c r="C868" s="1">
        <v>1322</v>
      </c>
      <c r="D868" s="1">
        <v>13002561</v>
      </c>
      <c r="E868" s="1">
        <v>13</v>
      </c>
      <c r="F868" s="1">
        <v>22589</v>
      </c>
      <c r="G868" s="1" t="s">
        <v>21</v>
      </c>
      <c r="H868" s="1">
        <v>18</v>
      </c>
      <c r="I868" s="1">
        <v>276810</v>
      </c>
      <c r="J868" s="14" t="s">
        <v>231</v>
      </c>
      <c r="K868" s="1" t="s">
        <v>23</v>
      </c>
      <c r="L868" s="1" t="s">
        <v>192</v>
      </c>
      <c r="M868" s="14">
        <v>1</v>
      </c>
      <c r="N868" s="2">
        <v>317.89</v>
      </c>
      <c r="O868" s="16">
        <v>359</v>
      </c>
      <c r="P868" s="14">
        <v>35</v>
      </c>
      <c r="Q868" s="14">
        <f t="shared" si="13"/>
        <v>324</v>
      </c>
      <c r="R868" s="1">
        <v>30</v>
      </c>
      <c r="S868" s="1">
        <v>200000000024</v>
      </c>
      <c r="T868" s="1">
        <v>29</v>
      </c>
      <c r="U868" s="1">
        <v>1</v>
      </c>
      <c r="V868" s="1">
        <v>2</v>
      </c>
    </row>
    <row r="869" spans="1:22" x14ac:dyDescent="0.25">
      <c r="A869" s="3">
        <v>44777</v>
      </c>
      <c r="B869" s="4">
        <v>0.69791666666666663</v>
      </c>
      <c r="C869" s="1">
        <v>1753</v>
      </c>
      <c r="D869" s="1">
        <v>13002606</v>
      </c>
      <c r="E869" s="1">
        <v>13</v>
      </c>
      <c r="F869" s="1">
        <v>22589</v>
      </c>
      <c r="G869" s="1" t="s">
        <v>21</v>
      </c>
      <c r="H869" s="1">
        <v>15</v>
      </c>
      <c r="I869" s="1">
        <v>276810</v>
      </c>
      <c r="J869" s="14" t="s">
        <v>231</v>
      </c>
      <c r="K869" s="1" t="s">
        <v>61</v>
      </c>
      <c r="L869" s="1" t="s">
        <v>192</v>
      </c>
      <c r="M869" s="14">
        <v>1</v>
      </c>
      <c r="N869" s="2">
        <v>316.36</v>
      </c>
      <c r="O869" s="16">
        <v>380</v>
      </c>
      <c r="P869" s="14">
        <v>38</v>
      </c>
      <c r="Q869" s="14">
        <f t="shared" si="13"/>
        <v>342</v>
      </c>
      <c r="R869" s="1">
        <v>30</v>
      </c>
      <c r="S869" s="1">
        <v>200000000024</v>
      </c>
      <c r="T869" s="1">
        <v>50</v>
      </c>
      <c r="U869" s="1">
        <v>1</v>
      </c>
      <c r="V869" s="1">
        <v>1</v>
      </c>
    </row>
    <row r="870" spans="1:22" x14ac:dyDescent="0.25">
      <c r="A870" s="3">
        <v>44778</v>
      </c>
      <c r="B870" s="4">
        <v>0.38556712962962963</v>
      </c>
      <c r="C870" s="1">
        <v>1794</v>
      </c>
      <c r="D870" s="1">
        <v>13002616</v>
      </c>
      <c r="E870" s="1">
        <v>13</v>
      </c>
      <c r="F870" s="1">
        <v>22589</v>
      </c>
      <c r="G870" s="1" t="s">
        <v>21</v>
      </c>
      <c r="H870" s="1">
        <v>18</v>
      </c>
      <c r="I870" s="1">
        <v>276810</v>
      </c>
      <c r="J870" s="14" t="s">
        <v>231</v>
      </c>
      <c r="K870" s="1" t="s">
        <v>61</v>
      </c>
      <c r="L870" s="1" t="s">
        <v>192</v>
      </c>
      <c r="M870" s="14">
        <v>1</v>
      </c>
      <c r="N870" s="2">
        <v>316.36</v>
      </c>
      <c r="O870" s="16">
        <v>380</v>
      </c>
      <c r="P870" s="14">
        <v>38</v>
      </c>
      <c r="Q870" s="14">
        <f t="shared" si="13"/>
        <v>342</v>
      </c>
      <c r="R870" s="1">
        <v>30</v>
      </c>
      <c r="S870" s="1">
        <v>200000000024</v>
      </c>
      <c r="T870" s="1">
        <v>50</v>
      </c>
      <c r="U870" s="1">
        <v>1</v>
      </c>
      <c r="V870" s="1">
        <v>1</v>
      </c>
    </row>
    <row r="871" spans="1:22" x14ac:dyDescent="0.25">
      <c r="A871" s="3">
        <v>44778</v>
      </c>
      <c r="B871" s="4">
        <v>0.58143518518518522</v>
      </c>
      <c r="C871" s="1">
        <v>1848</v>
      </c>
      <c r="D871" s="1">
        <v>13002616</v>
      </c>
      <c r="E871" s="1">
        <v>13</v>
      </c>
      <c r="F871" s="1">
        <v>22589</v>
      </c>
      <c r="G871" s="1" t="s">
        <v>21</v>
      </c>
      <c r="H871" s="1">
        <v>18</v>
      </c>
      <c r="I871" s="1">
        <v>276810</v>
      </c>
      <c r="J871" s="14" t="s">
        <v>231</v>
      </c>
      <c r="K871" s="1" t="s">
        <v>23</v>
      </c>
      <c r="L871" s="1" t="s">
        <v>192</v>
      </c>
      <c r="M871" s="14">
        <v>1</v>
      </c>
      <c r="N871" s="2">
        <v>322.89</v>
      </c>
      <c r="O871" s="16">
        <v>388</v>
      </c>
      <c r="P871" s="14">
        <v>38</v>
      </c>
      <c r="Q871" s="14">
        <f t="shared" si="13"/>
        <v>350</v>
      </c>
      <c r="R871" s="1">
        <v>9</v>
      </c>
      <c r="S871" s="1">
        <v>200010022547</v>
      </c>
      <c r="T871" s="1">
        <v>50</v>
      </c>
      <c r="U871" s="1">
        <v>1</v>
      </c>
      <c r="V871" s="1">
        <v>2</v>
      </c>
    </row>
    <row r="872" spans="1:22" x14ac:dyDescent="0.25">
      <c r="A872" s="3">
        <v>44777</v>
      </c>
      <c r="B872" s="4">
        <v>0.79652777777777772</v>
      </c>
      <c r="C872" s="1">
        <v>1773</v>
      </c>
      <c r="D872" s="1">
        <v>13002606</v>
      </c>
      <c r="E872" s="1">
        <v>13</v>
      </c>
      <c r="F872" s="1">
        <v>22589</v>
      </c>
      <c r="G872" s="1" t="s">
        <v>21</v>
      </c>
      <c r="H872" s="1">
        <v>18</v>
      </c>
      <c r="I872" s="1">
        <v>25780</v>
      </c>
      <c r="J872" s="14" t="s">
        <v>1067</v>
      </c>
      <c r="K872" s="1" t="s">
        <v>34</v>
      </c>
      <c r="L872" s="1" t="s">
        <v>1068</v>
      </c>
      <c r="M872" s="14">
        <v>1</v>
      </c>
      <c r="N872" s="2">
        <v>264.64</v>
      </c>
      <c r="O872" s="16">
        <v>403</v>
      </c>
      <c r="P872" s="14">
        <v>0</v>
      </c>
      <c r="Q872" s="14">
        <f t="shared" si="13"/>
        <v>403</v>
      </c>
      <c r="R872" s="1" t="s">
        <v>25</v>
      </c>
      <c r="S872" s="1" t="s">
        <v>25</v>
      </c>
      <c r="T872" s="1">
        <v>50</v>
      </c>
      <c r="U872" s="1">
        <v>1</v>
      </c>
      <c r="V872" s="1">
        <v>1</v>
      </c>
    </row>
    <row r="873" spans="1:22" x14ac:dyDescent="0.25">
      <c r="A873" s="3">
        <v>44777</v>
      </c>
      <c r="B873" s="4">
        <v>0.46325231481481483</v>
      </c>
      <c r="C873" s="1">
        <v>1678</v>
      </c>
      <c r="D873" s="1">
        <v>13002606</v>
      </c>
      <c r="E873" s="1">
        <v>13</v>
      </c>
      <c r="F873" s="1">
        <v>22589</v>
      </c>
      <c r="G873" s="1" t="s">
        <v>21</v>
      </c>
      <c r="H873" s="1">
        <v>18</v>
      </c>
      <c r="I873" s="1">
        <v>13104</v>
      </c>
      <c r="J873" s="14" t="s">
        <v>951</v>
      </c>
      <c r="K873" s="1" t="s">
        <v>61</v>
      </c>
      <c r="L873" s="1" t="s">
        <v>410</v>
      </c>
      <c r="M873" s="14">
        <v>1</v>
      </c>
      <c r="N873" s="2">
        <v>179.46</v>
      </c>
      <c r="O873" s="16">
        <v>279</v>
      </c>
      <c r="P873" s="14">
        <v>0</v>
      </c>
      <c r="Q873" s="14">
        <f t="shared" si="13"/>
        <v>279</v>
      </c>
      <c r="R873" s="1" t="s">
        <v>25</v>
      </c>
      <c r="S873" s="1" t="s">
        <v>25</v>
      </c>
      <c r="T873" s="1">
        <v>50</v>
      </c>
      <c r="U873" s="1">
        <v>1</v>
      </c>
      <c r="V873" s="1">
        <v>2</v>
      </c>
    </row>
    <row r="874" spans="1:22" x14ac:dyDescent="0.25">
      <c r="A874" s="3">
        <v>44775</v>
      </c>
      <c r="B874" s="4">
        <v>0.63192129629629634</v>
      </c>
      <c r="C874" s="1">
        <v>1486</v>
      </c>
      <c r="D874" s="1">
        <v>13002581</v>
      </c>
      <c r="E874" s="1">
        <v>13</v>
      </c>
      <c r="F874" s="1">
        <v>22589</v>
      </c>
      <c r="G874" s="1" t="s">
        <v>21</v>
      </c>
      <c r="H874" s="1">
        <v>18</v>
      </c>
      <c r="I874" s="1">
        <v>284138</v>
      </c>
      <c r="J874" s="14" t="s">
        <v>625</v>
      </c>
      <c r="K874" s="1" t="s">
        <v>34</v>
      </c>
      <c r="L874" s="1" t="s">
        <v>626</v>
      </c>
      <c r="M874" s="14">
        <v>2</v>
      </c>
      <c r="N874" s="2">
        <v>303.32</v>
      </c>
      <c r="O874" s="16">
        <v>327</v>
      </c>
      <c r="P874" s="14">
        <v>0</v>
      </c>
      <c r="Q874" s="14">
        <f t="shared" si="13"/>
        <v>654</v>
      </c>
      <c r="R874" s="1" t="s">
        <v>25</v>
      </c>
      <c r="S874" s="1" t="s">
        <v>25</v>
      </c>
      <c r="T874" s="1">
        <v>29</v>
      </c>
      <c r="U874" s="1">
        <v>2</v>
      </c>
      <c r="V874" s="1">
        <v>1</v>
      </c>
    </row>
    <row r="875" spans="1:22" x14ac:dyDescent="0.25">
      <c r="A875" s="3">
        <v>44778</v>
      </c>
      <c r="B875" s="4">
        <v>0.35546296296296298</v>
      </c>
      <c r="C875" s="1">
        <v>1787</v>
      </c>
      <c r="D875" s="1">
        <v>13002616</v>
      </c>
      <c r="E875" s="1">
        <v>13</v>
      </c>
      <c r="F875" s="1">
        <v>22589</v>
      </c>
      <c r="G875" s="1" t="s">
        <v>21</v>
      </c>
      <c r="H875" s="1">
        <v>18</v>
      </c>
      <c r="I875" s="1">
        <v>857</v>
      </c>
      <c r="J875" s="14" t="s">
        <v>1083</v>
      </c>
      <c r="K875" s="1" t="s">
        <v>51</v>
      </c>
      <c r="L875" s="1" t="s">
        <v>244</v>
      </c>
      <c r="M875" s="14">
        <v>1</v>
      </c>
      <c r="N875" s="2">
        <v>53.81</v>
      </c>
      <c r="O875" s="16">
        <v>66</v>
      </c>
      <c r="P875" s="14">
        <v>0</v>
      </c>
      <c r="Q875" s="14">
        <f t="shared" si="13"/>
        <v>66</v>
      </c>
      <c r="R875" s="1" t="s">
        <v>25</v>
      </c>
      <c r="S875" s="1" t="s">
        <v>25</v>
      </c>
      <c r="T875" s="1">
        <v>50</v>
      </c>
      <c r="U875" s="1">
        <v>1</v>
      </c>
      <c r="V875" s="1">
        <v>3</v>
      </c>
    </row>
    <row r="876" spans="1:22" x14ac:dyDescent="0.25">
      <c r="A876" s="3">
        <v>44774</v>
      </c>
      <c r="B876" s="4">
        <v>0.66700231481481487</v>
      </c>
      <c r="C876" s="1">
        <v>1370</v>
      </c>
      <c r="D876" s="1">
        <v>13002561</v>
      </c>
      <c r="E876" s="1">
        <v>13</v>
      </c>
      <c r="F876" s="1">
        <v>22589</v>
      </c>
      <c r="G876" s="1" t="s">
        <v>21</v>
      </c>
      <c r="H876" s="1">
        <v>18</v>
      </c>
      <c r="I876" s="1">
        <v>180834</v>
      </c>
      <c r="J876" s="14" t="s">
        <v>366</v>
      </c>
      <c r="K876" s="1" t="s">
        <v>51</v>
      </c>
      <c r="L876" s="1" t="s">
        <v>76</v>
      </c>
      <c r="M876" s="14">
        <v>1</v>
      </c>
      <c r="N876" s="2">
        <v>610.29999999999995</v>
      </c>
      <c r="O876" s="16">
        <v>678</v>
      </c>
      <c r="P876" s="14">
        <v>20</v>
      </c>
      <c r="Q876" s="14">
        <f t="shared" si="13"/>
        <v>658</v>
      </c>
      <c r="R876" s="1">
        <v>9</v>
      </c>
      <c r="S876" s="1">
        <v>200010016459</v>
      </c>
      <c r="T876" s="1">
        <v>29</v>
      </c>
      <c r="U876" s="1">
        <v>1</v>
      </c>
      <c r="V876" s="1">
        <v>3</v>
      </c>
    </row>
    <row r="877" spans="1:22" x14ac:dyDescent="0.25">
      <c r="A877" s="3">
        <v>44776</v>
      </c>
      <c r="B877" s="4">
        <v>0.44114583333333335</v>
      </c>
      <c r="C877" s="1">
        <v>1556</v>
      </c>
      <c r="D877" s="1">
        <v>13002595</v>
      </c>
      <c r="E877" s="1">
        <v>13</v>
      </c>
      <c r="F877" s="1">
        <v>22589</v>
      </c>
      <c r="G877" s="1" t="s">
        <v>21</v>
      </c>
      <c r="H877" s="1">
        <v>15</v>
      </c>
      <c r="I877" s="1">
        <v>858</v>
      </c>
      <c r="J877" s="14" t="s">
        <v>741</v>
      </c>
      <c r="K877" s="1" t="s">
        <v>51</v>
      </c>
      <c r="L877" s="1" t="s">
        <v>742</v>
      </c>
      <c r="M877" s="14">
        <v>1</v>
      </c>
      <c r="N877" s="2">
        <v>35.78</v>
      </c>
      <c r="O877" s="16">
        <v>45</v>
      </c>
      <c r="P877" s="14">
        <v>2</v>
      </c>
      <c r="Q877" s="14">
        <f t="shared" si="13"/>
        <v>43</v>
      </c>
      <c r="R877" s="1">
        <v>9</v>
      </c>
      <c r="S877" s="1">
        <v>200010004807</v>
      </c>
      <c r="T877" s="1">
        <v>29</v>
      </c>
      <c r="U877" s="1">
        <v>1</v>
      </c>
      <c r="V877" s="1">
        <v>2</v>
      </c>
    </row>
    <row r="878" spans="1:22" x14ac:dyDescent="0.25">
      <c r="A878" s="3">
        <v>44774</v>
      </c>
      <c r="B878" s="4">
        <v>0.48900462962962965</v>
      </c>
      <c r="C878" s="1">
        <v>1312</v>
      </c>
      <c r="D878" s="1">
        <v>13002561</v>
      </c>
      <c r="E878" s="1">
        <v>13</v>
      </c>
      <c r="F878" s="1">
        <v>22589</v>
      </c>
      <c r="G878" s="1" t="s">
        <v>21</v>
      </c>
      <c r="H878" s="1">
        <v>18</v>
      </c>
      <c r="I878" s="1">
        <v>320000</v>
      </c>
      <c r="J878" s="14" t="s">
        <v>189</v>
      </c>
      <c r="K878" s="1" t="s">
        <v>51</v>
      </c>
      <c r="L878" s="1" t="s">
        <v>190</v>
      </c>
      <c r="M878" s="14">
        <v>1</v>
      </c>
      <c r="N878" s="2">
        <v>146.44999999999999</v>
      </c>
      <c r="O878" s="16">
        <v>227</v>
      </c>
      <c r="P878" s="14">
        <v>0</v>
      </c>
      <c r="Q878" s="14">
        <f t="shared" si="13"/>
        <v>227</v>
      </c>
      <c r="R878" s="1" t="s">
        <v>25</v>
      </c>
      <c r="S878" s="1" t="s">
        <v>25</v>
      </c>
      <c r="T878" s="1">
        <v>29</v>
      </c>
      <c r="U878" s="1">
        <v>1</v>
      </c>
      <c r="V878" s="1">
        <v>3</v>
      </c>
    </row>
    <row r="879" spans="1:22" x14ac:dyDescent="0.25">
      <c r="A879" s="3">
        <v>44774</v>
      </c>
      <c r="B879" s="4">
        <v>0.42930555555555555</v>
      </c>
      <c r="C879" s="1">
        <v>1287</v>
      </c>
      <c r="D879" s="1">
        <v>13002561</v>
      </c>
      <c r="E879" s="1">
        <v>13</v>
      </c>
      <c r="F879" s="1">
        <v>22589</v>
      </c>
      <c r="G879" s="1" t="s">
        <v>21</v>
      </c>
      <c r="H879" s="1">
        <v>18</v>
      </c>
      <c r="I879" s="1">
        <v>2302</v>
      </c>
      <c r="J879" s="14" t="s">
        <v>81</v>
      </c>
      <c r="K879" s="1" t="s">
        <v>61</v>
      </c>
      <c r="L879" s="1" t="s">
        <v>82</v>
      </c>
      <c r="M879" s="14">
        <v>1</v>
      </c>
      <c r="N879" s="2">
        <v>148.28</v>
      </c>
      <c r="O879" s="16">
        <v>174</v>
      </c>
      <c r="P879" s="14">
        <v>71.5</v>
      </c>
      <c r="Q879" s="14">
        <f t="shared" si="13"/>
        <v>102.5</v>
      </c>
      <c r="R879" s="1">
        <v>925</v>
      </c>
      <c r="S879" s="1">
        <v>200000000492</v>
      </c>
      <c r="T879" s="1">
        <v>29</v>
      </c>
      <c r="U879" s="1">
        <v>1</v>
      </c>
      <c r="V879" s="1">
        <v>2</v>
      </c>
    </row>
    <row r="880" spans="1:22" x14ac:dyDescent="0.25">
      <c r="A880" s="3">
        <v>44775</v>
      </c>
      <c r="B880" s="4">
        <v>0.4375</v>
      </c>
      <c r="C880" s="1">
        <v>1434</v>
      </c>
      <c r="D880" s="1">
        <v>13002581</v>
      </c>
      <c r="E880" s="1">
        <v>13</v>
      </c>
      <c r="F880" s="1">
        <v>22589</v>
      </c>
      <c r="G880" s="1" t="s">
        <v>21</v>
      </c>
      <c r="H880" s="1">
        <v>15</v>
      </c>
      <c r="I880" s="1">
        <v>2302</v>
      </c>
      <c r="J880" s="14" t="s">
        <v>81</v>
      </c>
      <c r="K880" s="1" t="s">
        <v>61</v>
      </c>
      <c r="L880" s="1" t="s">
        <v>82</v>
      </c>
      <c r="M880" s="14">
        <v>1</v>
      </c>
      <c r="N880" s="2">
        <v>148.28</v>
      </c>
      <c r="O880" s="16">
        <v>174</v>
      </c>
      <c r="P880" s="14">
        <v>8</v>
      </c>
      <c r="Q880" s="14">
        <f t="shared" si="13"/>
        <v>166</v>
      </c>
      <c r="R880" s="1">
        <v>9</v>
      </c>
      <c r="S880" s="1">
        <v>200010007796</v>
      </c>
      <c r="T880" s="1">
        <v>29</v>
      </c>
      <c r="U880" s="1">
        <v>1</v>
      </c>
      <c r="V880" s="1">
        <v>3</v>
      </c>
    </row>
    <row r="881" spans="1:22" x14ac:dyDescent="0.25">
      <c r="A881" s="3">
        <v>44775</v>
      </c>
      <c r="B881" s="4">
        <v>0.46049768518518519</v>
      </c>
      <c r="C881" s="1">
        <v>1439</v>
      </c>
      <c r="D881" s="1">
        <v>13002581</v>
      </c>
      <c r="E881" s="1">
        <v>13</v>
      </c>
      <c r="F881" s="1">
        <v>22589</v>
      </c>
      <c r="G881" s="1" t="s">
        <v>21</v>
      </c>
      <c r="H881" s="1">
        <v>15</v>
      </c>
      <c r="I881" s="1">
        <v>2302</v>
      </c>
      <c r="J881" s="14" t="s">
        <v>81</v>
      </c>
      <c r="K881" s="1" t="s">
        <v>61</v>
      </c>
      <c r="L881" s="1" t="s">
        <v>82</v>
      </c>
      <c r="M881" s="14">
        <v>1</v>
      </c>
      <c r="N881" s="2">
        <v>148.28</v>
      </c>
      <c r="O881" s="16">
        <v>174</v>
      </c>
      <c r="P881" s="14">
        <v>8</v>
      </c>
      <c r="Q881" s="14">
        <f t="shared" si="13"/>
        <v>166</v>
      </c>
      <c r="R881" s="1">
        <v>9</v>
      </c>
      <c r="S881" s="1">
        <v>200010022427</v>
      </c>
      <c r="T881" s="1">
        <v>29</v>
      </c>
      <c r="U881" s="1">
        <v>1</v>
      </c>
      <c r="V881" s="1">
        <v>2</v>
      </c>
    </row>
    <row r="882" spans="1:22" x14ac:dyDescent="0.25">
      <c r="A882" s="3">
        <v>44775</v>
      </c>
      <c r="B882" s="4">
        <v>0.47620370370370368</v>
      </c>
      <c r="C882" s="1">
        <v>1445</v>
      </c>
      <c r="D882" s="1">
        <v>13002581</v>
      </c>
      <c r="E882" s="1">
        <v>13</v>
      </c>
      <c r="F882" s="1">
        <v>22589</v>
      </c>
      <c r="G882" s="1" t="s">
        <v>21</v>
      </c>
      <c r="H882" s="1">
        <v>18</v>
      </c>
      <c r="I882" s="1">
        <v>2302</v>
      </c>
      <c r="J882" s="14" t="s">
        <v>81</v>
      </c>
      <c r="K882" s="1" t="s">
        <v>61</v>
      </c>
      <c r="L882" s="1" t="s">
        <v>82</v>
      </c>
      <c r="M882" s="14">
        <v>1</v>
      </c>
      <c r="N882" s="2">
        <v>148.28</v>
      </c>
      <c r="O882" s="16">
        <v>174</v>
      </c>
      <c r="P882" s="14">
        <v>8</v>
      </c>
      <c r="Q882" s="14">
        <f t="shared" si="13"/>
        <v>166</v>
      </c>
      <c r="R882" s="1">
        <v>9</v>
      </c>
      <c r="S882" s="1">
        <v>200010011842</v>
      </c>
      <c r="T882" s="1">
        <v>29</v>
      </c>
      <c r="U882" s="1">
        <v>1</v>
      </c>
      <c r="V882" s="1">
        <v>1</v>
      </c>
    </row>
    <row r="883" spans="1:22" x14ac:dyDescent="0.25">
      <c r="A883" s="3">
        <v>44775</v>
      </c>
      <c r="B883" s="4">
        <v>0.68785879629629632</v>
      </c>
      <c r="C883" s="1">
        <v>1497</v>
      </c>
      <c r="D883" s="1">
        <v>13002581</v>
      </c>
      <c r="E883" s="1">
        <v>13</v>
      </c>
      <c r="F883" s="1">
        <v>22589</v>
      </c>
      <c r="G883" s="1" t="s">
        <v>21</v>
      </c>
      <c r="H883" s="1">
        <v>15</v>
      </c>
      <c r="I883" s="1">
        <v>2302</v>
      </c>
      <c r="J883" s="14" t="s">
        <v>81</v>
      </c>
      <c r="K883" s="1" t="s">
        <v>61</v>
      </c>
      <c r="L883" s="1" t="s">
        <v>82</v>
      </c>
      <c r="M883" s="14">
        <v>1</v>
      </c>
      <c r="N883" s="2">
        <v>148.28</v>
      </c>
      <c r="O883" s="16">
        <v>174</v>
      </c>
      <c r="P883" s="14">
        <v>8</v>
      </c>
      <c r="Q883" s="14">
        <f t="shared" si="13"/>
        <v>166</v>
      </c>
      <c r="R883" s="1">
        <v>9</v>
      </c>
      <c r="S883" s="1">
        <v>200010014077</v>
      </c>
      <c r="T883" s="1">
        <v>29</v>
      </c>
      <c r="U883" s="1">
        <v>1</v>
      </c>
      <c r="V883" s="1">
        <v>1</v>
      </c>
    </row>
    <row r="884" spans="1:22" x14ac:dyDescent="0.25">
      <c r="A884" s="3">
        <v>44775</v>
      </c>
      <c r="B884" s="4">
        <v>0.78771990740740738</v>
      </c>
      <c r="C884" s="1">
        <v>1527</v>
      </c>
      <c r="D884" s="1">
        <v>13002581</v>
      </c>
      <c r="E884" s="1">
        <v>13</v>
      </c>
      <c r="F884" s="1">
        <v>22589</v>
      </c>
      <c r="G884" s="1" t="s">
        <v>21</v>
      </c>
      <c r="H884" s="1">
        <v>18</v>
      </c>
      <c r="I884" s="1">
        <v>2302</v>
      </c>
      <c r="J884" s="14" t="s">
        <v>81</v>
      </c>
      <c r="K884" s="1" t="s">
        <v>61</v>
      </c>
      <c r="L884" s="1" t="s">
        <v>82</v>
      </c>
      <c r="M884" s="14">
        <v>1</v>
      </c>
      <c r="N884" s="2">
        <v>148.28</v>
      </c>
      <c r="O884" s="16">
        <v>174</v>
      </c>
      <c r="P884" s="14">
        <v>8</v>
      </c>
      <c r="Q884" s="14">
        <f t="shared" si="13"/>
        <v>166</v>
      </c>
      <c r="R884" s="1">
        <v>9</v>
      </c>
      <c r="S884" s="1">
        <v>200010020455</v>
      </c>
      <c r="T884" s="1">
        <v>29</v>
      </c>
      <c r="U884" s="1">
        <v>1</v>
      </c>
      <c r="V884" s="1">
        <v>11</v>
      </c>
    </row>
    <row r="885" spans="1:22" x14ac:dyDescent="0.25">
      <c r="A885" s="3">
        <v>44776</v>
      </c>
      <c r="B885" s="4">
        <v>0.43943287037037038</v>
      </c>
      <c r="C885" s="1">
        <v>1555</v>
      </c>
      <c r="D885" s="1">
        <v>13002595</v>
      </c>
      <c r="E885" s="1">
        <v>13</v>
      </c>
      <c r="F885" s="1">
        <v>22589</v>
      </c>
      <c r="G885" s="1" t="s">
        <v>21</v>
      </c>
      <c r="H885" s="1">
        <v>15</v>
      </c>
      <c r="I885" s="1">
        <v>2302</v>
      </c>
      <c r="J885" s="14" t="s">
        <v>81</v>
      </c>
      <c r="K885" s="1" t="s">
        <v>61</v>
      </c>
      <c r="L885" s="1" t="s">
        <v>82</v>
      </c>
      <c r="M885" s="14">
        <v>1</v>
      </c>
      <c r="N885" s="2">
        <v>148.28</v>
      </c>
      <c r="O885" s="16">
        <v>174</v>
      </c>
      <c r="P885" s="14">
        <v>8</v>
      </c>
      <c r="Q885" s="14">
        <f t="shared" si="13"/>
        <v>166</v>
      </c>
      <c r="R885" s="1">
        <v>9</v>
      </c>
      <c r="S885" s="1">
        <v>200010013453</v>
      </c>
      <c r="T885" s="1">
        <v>29</v>
      </c>
      <c r="U885" s="1">
        <v>1</v>
      </c>
      <c r="V885" s="1">
        <v>2</v>
      </c>
    </row>
    <row r="886" spans="1:22" x14ac:dyDescent="0.25">
      <c r="A886" s="3">
        <v>44777</v>
      </c>
      <c r="B886" s="4">
        <v>0.53077546296296296</v>
      </c>
      <c r="C886" s="1">
        <v>1706</v>
      </c>
      <c r="D886" s="1">
        <v>13002606</v>
      </c>
      <c r="E886" s="1">
        <v>13</v>
      </c>
      <c r="F886" s="1">
        <v>22589</v>
      </c>
      <c r="G886" s="1" t="s">
        <v>21</v>
      </c>
      <c r="H886" s="1">
        <v>15</v>
      </c>
      <c r="I886" s="1">
        <v>2302</v>
      </c>
      <c r="J886" s="14" t="s">
        <v>81</v>
      </c>
      <c r="K886" s="1" t="s">
        <v>23</v>
      </c>
      <c r="L886" s="1" t="s">
        <v>82</v>
      </c>
      <c r="M886" s="14">
        <v>1</v>
      </c>
      <c r="N886" s="2">
        <v>149.12</v>
      </c>
      <c r="O886" s="16">
        <v>179</v>
      </c>
      <c r="P886" s="14">
        <v>8</v>
      </c>
      <c r="Q886" s="14">
        <f t="shared" si="13"/>
        <v>171</v>
      </c>
      <c r="R886" s="1">
        <v>9</v>
      </c>
      <c r="S886" s="1">
        <v>200010001054</v>
      </c>
      <c r="T886" s="1">
        <v>50</v>
      </c>
      <c r="U886" s="1">
        <v>1</v>
      </c>
      <c r="V886" s="1">
        <v>2</v>
      </c>
    </row>
    <row r="887" spans="1:22" x14ac:dyDescent="0.25">
      <c r="A887" s="3">
        <v>44778</v>
      </c>
      <c r="B887" s="4">
        <v>0.64960648148148148</v>
      </c>
      <c r="C887" s="1">
        <v>1866</v>
      </c>
      <c r="D887" s="1">
        <v>13002616</v>
      </c>
      <c r="E887" s="1">
        <v>13</v>
      </c>
      <c r="F887" s="1">
        <v>22589</v>
      </c>
      <c r="G887" s="1" t="s">
        <v>21</v>
      </c>
      <c r="H887" s="1">
        <v>18</v>
      </c>
      <c r="I887" s="1">
        <v>2302</v>
      </c>
      <c r="J887" s="14" t="s">
        <v>81</v>
      </c>
      <c r="K887" s="1" t="s">
        <v>34</v>
      </c>
      <c r="L887" s="1" t="s">
        <v>35</v>
      </c>
      <c r="M887" s="14">
        <v>1</v>
      </c>
      <c r="N887" s="2">
        <v>163.01</v>
      </c>
      <c r="O887" s="16">
        <v>182</v>
      </c>
      <c r="P887" s="14">
        <v>0</v>
      </c>
      <c r="Q887" s="14">
        <f t="shared" si="13"/>
        <v>182</v>
      </c>
      <c r="R887" s="1" t="s">
        <v>25</v>
      </c>
      <c r="S887" s="1" t="s">
        <v>25</v>
      </c>
      <c r="T887" s="1">
        <v>50</v>
      </c>
      <c r="U887" s="1">
        <v>2</v>
      </c>
      <c r="V887" s="1">
        <v>3</v>
      </c>
    </row>
    <row r="888" spans="1:22" x14ac:dyDescent="0.25">
      <c r="A888" s="3">
        <v>44774</v>
      </c>
      <c r="B888" s="4">
        <v>0.43633101851851852</v>
      </c>
      <c r="C888" s="1">
        <v>1289</v>
      </c>
      <c r="D888" s="1">
        <v>13002561</v>
      </c>
      <c r="E888" s="1">
        <v>13</v>
      </c>
      <c r="F888" s="1">
        <v>22589</v>
      </c>
      <c r="G888" s="1" t="s">
        <v>21</v>
      </c>
      <c r="H888" s="1">
        <v>15</v>
      </c>
      <c r="I888" s="1">
        <v>345211</v>
      </c>
      <c r="J888" s="14" t="s">
        <v>92</v>
      </c>
      <c r="K888" s="1" t="s">
        <v>29</v>
      </c>
      <c r="L888" s="1" t="s">
        <v>93</v>
      </c>
      <c r="M888" s="14">
        <v>1</v>
      </c>
      <c r="N888" s="2">
        <v>25.28</v>
      </c>
      <c r="O888" s="16">
        <v>30</v>
      </c>
      <c r="P888" s="14">
        <v>1</v>
      </c>
      <c r="Q888" s="14">
        <f t="shared" si="13"/>
        <v>29</v>
      </c>
      <c r="R888" s="1">
        <v>9</v>
      </c>
      <c r="S888" s="1">
        <v>200010000065</v>
      </c>
      <c r="T888" s="1">
        <v>29</v>
      </c>
      <c r="U888" s="1">
        <v>1</v>
      </c>
      <c r="V888" s="1">
        <v>3</v>
      </c>
    </row>
    <row r="889" spans="1:22" x14ac:dyDescent="0.25">
      <c r="A889" s="3">
        <v>44774</v>
      </c>
      <c r="B889" s="4">
        <v>0.47800925925925924</v>
      </c>
      <c r="C889" s="1">
        <v>1307</v>
      </c>
      <c r="D889" s="1">
        <v>13002561</v>
      </c>
      <c r="E889" s="1">
        <v>13</v>
      </c>
      <c r="F889" s="1">
        <v>22589</v>
      </c>
      <c r="G889" s="1" t="s">
        <v>21</v>
      </c>
      <c r="H889" s="1">
        <v>18</v>
      </c>
      <c r="I889" s="1">
        <v>345211</v>
      </c>
      <c r="J889" s="14" t="s">
        <v>92</v>
      </c>
      <c r="K889" s="1" t="s">
        <v>29</v>
      </c>
      <c r="L889" s="1" t="s">
        <v>93</v>
      </c>
      <c r="M889" s="14">
        <v>1</v>
      </c>
      <c r="N889" s="2">
        <v>25.28</v>
      </c>
      <c r="O889" s="16">
        <v>30</v>
      </c>
      <c r="P889" s="14">
        <v>1</v>
      </c>
      <c r="Q889" s="14">
        <f t="shared" si="13"/>
        <v>29</v>
      </c>
      <c r="R889" s="1">
        <v>9</v>
      </c>
      <c r="S889" s="1">
        <v>200010000452</v>
      </c>
      <c r="T889" s="1">
        <v>29</v>
      </c>
      <c r="U889" s="1">
        <v>1</v>
      </c>
      <c r="V889" s="1">
        <v>1</v>
      </c>
    </row>
    <row r="890" spans="1:22" x14ac:dyDescent="0.25">
      <c r="A890" s="3">
        <v>44774</v>
      </c>
      <c r="B890" s="4">
        <v>0.50565972222222222</v>
      </c>
      <c r="C890" s="1">
        <v>1319</v>
      </c>
      <c r="D890" s="1">
        <v>13002561</v>
      </c>
      <c r="E890" s="1">
        <v>13</v>
      </c>
      <c r="F890" s="1">
        <v>22589</v>
      </c>
      <c r="G890" s="1" t="s">
        <v>21</v>
      </c>
      <c r="H890" s="1">
        <v>18</v>
      </c>
      <c r="I890" s="1">
        <v>345211</v>
      </c>
      <c r="J890" s="14" t="s">
        <v>92</v>
      </c>
      <c r="K890" s="1" t="s">
        <v>29</v>
      </c>
      <c r="L890" s="1" t="s">
        <v>93</v>
      </c>
      <c r="M890" s="14">
        <v>1</v>
      </c>
      <c r="N890" s="2">
        <v>25.28</v>
      </c>
      <c r="O890" s="16">
        <v>30</v>
      </c>
      <c r="P890" s="14">
        <v>1</v>
      </c>
      <c r="Q890" s="14">
        <f t="shared" si="13"/>
        <v>29</v>
      </c>
      <c r="R890" s="1">
        <v>9</v>
      </c>
      <c r="S890" s="1">
        <v>200010015482</v>
      </c>
      <c r="T890" s="1">
        <v>29</v>
      </c>
      <c r="U890" s="1">
        <v>1</v>
      </c>
      <c r="V890" s="1">
        <v>3</v>
      </c>
    </row>
    <row r="891" spans="1:22" x14ac:dyDescent="0.25">
      <c r="A891" s="3">
        <v>44774</v>
      </c>
      <c r="B891" s="4">
        <v>0.47800925925925924</v>
      </c>
      <c r="C891" s="1">
        <v>1307</v>
      </c>
      <c r="D891" s="1">
        <v>13002561</v>
      </c>
      <c r="E891" s="1">
        <v>13</v>
      </c>
      <c r="F891" s="1">
        <v>22589</v>
      </c>
      <c r="G891" s="1" t="s">
        <v>21</v>
      </c>
      <c r="H891" s="1">
        <v>18</v>
      </c>
      <c r="I891" s="1">
        <v>345211</v>
      </c>
      <c r="J891" s="14" t="s">
        <v>92</v>
      </c>
      <c r="K891" s="1" t="s">
        <v>51</v>
      </c>
      <c r="L891" s="1" t="s">
        <v>93</v>
      </c>
      <c r="M891" s="14">
        <v>1</v>
      </c>
      <c r="N891" s="2">
        <v>25.71</v>
      </c>
      <c r="O891" s="16">
        <v>31</v>
      </c>
      <c r="P891" s="14">
        <v>1</v>
      </c>
      <c r="Q891" s="14">
        <f t="shared" si="13"/>
        <v>30</v>
      </c>
      <c r="R891" s="1">
        <v>9</v>
      </c>
      <c r="S891" s="1">
        <v>200010000452</v>
      </c>
      <c r="T891" s="1">
        <v>29</v>
      </c>
      <c r="U891" s="1">
        <v>1</v>
      </c>
      <c r="V891" s="1">
        <v>2</v>
      </c>
    </row>
    <row r="892" spans="1:22" x14ac:dyDescent="0.25">
      <c r="A892" s="3">
        <v>44774</v>
      </c>
      <c r="B892" s="4">
        <v>0.47800925925925924</v>
      </c>
      <c r="C892" s="1">
        <v>1307</v>
      </c>
      <c r="D892" s="1">
        <v>13002561</v>
      </c>
      <c r="E892" s="1">
        <v>13</v>
      </c>
      <c r="F892" s="1">
        <v>22589</v>
      </c>
      <c r="G892" s="1" t="s">
        <v>21</v>
      </c>
      <c r="H892" s="1">
        <v>18</v>
      </c>
      <c r="I892" s="1">
        <v>345211</v>
      </c>
      <c r="J892" s="14" t="s">
        <v>92</v>
      </c>
      <c r="K892" s="1" t="s">
        <v>51</v>
      </c>
      <c r="L892" s="1" t="s">
        <v>93</v>
      </c>
      <c r="M892" s="14">
        <v>1</v>
      </c>
      <c r="N892" s="2">
        <v>25.71</v>
      </c>
      <c r="O892" s="16">
        <v>31</v>
      </c>
      <c r="P892" s="14">
        <v>1</v>
      </c>
      <c r="Q892" s="14">
        <f t="shared" si="13"/>
        <v>30</v>
      </c>
      <c r="R892" s="1">
        <v>9</v>
      </c>
      <c r="S892" s="1">
        <v>200010000452</v>
      </c>
      <c r="T892" s="1">
        <v>29</v>
      </c>
      <c r="U892" s="1">
        <v>1</v>
      </c>
      <c r="V892" s="1">
        <v>3</v>
      </c>
    </row>
    <row r="893" spans="1:22" x14ac:dyDescent="0.25">
      <c r="A893" s="3">
        <v>44774</v>
      </c>
      <c r="B893" s="4">
        <v>0.50760416666666663</v>
      </c>
      <c r="C893" s="1">
        <v>1320</v>
      </c>
      <c r="D893" s="1">
        <v>13002561</v>
      </c>
      <c r="E893" s="1">
        <v>13</v>
      </c>
      <c r="F893" s="1">
        <v>22589</v>
      </c>
      <c r="G893" s="1" t="s">
        <v>21</v>
      </c>
      <c r="H893" s="1">
        <v>15</v>
      </c>
      <c r="I893" s="1">
        <v>345211</v>
      </c>
      <c r="J893" s="14" t="s">
        <v>92</v>
      </c>
      <c r="K893" s="1" t="s">
        <v>51</v>
      </c>
      <c r="L893" s="1" t="s">
        <v>93</v>
      </c>
      <c r="M893" s="14">
        <v>1</v>
      </c>
      <c r="N893" s="2">
        <v>25.71</v>
      </c>
      <c r="O893" s="16">
        <v>31</v>
      </c>
      <c r="P893" s="14">
        <v>1</v>
      </c>
      <c r="Q893" s="14">
        <f t="shared" si="13"/>
        <v>30</v>
      </c>
      <c r="R893" s="1">
        <v>9</v>
      </c>
      <c r="S893" s="1">
        <v>200010018337</v>
      </c>
      <c r="T893" s="1">
        <v>29</v>
      </c>
      <c r="U893" s="1">
        <v>1</v>
      </c>
      <c r="V893" s="1">
        <v>2</v>
      </c>
    </row>
    <row r="894" spans="1:22" x14ac:dyDescent="0.25">
      <c r="A894" s="3">
        <v>44774</v>
      </c>
      <c r="B894" s="4">
        <v>0.50760416666666663</v>
      </c>
      <c r="C894" s="1">
        <v>1320</v>
      </c>
      <c r="D894" s="1">
        <v>13002561</v>
      </c>
      <c r="E894" s="1">
        <v>13</v>
      </c>
      <c r="F894" s="1">
        <v>22589</v>
      </c>
      <c r="G894" s="1" t="s">
        <v>21</v>
      </c>
      <c r="H894" s="1">
        <v>15</v>
      </c>
      <c r="I894" s="1">
        <v>345211</v>
      </c>
      <c r="J894" s="14" t="s">
        <v>92</v>
      </c>
      <c r="K894" s="1" t="s">
        <v>51</v>
      </c>
      <c r="L894" s="1" t="s">
        <v>93</v>
      </c>
      <c r="M894" s="14">
        <v>1</v>
      </c>
      <c r="N894" s="2">
        <v>25.71</v>
      </c>
      <c r="O894" s="16">
        <v>31</v>
      </c>
      <c r="P894" s="14">
        <v>1</v>
      </c>
      <c r="Q894" s="14">
        <f t="shared" si="13"/>
        <v>30</v>
      </c>
      <c r="R894" s="1">
        <v>9</v>
      </c>
      <c r="S894" s="1">
        <v>200010018337</v>
      </c>
      <c r="T894" s="1">
        <v>29</v>
      </c>
      <c r="U894" s="1">
        <v>1</v>
      </c>
      <c r="V894" s="1">
        <v>3</v>
      </c>
    </row>
    <row r="895" spans="1:22" x14ac:dyDescent="0.25">
      <c r="A895" s="3">
        <v>44774</v>
      </c>
      <c r="B895" s="4">
        <v>0.53487268518518516</v>
      </c>
      <c r="C895" s="1">
        <v>1334</v>
      </c>
      <c r="D895" s="1">
        <v>13002561</v>
      </c>
      <c r="E895" s="1">
        <v>13</v>
      </c>
      <c r="F895" s="1">
        <v>22589</v>
      </c>
      <c r="G895" s="1" t="s">
        <v>21</v>
      </c>
      <c r="H895" s="1">
        <v>15</v>
      </c>
      <c r="I895" s="1">
        <v>345211</v>
      </c>
      <c r="J895" s="14" t="s">
        <v>92</v>
      </c>
      <c r="K895" s="1" t="s">
        <v>51</v>
      </c>
      <c r="L895" s="1" t="s">
        <v>93</v>
      </c>
      <c r="M895" s="14">
        <v>1</v>
      </c>
      <c r="N895" s="2">
        <v>25.71</v>
      </c>
      <c r="O895" s="16">
        <v>31</v>
      </c>
      <c r="P895" s="14">
        <v>1</v>
      </c>
      <c r="Q895" s="14">
        <f t="shared" si="13"/>
        <v>30</v>
      </c>
      <c r="R895" s="1">
        <v>9</v>
      </c>
      <c r="S895" s="1">
        <v>200010005104</v>
      </c>
      <c r="T895" s="1">
        <v>29</v>
      </c>
      <c r="U895" s="1">
        <v>1</v>
      </c>
      <c r="V895" s="1">
        <v>1</v>
      </c>
    </row>
    <row r="896" spans="1:22" x14ac:dyDescent="0.25">
      <c r="A896" s="3">
        <v>44775</v>
      </c>
      <c r="B896" s="4">
        <v>0.39520833333333333</v>
      </c>
      <c r="C896" s="1">
        <v>1428</v>
      </c>
      <c r="D896" s="1">
        <v>13002581</v>
      </c>
      <c r="E896" s="1">
        <v>13</v>
      </c>
      <c r="F896" s="1">
        <v>22589</v>
      </c>
      <c r="G896" s="1" t="s">
        <v>21</v>
      </c>
      <c r="H896" s="1">
        <v>15</v>
      </c>
      <c r="I896" s="1">
        <v>345211</v>
      </c>
      <c r="J896" s="14" t="s">
        <v>92</v>
      </c>
      <c r="K896" s="1" t="s">
        <v>51</v>
      </c>
      <c r="L896" s="1" t="s">
        <v>93</v>
      </c>
      <c r="M896" s="14">
        <v>1</v>
      </c>
      <c r="N896" s="2">
        <v>25.71</v>
      </c>
      <c r="O896" s="16">
        <v>31</v>
      </c>
      <c r="P896" s="14">
        <v>1</v>
      </c>
      <c r="Q896" s="14">
        <f t="shared" si="13"/>
        <v>30</v>
      </c>
      <c r="R896" s="1">
        <v>9</v>
      </c>
      <c r="S896" s="1">
        <v>200010021941</v>
      </c>
      <c r="T896" s="1">
        <v>29</v>
      </c>
      <c r="U896" s="1">
        <v>1</v>
      </c>
      <c r="V896" s="1">
        <v>2</v>
      </c>
    </row>
    <row r="897" spans="1:22" x14ac:dyDescent="0.25">
      <c r="A897" s="3">
        <v>44776</v>
      </c>
      <c r="B897" s="4">
        <v>0.57721064814814815</v>
      </c>
      <c r="C897" s="1">
        <v>1605</v>
      </c>
      <c r="D897" s="1">
        <v>13002595</v>
      </c>
      <c r="E897" s="1">
        <v>13</v>
      </c>
      <c r="F897" s="1">
        <v>22589</v>
      </c>
      <c r="G897" s="1" t="s">
        <v>21</v>
      </c>
      <c r="H897" s="1">
        <v>18</v>
      </c>
      <c r="I897" s="1">
        <v>345211</v>
      </c>
      <c r="J897" s="14" t="s">
        <v>92</v>
      </c>
      <c r="K897" s="1" t="s">
        <v>51</v>
      </c>
      <c r="L897" s="1" t="s">
        <v>93</v>
      </c>
      <c r="M897" s="14">
        <v>1</v>
      </c>
      <c r="N897" s="2">
        <v>25.71</v>
      </c>
      <c r="O897" s="16">
        <v>31</v>
      </c>
      <c r="P897" s="14">
        <v>0</v>
      </c>
      <c r="Q897" s="14">
        <f t="shared" si="13"/>
        <v>31</v>
      </c>
      <c r="R897" s="1" t="s">
        <v>25</v>
      </c>
      <c r="S897" s="1" t="s">
        <v>25</v>
      </c>
      <c r="T897" s="1">
        <v>29</v>
      </c>
      <c r="U897" s="1">
        <v>1</v>
      </c>
      <c r="V897" s="1">
        <v>3</v>
      </c>
    </row>
    <row r="898" spans="1:22" x14ac:dyDescent="0.25">
      <c r="A898" s="3">
        <v>44777</v>
      </c>
      <c r="B898" s="4">
        <v>0.49413194444444447</v>
      </c>
      <c r="C898" s="1">
        <v>1689</v>
      </c>
      <c r="D898" s="1">
        <v>13002606</v>
      </c>
      <c r="E898" s="1">
        <v>13</v>
      </c>
      <c r="F898" s="1">
        <v>22589</v>
      </c>
      <c r="G898" s="1" t="s">
        <v>21</v>
      </c>
      <c r="H898" s="1">
        <v>18</v>
      </c>
      <c r="I898" s="1">
        <v>345211</v>
      </c>
      <c r="J898" s="14" t="s">
        <v>92</v>
      </c>
      <c r="K898" s="1" t="s">
        <v>51</v>
      </c>
      <c r="L898" s="1" t="s">
        <v>93</v>
      </c>
      <c r="M898" s="14">
        <v>1</v>
      </c>
      <c r="N898" s="2">
        <v>25.71</v>
      </c>
      <c r="O898" s="16">
        <v>31</v>
      </c>
      <c r="P898" s="14">
        <v>1</v>
      </c>
      <c r="Q898" s="14">
        <f t="shared" ref="Q898:Q961" si="14">M898*O898-P898</f>
        <v>30</v>
      </c>
      <c r="R898" s="1">
        <v>9</v>
      </c>
      <c r="S898" s="1">
        <v>200010020219</v>
      </c>
      <c r="T898" s="1">
        <v>50</v>
      </c>
      <c r="U898" s="1">
        <v>1</v>
      </c>
      <c r="V898" s="1">
        <v>2</v>
      </c>
    </row>
    <row r="899" spans="1:22" x14ac:dyDescent="0.25">
      <c r="A899" s="3">
        <v>44774</v>
      </c>
      <c r="B899" s="4">
        <v>0.50112268518518521</v>
      </c>
      <c r="C899" s="1">
        <v>1316</v>
      </c>
      <c r="D899" s="1">
        <v>13002561</v>
      </c>
      <c r="E899" s="1">
        <v>13</v>
      </c>
      <c r="F899" s="1">
        <v>22589</v>
      </c>
      <c r="G899" s="1" t="s">
        <v>21</v>
      </c>
      <c r="H899" s="1">
        <v>15</v>
      </c>
      <c r="I899" s="1">
        <v>185061</v>
      </c>
      <c r="J899" s="14" t="s">
        <v>205</v>
      </c>
      <c r="K899" s="1" t="s">
        <v>23</v>
      </c>
      <c r="L899" s="1" t="s">
        <v>206</v>
      </c>
      <c r="M899" s="14">
        <v>1</v>
      </c>
      <c r="N899" s="2">
        <v>65.959999999999994</v>
      </c>
      <c r="O899" s="16">
        <v>81</v>
      </c>
      <c r="P899" s="14">
        <v>4</v>
      </c>
      <c r="Q899" s="14">
        <f t="shared" si="14"/>
        <v>77</v>
      </c>
      <c r="R899" s="1">
        <v>9</v>
      </c>
      <c r="S899" s="1">
        <v>200010027861</v>
      </c>
      <c r="T899" s="1">
        <v>29</v>
      </c>
      <c r="U899" s="1">
        <v>1</v>
      </c>
      <c r="V899" s="1">
        <v>1</v>
      </c>
    </row>
    <row r="900" spans="1:22" x14ac:dyDescent="0.25">
      <c r="A900" s="3">
        <v>44777</v>
      </c>
      <c r="B900" s="4">
        <v>0.79959490740740746</v>
      </c>
      <c r="C900" s="1">
        <v>1774</v>
      </c>
      <c r="D900" s="1">
        <v>13002606</v>
      </c>
      <c r="E900" s="1">
        <v>13</v>
      </c>
      <c r="F900" s="1">
        <v>22589</v>
      </c>
      <c r="G900" s="1" t="s">
        <v>21</v>
      </c>
      <c r="H900" s="1">
        <v>18</v>
      </c>
      <c r="I900" s="1">
        <v>186629</v>
      </c>
      <c r="J900" s="14" t="s">
        <v>1070</v>
      </c>
      <c r="K900" s="1" t="s">
        <v>23</v>
      </c>
      <c r="L900" s="1" t="s">
        <v>206</v>
      </c>
      <c r="M900" s="14">
        <v>1</v>
      </c>
      <c r="N900" s="2">
        <v>70.31</v>
      </c>
      <c r="O900" s="16">
        <v>87</v>
      </c>
      <c r="P900" s="14">
        <v>0</v>
      </c>
      <c r="Q900" s="14">
        <f t="shared" si="14"/>
        <v>87</v>
      </c>
      <c r="R900" s="1" t="s">
        <v>25</v>
      </c>
      <c r="S900" s="1" t="s">
        <v>25</v>
      </c>
      <c r="T900" s="1">
        <v>50</v>
      </c>
      <c r="U900" s="1">
        <v>1</v>
      </c>
      <c r="V900" s="1">
        <v>3</v>
      </c>
    </row>
    <row r="901" spans="1:22" x14ac:dyDescent="0.25">
      <c r="A901" s="3">
        <v>44775</v>
      </c>
      <c r="B901" s="4">
        <v>0.70472222222222225</v>
      </c>
      <c r="C901" s="1">
        <v>1500</v>
      </c>
      <c r="D901" s="1">
        <v>13002581</v>
      </c>
      <c r="E901" s="1">
        <v>13</v>
      </c>
      <c r="F901" s="1">
        <v>22589</v>
      </c>
      <c r="G901" s="1" t="s">
        <v>21</v>
      </c>
      <c r="H901" s="1">
        <v>15</v>
      </c>
      <c r="I901" s="1">
        <v>133317</v>
      </c>
      <c r="J901" s="14" t="s">
        <v>648</v>
      </c>
      <c r="K901" s="1" t="s">
        <v>23</v>
      </c>
      <c r="L901" s="1" t="s">
        <v>216</v>
      </c>
      <c r="M901" s="14">
        <v>1</v>
      </c>
      <c r="N901" s="2">
        <v>299.16000000000003</v>
      </c>
      <c r="O901" s="16">
        <v>404</v>
      </c>
      <c r="P901" s="14">
        <v>28</v>
      </c>
      <c r="Q901" s="14">
        <f t="shared" si="14"/>
        <v>376</v>
      </c>
      <c r="R901" s="1">
        <v>9</v>
      </c>
      <c r="S901" s="1">
        <v>200010021949</v>
      </c>
      <c r="T901" s="1">
        <v>29</v>
      </c>
      <c r="U901" s="1">
        <v>1</v>
      </c>
      <c r="V901" s="1">
        <v>1</v>
      </c>
    </row>
    <row r="902" spans="1:22" x14ac:dyDescent="0.25">
      <c r="A902" s="3">
        <v>44774</v>
      </c>
      <c r="B902" s="4">
        <v>0.5040162037037037</v>
      </c>
      <c r="C902" s="1">
        <v>1317</v>
      </c>
      <c r="D902" s="1">
        <v>13002561</v>
      </c>
      <c r="E902" s="1">
        <v>13</v>
      </c>
      <c r="F902" s="1">
        <v>22589</v>
      </c>
      <c r="G902" s="1" t="s">
        <v>21</v>
      </c>
      <c r="H902" s="1">
        <v>15</v>
      </c>
      <c r="I902" s="1">
        <v>320182</v>
      </c>
      <c r="J902" s="14" t="s">
        <v>207</v>
      </c>
      <c r="K902" s="1" t="s">
        <v>61</v>
      </c>
      <c r="L902" s="1" t="s">
        <v>208</v>
      </c>
      <c r="M902" s="14">
        <v>1</v>
      </c>
      <c r="N902" s="2">
        <v>2796.59</v>
      </c>
      <c r="O902" s="16">
        <v>3832</v>
      </c>
      <c r="P902" s="14">
        <v>383</v>
      </c>
      <c r="Q902" s="14">
        <f t="shared" si="14"/>
        <v>3449</v>
      </c>
      <c r="R902" s="1">
        <v>9</v>
      </c>
      <c r="S902" s="1">
        <v>200010016190</v>
      </c>
      <c r="T902" s="1">
        <v>29</v>
      </c>
      <c r="U902" s="1">
        <v>1</v>
      </c>
      <c r="V902" s="1">
        <v>1</v>
      </c>
    </row>
    <row r="903" spans="1:22" x14ac:dyDescent="0.25">
      <c r="A903" s="3">
        <v>44778</v>
      </c>
      <c r="B903" s="4">
        <v>0.76914351851851848</v>
      </c>
      <c r="C903" s="1">
        <v>1889</v>
      </c>
      <c r="D903" s="1">
        <v>13002616</v>
      </c>
      <c r="E903" s="1">
        <v>13</v>
      </c>
      <c r="F903" s="1">
        <v>22589</v>
      </c>
      <c r="G903" s="1" t="s">
        <v>21</v>
      </c>
      <c r="H903" s="1">
        <v>18</v>
      </c>
      <c r="I903" s="1">
        <v>26899</v>
      </c>
      <c r="J903" s="14" t="s">
        <v>1211</v>
      </c>
      <c r="K903" s="1" t="s">
        <v>23</v>
      </c>
      <c r="L903" s="1" t="s">
        <v>89</v>
      </c>
      <c r="M903" s="14">
        <v>1</v>
      </c>
      <c r="N903" s="2">
        <v>192.12</v>
      </c>
      <c r="O903" s="16">
        <v>298</v>
      </c>
      <c r="P903" s="14">
        <v>0</v>
      </c>
      <c r="Q903" s="14">
        <f t="shared" si="14"/>
        <v>298</v>
      </c>
      <c r="R903" s="1" t="s">
        <v>25</v>
      </c>
      <c r="S903" s="1" t="s">
        <v>25</v>
      </c>
      <c r="T903" s="1">
        <v>50</v>
      </c>
      <c r="U903" s="1">
        <v>1</v>
      </c>
      <c r="V903" s="1">
        <v>2</v>
      </c>
    </row>
    <row r="904" spans="1:22" x14ac:dyDescent="0.25">
      <c r="A904" s="3">
        <v>44774</v>
      </c>
      <c r="B904" s="4">
        <v>0.6300810185185185</v>
      </c>
      <c r="C904" s="1">
        <v>1365</v>
      </c>
      <c r="D904" s="1">
        <v>13002561</v>
      </c>
      <c r="E904" s="1">
        <v>13</v>
      </c>
      <c r="F904" s="1">
        <v>22589</v>
      </c>
      <c r="G904" s="1" t="s">
        <v>21</v>
      </c>
      <c r="H904" s="1">
        <v>18</v>
      </c>
      <c r="I904" s="1">
        <v>67494</v>
      </c>
      <c r="J904" s="14" t="s">
        <v>353</v>
      </c>
      <c r="K904" s="1" t="s">
        <v>23</v>
      </c>
      <c r="L904" s="1" t="s">
        <v>76</v>
      </c>
      <c r="M904" s="14">
        <v>1</v>
      </c>
      <c r="N904" s="2">
        <v>290.54000000000002</v>
      </c>
      <c r="O904" s="16">
        <v>393</v>
      </c>
      <c r="P904" s="14">
        <v>0</v>
      </c>
      <c r="Q904" s="14">
        <f t="shared" si="14"/>
        <v>393</v>
      </c>
      <c r="R904" s="1" t="s">
        <v>25</v>
      </c>
      <c r="S904" s="1" t="s">
        <v>25</v>
      </c>
      <c r="T904" s="1">
        <v>29</v>
      </c>
      <c r="U904" s="1">
        <v>1</v>
      </c>
      <c r="V904" s="1">
        <v>1</v>
      </c>
    </row>
    <row r="905" spans="1:22" x14ac:dyDescent="0.25">
      <c r="A905" s="3">
        <v>44778</v>
      </c>
      <c r="B905" s="4">
        <v>0.50062499999999999</v>
      </c>
      <c r="C905" s="1">
        <v>1829</v>
      </c>
      <c r="D905" s="1">
        <v>13002616</v>
      </c>
      <c r="E905" s="1">
        <v>13</v>
      </c>
      <c r="F905" s="1">
        <v>22589</v>
      </c>
      <c r="G905" s="1" t="s">
        <v>21</v>
      </c>
      <c r="H905" s="1">
        <v>18</v>
      </c>
      <c r="I905" s="1">
        <v>319265</v>
      </c>
      <c r="J905" s="14" t="s">
        <v>1125</v>
      </c>
      <c r="K905" s="1" t="s">
        <v>34</v>
      </c>
      <c r="L905" s="1" t="s">
        <v>731</v>
      </c>
      <c r="M905" s="14">
        <v>1</v>
      </c>
      <c r="N905" s="2">
        <v>605.54</v>
      </c>
      <c r="O905" s="16">
        <v>782</v>
      </c>
      <c r="P905" s="14">
        <v>54</v>
      </c>
      <c r="Q905" s="14">
        <f t="shared" si="14"/>
        <v>728</v>
      </c>
      <c r="R905" s="1">
        <v>9</v>
      </c>
      <c r="S905" s="1">
        <v>200010002734</v>
      </c>
      <c r="T905" s="1">
        <v>50</v>
      </c>
      <c r="U905" s="1">
        <v>1</v>
      </c>
      <c r="V905" s="1">
        <v>4</v>
      </c>
    </row>
    <row r="906" spans="1:22" x14ac:dyDescent="0.25">
      <c r="A906" s="3">
        <v>44778</v>
      </c>
      <c r="B906" s="4">
        <v>0.55024305555555553</v>
      </c>
      <c r="C906" s="1">
        <v>1843</v>
      </c>
      <c r="D906" s="1">
        <v>13002616</v>
      </c>
      <c r="E906" s="1">
        <v>13</v>
      </c>
      <c r="F906" s="1">
        <v>22589</v>
      </c>
      <c r="G906" s="1" t="s">
        <v>21</v>
      </c>
      <c r="H906" s="1">
        <v>15</v>
      </c>
      <c r="I906" s="1">
        <v>261581</v>
      </c>
      <c r="J906" s="14" t="s">
        <v>1147</v>
      </c>
      <c r="K906" s="1" t="s">
        <v>29</v>
      </c>
      <c r="L906" s="1" t="s">
        <v>750</v>
      </c>
      <c r="M906" s="14">
        <v>1</v>
      </c>
      <c r="N906" s="2">
        <v>337.07</v>
      </c>
      <c r="O906" s="16">
        <v>445</v>
      </c>
      <c r="P906" s="14">
        <v>0</v>
      </c>
      <c r="Q906" s="14">
        <f t="shared" si="14"/>
        <v>445</v>
      </c>
      <c r="R906" s="1" t="s">
        <v>25</v>
      </c>
      <c r="S906" s="1" t="s">
        <v>25</v>
      </c>
      <c r="T906" s="1">
        <v>50</v>
      </c>
      <c r="U906" s="1">
        <v>1</v>
      </c>
      <c r="V906" s="1">
        <v>1</v>
      </c>
    </row>
    <row r="907" spans="1:22" x14ac:dyDescent="0.25">
      <c r="A907" s="3">
        <v>44777</v>
      </c>
      <c r="B907" s="4">
        <v>0.54312499999999997</v>
      </c>
      <c r="C907" s="1">
        <v>1713</v>
      </c>
      <c r="D907" s="1">
        <v>13002606</v>
      </c>
      <c r="E907" s="1">
        <v>13</v>
      </c>
      <c r="F907" s="1">
        <v>22589</v>
      </c>
      <c r="G907" s="1" t="s">
        <v>21</v>
      </c>
      <c r="H907" s="1">
        <v>15</v>
      </c>
      <c r="I907" s="1">
        <v>1799</v>
      </c>
      <c r="J907" s="14" t="s">
        <v>998</v>
      </c>
      <c r="K907" s="1" t="s">
        <v>34</v>
      </c>
      <c r="L907" s="1" t="s">
        <v>999</v>
      </c>
      <c r="M907" s="14">
        <v>1</v>
      </c>
      <c r="N907" s="2">
        <v>407.45</v>
      </c>
      <c r="O907" s="16">
        <v>489</v>
      </c>
      <c r="P907" s="14">
        <v>34</v>
      </c>
      <c r="Q907" s="14">
        <f t="shared" si="14"/>
        <v>455</v>
      </c>
      <c r="R907" s="1">
        <v>9</v>
      </c>
      <c r="S907" s="1">
        <v>200010014179</v>
      </c>
      <c r="T907" s="1">
        <v>50</v>
      </c>
      <c r="U907" s="1">
        <v>1</v>
      </c>
      <c r="V907" s="1">
        <v>1</v>
      </c>
    </row>
    <row r="908" spans="1:22" x14ac:dyDescent="0.25">
      <c r="A908" s="3">
        <v>44777</v>
      </c>
      <c r="B908" s="4">
        <v>0.60195601851851854</v>
      </c>
      <c r="C908" s="1">
        <v>1729</v>
      </c>
      <c r="D908" s="1">
        <v>13002606</v>
      </c>
      <c r="E908" s="1">
        <v>13</v>
      </c>
      <c r="F908" s="1">
        <v>22589</v>
      </c>
      <c r="G908" s="1" t="s">
        <v>21</v>
      </c>
      <c r="H908" s="1">
        <v>15</v>
      </c>
      <c r="I908" s="1">
        <v>1799</v>
      </c>
      <c r="J908" s="14" t="s">
        <v>998</v>
      </c>
      <c r="K908" s="1" t="s">
        <v>45</v>
      </c>
      <c r="L908" s="1" t="s">
        <v>999</v>
      </c>
      <c r="M908" s="14">
        <v>1</v>
      </c>
      <c r="N908" s="2">
        <v>400.06</v>
      </c>
      <c r="O908" s="16">
        <v>481</v>
      </c>
      <c r="P908" s="14">
        <v>33</v>
      </c>
      <c r="Q908" s="14">
        <f t="shared" si="14"/>
        <v>448</v>
      </c>
      <c r="R908" s="1">
        <v>9</v>
      </c>
      <c r="S908" s="1">
        <v>200010021982</v>
      </c>
      <c r="T908" s="1">
        <v>50</v>
      </c>
      <c r="U908" s="1">
        <v>1</v>
      </c>
      <c r="V908" s="1">
        <v>1</v>
      </c>
    </row>
    <row r="909" spans="1:22" x14ac:dyDescent="0.25">
      <c r="A909" s="3">
        <v>44778</v>
      </c>
      <c r="B909" s="4">
        <v>0.39531250000000001</v>
      </c>
      <c r="C909" s="1">
        <v>1797</v>
      </c>
      <c r="D909" s="1">
        <v>13002616</v>
      </c>
      <c r="E909" s="1">
        <v>13</v>
      </c>
      <c r="F909" s="1">
        <v>22589</v>
      </c>
      <c r="G909" s="1" t="s">
        <v>21</v>
      </c>
      <c r="H909" s="1">
        <v>18</v>
      </c>
      <c r="I909" s="1">
        <v>1799</v>
      </c>
      <c r="J909" s="14" t="s">
        <v>998</v>
      </c>
      <c r="K909" s="1" t="s">
        <v>45</v>
      </c>
      <c r="L909" s="1" t="s">
        <v>999</v>
      </c>
      <c r="M909" s="14">
        <v>1</v>
      </c>
      <c r="N909" s="2">
        <v>400.06</v>
      </c>
      <c r="O909" s="16">
        <v>481</v>
      </c>
      <c r="P909" s="14">
        <v>0</v>
      </c>
      <c r="Q909" s="14">
        <f t="shared" si="14"/>
        <v>481</v>
      </c>
      <c r="R909" s="1" t="s">
        <v>25</v>
      </c>
      <c r="S909" s="1" t="s">
        <v>25</v>
      </c>
      <c r="T909" s="1">
        <v>50</v>
      </c>
      <c r="U909" s="1">
        <v>1</v>
      </c>
      <c r="V909" s="1">
        <v>1</v>
      </c>
    </row>
    <row r="910" spans="1:22" x14ac:dyDescent="0.25">
      <c r="A910" s="3">
        <v>44774</v>
      </c>
      <c r="B910" s="4">
        <v>0.43633101851851852</v>
      </c>
      <c r="C910" s="1">
        <v>1289</v>
      </c>
      <c r="D910" s="1">
        <v>13002561</v>
      </c>
      <c r="E910" s="1">
        <v>13</v>
      </c>
      <c r="F910" s="1">
        <v>22589</v>
      </c>
      <c r="G910" s="1" t="s">
        <v>21</v>
      </c>
      <c r="H910" s="1">
        <v>15</v>
      </c>
      <c r="I910" s="1">
        <v>1504015</v>
      </c>
      <c r="J910" s="14" t="s">
        <v>94</v>
      </c>
      <c r="K910" s="1" t="s">
        <v>95</v>
      </c>
      <c r="L910" s="1" t="s">
        <v>93</v>
      </c>
      <c r="M910" s="14">
        <v>1</v>
      </c>
      <c r="N910" s="2">
        <v>1.1499999999999999</v>
      </c>
      <c r="O910" s="16">
        <v>2</v>
      </c>
      <c r="P910" s="14">
        <v>0</v>
      </c>
      <c r="Q910" s="14">
        <f t="shared" si="14"/>
        <v>2</v>
      </c>
      <c r="R910" s="1" t="s">
        <v>25</v>
      </c>
      <c r="S910" s="1" t="s">
        <v>25</v>
      </c>
      <c r="T910" s="1">
        <v>29</v>
      </c>
      <c r="U910" s="1">
        <v>1</v>
      </c>
      <c r="V910" s="1">
        <v>4</v>
      </c>
    </row>
    <row r="911" spans="1:22" x14ac:dyDescent="0.25">
      <c r="A911" s="3">
        <v>44774</v>
      </c>
      <c r="B911" s="4">
        <v>0.43896990740740743</v>
      </c>
      <c r="C911" s="1">
        <v>1290</v>
      </c>
      <c r="D911" s="1">
        <v>13002561</v>
      </c>
      <c r="E911" s="1">
        <v>13</v>
      </c>
      <c r="F911" s="1">
        <v>22589</v>
      </c>
      <c r="G911" s="1" t="s">
        <v>21</v>
      </c>
      <c r="H911" s="1">
        <v>15</v>
      </c>
      <c r="I911" s="1">
        <v>1504015</v>
      </c>
      <c r="J911" s="14" t="s">
        <v>94</v>
      </c>
      <c r="K911" s="1" t="s">
        <v>95</v>
      </c>
      <c r="L911" s="1" t="s">
        <v>93</v>
      </c>
      <c r="M911" s="14">
        <v>1</v>
      </c>
      <c r="N911" s="2">
        <v>1.1499999999999999</v>
      </c>
      <c r="O911" s="16">
        <v>2</v>
      </c>
      <c r="P911" s="14">
        <v>0</v>
      </c>
      <c r="Q911" s="14">
        <f t="shared" si="14"/>
        <v>2</v>
      </c>
      <c r="R911" s="1" t="s">
        <v>25</v>
      </c>
      <c r="S911" s="1" t="s">
        <v>25</v>
      </c>
      <c r="T911" s="1">
        <v>29</v>
      </c>
      <c r="U911" s="1">
        <v>1</v>
      </c>
      <c r="V911" s="1">
        <v>4</v>
      </c>
    </row>
    <row r="912" spans="1:22" x14ac:dyDescent="0.25">
      <c r="A912" s="3">
        <v>44774</v>
      </c>
      <c r="B912" s="4">
        <v>0.44123842592592594</v>
      </c>
      <c r="C912" s="1">
        <v>1292</v>
      </c>
      <c r="D912" s="1">
        <v>13002561</v>
      </c>
      <c r="E912" s="1">
        <v>13</v>
      </c>
      <c r="F912" s="1">
        <v>22589</v>
      </c>
      <c r="G912" s="1" t="s">
        <v>21</v>
      </c>
      <c r="H912" s="1">
        <v>18</v>
      </c>
      <c r="I912" s="1">
        <v>1504015</v>
      </c>
      <c r="J912" s="14" t="s">
        <v>94</v>
      </c>
      <c r="K912" s="1" t="s">
        <v>95</v>
      </c>
      <c r="L912" s="1" t="s">
        <v>93</v>
      </c>
      <c r="M912" s="14">
        <v>1</v>
      </c>
      <c r="N912" s="2">
        <v>1.1499999999999999</v>
      </c>
      <c r="O912" s="16">
        <v>2</v>
      </c>
      <c r="P912" s="14">
        <v>0</v>
      </c>
      <c r="Q912" s="14">
        <f t="shared" si="14"/>
        <v>2</v>
      </c>
      <c r="R912" s="1" t="s">
        <v>25</v>
      </c>
      <c r="S912" s="1" t="s">
        <v>25</v>
      </c>
      <c r="T912" s="1">
        <v>29</v>
      </c>
      <c r="U912" s="1">
        <v>1</v>
      </c>
      <c r="V912" s="1">
        <v>3</v>
      </c>
    </row>
    <row r="913" spans="1:22" x14ac:dyDescent="0.25">
      <c r="A913" s="3">
        <v>44774</v>
      </c>
      <c r="B913" s="4">
        <v>0.44861111111111113</v>
      </c>
      <c r="C913" s="1">
        <v>1297</v>
      </c>
      <c r="D913" s="1">
        <v>13002561</v>
      </c>
      <c r="E913" s="1">
        <v>13</v>
      </c>
      <c r="F913" s="1">
        <v>22589</v>
      </c>
      <c r="G913" s="1" t="s">
        <v>21</v>
      </c>
      <c r="H913" s="1">
        <v>15</v>
      </c>
      <c r="I913" s="1">
        <v>1504015</v>
      </c>
      <c r="J913" s="14" t="s">
        <v>94</v>
      </c>
      <c r="K913" s="1" t="s">
        <v>95</v>
      </c>
      <c r="L913" s="1" t="s">
        <v>93</v>
      </c>
      <c r="M913" s="14">
        <v>1</v>
      </c>
      <c r="N913" s="2">
        <v>1.1499999999999999</v>
      </c>
      <c r="O913" s="16">
        <v>2</v>
      </c>
      <c r="P913" s="14">
        <v>0</v>
      </c>
      <c r="Q913" s="14">
        <f t="shared" si="14"/>
        <v>2</v>
      </c>
      <c r="R913" s="1" t="s">
        <v>25</v>
      </c>
      <c r="S913" s="1" t="s">
        <v>25</v>
      </c>
      <c r="T913" s="1">
        <v>29</v>
      </c>
      <c r="U913" s="1">
        <v>1</v>
      </c>
      <c r="V913" s="1">
        <v>4</v>
      </c>
    </row>
    <row r="914" spans="1:22" x14ac:dyDescent="0.25">
      <c r="A914" s="3">
        <v>44774</v>
      </c>
      <c r="B914" s="4">
        <v>0.45111111111111113</v>
      </c>
      <c r="C914" s="1">
        <v>1298</v>
      </c>
      <c r="D914" s="1">
        <v>13002561</v>
      </c>
      <c r="E914" s="1">
        <v>13</v>
      </c>
      <c r="F914" s="1">
        <v>22589</v>
      </c>
      <c r="G914" s="1" t="s">
        <v>21</v>
      </c>
      <c r="H914" s="1">
        <v>18</v>
      </c>
      <c r="I914" s="1">
        <v>1504015</v>
      </c>
      <c r="J914" s="14" t="s">
        <v>94</v>
      </c>
      <c r="K914" s="1" t="s">
        <v>95</v>
      </c>
      <c r="L914" s="1" t="s">
        <v>93</v>
      </c>
      <c r="M914" s="14">
        <v>1</v>
      </c>
      <c r="N914" s="2">
        <v>1.1499999999999999</v>
      </c>
      <c r="O914" s="16">
        <v>2</v>
      </c>
      <c r="P914" s="14">
        <v>0</v>
      </c>
      <c r="Q914" s="14">
        <f t="shared" si="14"/>
        <v>2</v>
      </c>
      <c r="R914" s="1" t="s">
        <v>25</v>
      </c>
      <c r="S914" s="1" t="s">
        <v>25</v>
      </c>
      <c r="T914" s="1">
        <v>29</v>
      </c>
      <c r="U914" s="1">
        <v>1</v>
      </c>
      <c r="V914" s="1">
        <v>4</v>
      </c>
    </row>
    <row r="915" spans="1:22" x14ac:dyDescent="0.25">
      <c r="A915" s="3">
        <v>44774</v>
      </c>
      <c r="B915" s="4">
        <v>0.51331018518518523</v>
      </c>
      <c r="C915" s="1">
        <v>1324</v>
      </c>
      <c r="D915" s="1">
        <v>13002561</v>
      </c>
      <c r="E915" s="1">
        <v>13</v>
      </c>
      <c r="F915" s="1">
        <v>22589</v>
      </c>
      <c r="G915" s="1" t="s">
        <v>21</v>
      </c>
      <c r="H915" s="1">
        <v>15</v>
      </c>
      <c r="I915" s="1">
        <v>1504015</v>
      </c>
      <c r="J915" s="14" t="s">
        <v>94</v>
      </c>
      <c r="K915" s="1" t="s">
        <v>95</v>
      </c>
      <c r="L915" s="1" t="s">
        <v>93</v>
      </c>
      <c r="M915" s="14">
        <v>1</v>
      </c>
      <c r="N915" s="2">
        <v>1.1499999999999999</v>
      </c>
      <c r="O915" s="16">
        <v>2</v>
      </c>
      <c r="P915" s="14">
        <v>0</v>
      </c>
      <c r="Q915" s="14">
        <f t="shared" si="14"/>
        <v>2</v>
      </c>
      <c r="R915" s="1" t="s">
        <v>25</v>
      </c>
      <c r="S915" s="1" t="s">
        <v>25</v>
      </c>
      <c r="T915" s="1">
        <v>29</v>
      </c>
      <c r="U915" s="1">
        <v>1</v>
      </c>
      <c r="V915" s="1">
        <v>2</v>
      </c>
    </row>
    <row r="916" spans="1:22" x14ac:dyDescent="0.25">
      <c r="A916" s="3">
        <v>44774</v>
      </c>
      <c r="B916" s="4">
        <v>0.52379629629629632</v>
      </c>
      <c r="C916" s="1">
        <v>1327</v>
      </c>
      <c r="D916" s="1">
        <v>13002561</v>
      </c>
      <c r="E916" s="1">
        <v>13</v>
      </c>
      <c r="F916" s="1">
        <v>22589</v>
      </c>
      <c r="G916" s="1" t="s">
        <v>21</v>
      </c>
      <c r="H916" s="1">
        <v>18</v>
      </c>
      <c r="I916" s="1">
        <v>1504015</v>
      </c>
      <c r="J916" s="14" t="s">
        <v>94</v>
      </c>
      <c r="K916" s="1" t="s">
        <v>95</v>
      </c>
      <c r="L916" s="1" t="s">
        <v>93</v>
      </c>
      <c r="M916" s="14">
        <v>1</v>
      </c>
      <c r="N916" s="2">
        <v>1.1499999999999999</v>
      </c>
      <c r="O916" s="16">
        <v>2</v>
      </c>
      <c r="P916" s="14">
        <v>0</v>
      </c>
      <c r="Q916" s="14">
        <f t="shared" si="14"/>
        <v>2</v>
      </c>
      <c r="R916" s="1" t="s">
        <v>25</v>
      </c>
      <c r="S916" s="1" t="s">
        <v>25</v>
      </c>
      <c r="T916" s="1">
        <v>29</v>
      </c>
      <c r="U916" s="1">
        <v>1</v>
      </c>
      <c r="V916" s="1">
        <v>4</v>
      </c>
    </row>
    <row r="917" spans="1:22" x14ac:dyDescent="0.25">
      <c r="A917" s="3">
        <v>44774</v>
      </c>
      <c r="B917" s="4">
        <v>0.64307870370370368</v>
      </c>
      <c r="C917" s="1">
        <v>1367</v>
      </c>
      <c r="D917" s="1">
        <v>13002561</v>
      </c>
      <c r="E917" s="1">
        <v>13</v>
      </c>
      <c r="F917" s="1">
        <v>22589</v>
      </c>
      <c r="G917" s="1" t="s">
        <v>21</v>
      </c>
      <c r="H917" s="1">
        <v>18</v>
      </c>
      <c r="I917" s="1">
        <v>1504015</v>
      </c>
      <c r="J917" s="14" t="s">
        <v>94</v>
      </c>
      <c r="K917" s="1" t="s">
        <v>95</v>
      </c>
      <c r="L917" s="1" t="s">
        <v>93</v>
      </c>
      <c r="M917" s="14">
        <v>1</v>
      </c>
      <c r="N917" s="2">
        <v>1.1499999999999999</v>
      </c>
      <c r="O917" s="16">
        <v>2</v>
      </c>
      <c r="P917" s="14">
        <v>0</v>
      </c>
      <c r="Q917" s="14">
        <f t="shared" si="14"/>
        <v>2</v>
      </c>
      <c r="R917" s="1" t="s">
        <v>25</v>
      </c>
      <c r="S917" s="1" t="s">
        <v>25</v>
      </c>
      <c r="T917" s="1">
        <v>29</v>
      </c>
      <c r="U917" s="1">
        <v>1</v>
      </c>
      <c r="V917" s="1">
        <v>3</v>
      </c>
    </row>
    <row r="918" spans="1:22" x14ac:dyDescent="0.25">
      <c r="A918" s="3">
        <v>44774</v>
      </c>
      <c r="B918" s="4">
        <v>0.70020833333333332</v>
      </c>
      <c r="C918" s="1">
        <v>1380</v>
      </c>
      <c r="D918" s="1">
        <v>13002561</v>
      </c>
      <c r="E918" s="1">
        <v>13</v>
      </c>
      <c r="F918" s="1">
        <v>22589</v>
      </c>
      <c r="G918" s="1" t="s">
        <v>21</v>
      </c>
      <c r="H918" s="1">
        <v>18</v>
      </c>
      <c r="I918" s="1">
        <v>1504015</v>
      </c>
      <c r="J918" s="14" t="s">
        <v>94</v>
      </c>
      <c r="K918" s="1" t="s">
        <v>95</v>
      </c>
      <c r="L918" s="1" t="s">
        <v>93</v>
      </c>
      <c r="M918" s="14">
        <v>1</v>
      </c>
      <c r="N918" s="2">
        <v>1.1499999999999999</v>
      </c>
      <c r="O918" s="16">
        <v>2</v>
      </c>
      <c r="P918" s="14">
        <v>0</v>
      </c>
      <c r="Q918" s="14">
        <f t="shared" si="14"/>
        <v>2</v>
      </c>
      <c r="R918" s="1" t="s">
        <v>25</v>
      </c>
      <c r="S918" s="1" t="s">
        <v>25</v>
      </c>
      <c r="T918" s="1">
        <v>29</v>
      </c>
      <c r="U918" s="1">
        <v>1</v>
      </c>
      <c r="V918" s="1">
        <v>5</v>
      </c>
    </row>
    <row r="919" spans="1:22" x14ac:dyDescent="0.25">
      <c r="A919" s="3">
        <v>44774</v>
      </c>
      <c r="B919" s="4">
        <v>0.78233796296296299</v>
      </c>
      <c r="C919" s="1">
        <v>1402</v>
      </c>
      <c r="D919" s="1">
        <v>13002561</v>
      </c>
      <c r="E919" s="1">
        <v>13</v>
      </c>
      <c r="F919" s="1">
        <v>22589</v>
      </c>
      <c r="G919" s="1" t="s">
        <v>21</v>
      </c>
      <c r="H919" s="1">
        <v>18</v>
      </c>
      <c r="I919" s="1">
        <v>1504015</v>
      </c>
      <c r="J919" s="14" t="s">
        <v>94</v>
      </c>
      <c r="K919" s="1" t="s">
        <v>95</v>
      </c>
      <c r="L919" s="1" t="s">
        <v>93</v>
      </c>
      <c r="M919" s="14">
        <v>1</v>
      </c>
      <c r="N919" s="2">
        <v>1.1499999999999999</v>
      </c>
      <c r="O919" s="16">
        <v>2</v>
      </c>
      <c r="P919" s="14">
        <v>0</v>
      </c>
      <c r="Q919" s="14">
        <f t="shared" si="14"/>
        <v>2</v>
      </c>
      <c r="R919" s="1" t="s">
        <v>25</v>
      </c>
      <c r="S919" s="1" t="s">
        <v>25</v>
      </c>
      <c r="T919" s="1">
        <v>29</v>
      </c>
      <c r="U919" s="1">
        <v>1</v>
      </c>
      <c r="V919" s="1">
        <v>5</v>
      </c>
    </row>
    <row r="920" spans="1:22" x14ac:dyDescent="0.25">
      <c r="A920" s="3">
        <v>44775</v>
      </c>
      <c r="B920" s="4">
        <v>0.57376157407407402</v>
      </c>
      <c r="C920" s="1">
        <v>1477</v>
      </c>
      <c r="D920" s="1">
        <v>13002581</v>
      </c>
      <c r="E920" s="1">
        <v>13</v>
      </c>
      <c r="F920" s="1">
        <v>22589</v>
      </c>
      <c r="G920" s="1" t="s">
        <v>21</v>
      </c>
      <c r="H920" s="1">
        <v>18</v>
      </c>
      <c r="I920" s="1">
        <v>1504015</v>
      </c>
      <c r="J920" s="14" t="s">
        <v>94</v>
      </c>
      <c r="K920" s="1" t="s">
        <v>95</v>
      </c>
      <c r="L920" s="1" t="s">
        <v>547</v>
      </c>
      <c r="M920" s="14">
        <v>1</v>
      </c>
      <c r="N920" s="2">
        <v>1.1499999999999999</v>
      </c>
      <c r="O920" s="16">
        <v>2</v>
      </c>
      <c r="P920" s="14">
        <v>0</v>
      </c>
      <c r="Q920" s="14">
        <f t="shared" si="14"/>
        <v>2</v>
      </c>
      <c r="R920" s="1" t="s">
        <v>25</v>
      </c>
      <c r="S920" s="1" t="s">
        <v>25</v>
      </c>
      <c r="T920" s="1">
        <v>29</v>
      </c>
      <c r="U920" s="1">
        <v>1</v>
      </c>
      <c r="V920" s="1">
        <v>5</v>
      </c>
    </row>
    <row r="921" spans="1:22" x14ac:dyDescent="0.25">
      <c r="A921" s="3">
        <v>44775</v>
      </c>
      <c r="B921" s="4">
        <v>0.67931712962962965</v>
      </c>
      <c r="C921" s="1">
        <v>1495</v>
      </c>
      <c r="D921" s="1">
        <v>13002581</v>
      </c>
      <c r="E921" s="1">
        <v>13</v>
      </c>
      <c r="F921" s="1">
        <v>22589</v>
      </c>
      <c r="G921" s="1" t="s">
        <v>21</v>
      </c>
      <c r="H921" s="1">
        <v>15</v>
      </c>
      <c r="I921" s="1">
        <v>1504015</v>
      </c>
      <c r="J921" s="14" t="s">
        <v>94</v>
      </c>
      <c r="K921" s="1" t="s">
        <v>95</v>
      </c>
      <c r="L921" s="1" t="s">
        <v>547</v>
      </c>
      <c r="M921" s="14">
        <v>1</v>
      </c>
      <c r="N921" s="2">
        <v>1.1499999999999999</v>
      </c>
      <c r="O921" s="16">
        <v>2</v>
      </c>
      <c r="P921" s="14">
        <v>0</v>
      </c>
      <c r="Q921" s="14">
        <f t="shared" si="14"/>
        <v>2</v>
      </c>
      <c r="R921" s="1" t="s">
        <v>25</v>
      </c>
      <c r="S921" s="1" t="s">
        <v>25</v>
      </c>
      <c r="T921" s="1">
        <v>29</v>
      </c>
      <c r="U921" s="1">
        <v>1</v>
      </c>
      <c r="V921" s="1">
        <v>1</v>
      </c>
    </row>
    <row r="922" spans="1:22" x14ac:dyDescent="0.25">
      <c r="A922" s="3">
        <v>44775</v>
      </c>
      <c r="B922" s="4">
        <v>0.74380787037037033</v>
      </c>
      <c r="C922" s="1">
        <v>1517</v>
      </c>
      <c r="D922" s="1">
        <v>13002581</v>
      </c>
      <c r="E922" s="1">
        <v>13</v>
      </c>
      <c r="F922" s="1">
        <v>22589</v>
      </c>
      <c r="G922" s="1" t="s">
        <v>21</v>
      </c>
      <c r="H922" s="1">
        <v>18</v>
      </c>
      <c r="I922" s="1">
        <v>1504015</v>
      </c>
      <c r="J922" s="14" t="s">
        <v>94</v>
      </c>
      <c r="K922" s="1" t="s">
        <v>95</v>
      </c>
      <c r="L922" s="1" t="s">
        <v>547</v>
      </c>
      <c r="M922" s="14">
        <v>1</v>
      </c>
      <c r="N922" s="2">
        <v>1.1499999999999999</v>
      </c>
      <c r="O922" s="16">
        <v>2</v>
      </c>
      <c r="P922" s="14">
        <v>0</v>
      </c>
      <c r="Q922" s="14">
        <f t="shared" si="14"/>
        <v>2</v>
      </c>
      <c r="R922" s="1" t="s">
        <v>25</v>
      </c>
      <c r="S922" s="1" t="s">
        <v>25</v>
      </c>
      <c r="T922" s="1">
        <v>29</v>
      </c>
      <c r="U922" s="1">
        <v>1</v>
      </c>
      <c r="V922" s="1">
        <v>2</v>
      </c>
    </row>
    <row r="923" spans="1:22" x14ac:dyDescent="0.25">
      <c r="A923" s="3">
        <v>44776</v>
      </c>
      <c r="B923" s="4">
        <v>0.36964120370370368</v>
      </c>
      <c r="C923" s="1">
        <v>1543</v>
      </c>
      <c r="D923" s="1">
        <v>13002595</v>
      </c>
      <c r="E923" s="1">
        <v>13</v>
      </c>
      <c r="F923" s="1">
        <v>22589</v>
      </c>
      <c r="G923" s="1" t="s">
        <v>21</v>
      </c>
      <c r="H923" s="1">
        <v>18</v>
      </c>
      <c r="I923" s="1">
        <v>1504015</v>
      </c>
      <c r="J923" s="14" t="s">
        <v>94</v>
      </c>
      <c r="K923" s="1" t="s">
        <v>95</v>
      </c>
      <c r="L923" s="1" t="s">
        <v>218</v>
      </c>
      <c r="M923" s="14">
        <v>1</v>
      </c>
      <c r="N923" s="2">
        <v>1.1499999999999999</v>
      </c>
      <c r="O923" s="16">
        <v>2</v>
      </c>
      <c r="P923" s="14">
        <v>0</v>
      </c>
      <c r="Q923" s="14">
        <f t="shared" si="14"/>
        <v>2</v>
      </c>
      <c r="R923" s="1" t="s">
        <v>25</v>
      </c>
      <c r="S923" s="1" t="s">
        <v>25</v>
      </c>
      <c r="T923" s="1">
        <v>29</v>
      </c>
      <c r="U923" s="1">
        <v>1</v>
      </c>
      <c r="V923" s="1">
        <v>4</v>
      </c>
    </row>
    <row r="924" spans="1:22" x14ac:dyDescent="0.25">
      <c r="A924" s="3">
        <v>44776</v>
      </c>
      <c r="B924" s="4">
        <v>0.48781249999999998</v>
      </c>
      <c r="C924" s="1">
        <v>1570</v>
      </c>
      <c r="D924" s="1">
        <v>13002595</v>
      </c>
      <c r="E924" s="1">
        <v>13</v>
      </c>
      <c r="F924" s="1">
        <v>22589</v>
      </c>
      <c r="G924" s="1" t="s">
        <v>21</v>
      </c>
      <c r="H924" s="1">
        <v>18</v>
      </c>
      <c r="I924" s="1">
        <v>1504015</v>
      </c>
      <c r="J924" s="14" t="s">
        <v>94</v>
      </c>
      <c r="K924" s="1" t="s">
        <v>95</v>
      </c>
      <c r="L924" s="1" t="s">
        <v>218</v>
      </c>
      <c r="M924" s="14">
        <v>1</v>
      </c>
      <c r="N924" s="2">
        <v>1.1499999999999999</v>
      </c>
      <c r="O924" s="16">
        <v>2</v>
      </c>
      <c r="P924" s="14">
        <v>0</v>
      </c>
      <c r="Q924" s="14">
        <f t="shared" si="14"/>
        <v>2</v>
      </c>
      <c r="R924" s="1" t="s">
        <v>25</v>
      </c>
      <c r="S924" s="1" t="s">
        <v>25</v>
      </c>
      <c r="T924" s="1">
        <v>29</v>
      </c>
      <c r="U924" s="1">
        <v>1</v>
      </c>
      <c r="V924" s="1">
        <v>6</v>
      </c>
    </row>
    <row r="925" spans="1:22" x14ac:dyDescent="0.25">
      <c r="A925" s="3">
        <v>44776</v>
      </c>
      <c r="B925" s="4">
        <v>0.79831018518518515</v>
      </c>
      <c r="C925" s="1">
        <v>1652</v>
      </c>
      <c r="D925" s="1">
        <v>13002595</v>
      </c>
      <c r="E925" s="1">
        <v>13</v>
      </c>
      <c r="F925" s="1">
        <v>22589</v>
      </c>
      <c r="G925" s="1" t="s">
        <v>21</v>
      </c>
      <c r="H925" s="1">
        <v>15</v>
      </c>
      <c r="I925" s="1">
        <v>1504015</v>
      </c>
      <c r="J925" s="14" t="s">
        <v>94</v>
      </c>
      <c r="K925" s="1" t="s">
        <v>95</v>
      </c>
      <c r="L925" s="1" t="s">
        <v>218</v>
      </c>
      <c r="M925" s="14">
        <v>1</v>
      </c>
      <c r="N925" s="2">
        <v>1.1499999999999999</v>
      </c>
      <c r="O925" s="16">
        <v>2</v>
      </c>
      <c r="P925" s="14">
        <v>0</v>
      </c>
      <c r="Q925" s="14">
        <f t="shared" si="14"/>
        <v>2</v>
      </c>
      <c r="R925" s="1" t="s">
        <v>25</v>
      </c>
      <c r="S925" s="1" t="s">
        <v>25</v>
      </c>
      <c r="T925" s="1">
        <v>29</v>
      </c>
      <c r="U925" s="1">
        <v>1</v>
      </c>
      <c r="V925" s="1">
        <v>4</v>
      </c>
    </row>
    <row r="926" spans="1:22" x14ac:dyDescent="0.25">
      <c r="A926" s="3">
        <v>44777</v>
      </c>
      <c r="B926" s="4">
        <v>0.68923611111111116</v>
      </c>
      <c r="C926" s="1">
        <v>1750</v>
      </c>
      <c r="D926" s="1">
        <v>13002606</v>
      </c>
      <c r="E926" s="1">
        <v>13</v>
      </c>
      <c r="F926" s="1">
        <v>22589</v>
      </c>
      <c r="G926" s="1" t="s">
        <v>21</v>
      </c>
      <c r="H926" s="1">
        <v>18</v>
      </c>
      <c r="I926" s="1">
        <v>1504015</v>
      </c>
      <c r="J926" s="14" t="s">
        <v>94</v>
      </c>
      <c r="K926" s="1" t="s">
        <v>95</v>
      </c>
      <c r="L926" s="1" t="s">
        <v>269</v>
      </c>
      <c r="M926" s="14">
        <v>1</v>
      </c>
      <c r="N926" s="2">
        <v>1.1499999999999999</v>
      </c>
      <c r="O926" s="16">
        <v>2</v>
      </c>
      <c r="P926" s="14">
        <v>0</v>
      </c>
      <c r="Q926" s="14">
        <f t="shared" si="14"/>
        <v>2</v>
      </c>
      <c r="R926" s="1" t="s">
        <v>25</v>
      </c>
      <c r="S926" s="1" t="s">
        <v>25</v>
      </c>
      <c r="T926" s="1">
        <v>50</v>
      </c>
      <c r="U926" s="1">
        <v>1</v>
      </c>
      <c r="V926" s="1">
        <v>2</v>
      </c>
    </row>
    <row r="927" spans="1:22" x14ac:dyDescent="0.25">
      <c r="A927" s="3">
        <v>44777</v>
      </c>
      <c r="B927" s="4">
        <v>0.78432870370370367</v>
      </c>
      <c r="C927" s="1">
        <v>1770</v>
      </c>
      <c r="D927" s="1">
        <v>13002606</v>
      </c>
      <c r="E927" s="1">
        <v>13</v>
      </c>
      <c r="F927" s="1">
        <v>22589</v>
      </c>
      <c r="G927" s="1" t="s">
        <v>21</v>
      </c>
      <c r="H927" s="1">
        <v>15</v>
      </c>
      <c r="I927" s="1">
        <v>1504015</v>
      </c>
      <c r="J927" s="14" t="s">
        <v>94</v>
      </c>
      <c r="K927" s="1" t="s">
        <v>95</v>
      </c>
      <c r="L927" s="1" t="s">
        <v>269</v>
      </c>
      <c r="M927" s="14">
        <v>1</v>
      </c>
      <c r="N927" s="2">
        <v>1.1499999999999999</v>
      </c>
      <c r="O927" s="16">
        <v>2</v>
      </c>
      <c r="P927" s="14">
        <v>0</v>
      </c>
      <c r="Q927" s="14">
        <f t="shared" si="14"/>
        <v>2</v>
      </c>
      <c r="R927" s="1" t="s">
        <v>25</v>
      </c>
      <c r="S927" s="1" t="s">
        <v>25</v>
      </c>
      <c r="T927" s="1">
        <v>50</v>
      </c>
      <c r="U927" s="1">
        <v>1</v>
      </c>
      <c r="V927" s="1">
        <v>2</v>
      </c>
    </row>
    <row r="928" spans="1:22" x14ac:dyDescent="0.25">
      <c r="A928" s="3">
        <v>44777</v>
      </c>
      <c r="B928" s="4">
        <v>0.79959490740740746</v>
      </c>
      <c r="C928" s="1">
        <v>1774</v>
      </c>
      <c r="D928" s="1">
        <v>13002606</v>
      </c>
      <c r="E928" s="1">
        <v>13</v>
      </c>
      <c r="F928" s="1">
        <v>22589</v>
      </c>
      <c r="G928" s="1" t="s">
        <v>21</v>
      </c>
      <c r="H928" s="1">
        <v>18</v>
      </c>
      <c r="I928" s="1">
        <v>1504015</v>
      </c>
      <c r="J928" s="14" t="s">
        <v>94</v>
      </c>
      <c r="K928" s="1" t="s">
        <v>95</v>
      </c>
      <c r="L928" s="1" t="s">
        <v>269</v>
      </c>
      <c r="M928" s="14">
        <v>1</v>
      </c>
      <c r="N928" s="2">
        <v>1.1499999999999999</v>
      </c>
      <c r="O928" s="16">
        <v>2</v>
      </c>
      <c r="P928" s="14">
        <v>0</v>
      </c>
      <c r="Q928" s="14">
        <f t="shared" si="14"/>
        <v>2</v>
      </c>
      <c r="R928" s="1" t="s">
        <v>25</v>
      </c>
      <c r="S928" s="1" t="s">
        <v>25</v>
      </c>
      <c r="T928" s="1">
        <v>50</v>
      </c>
      <c r="U928" s="1">
        <v>1</v>
      </c>
      <c r="V928" s="1">
        <v>4</v>
      </c>
    </row>
    <row r="929" spans="1:22" x14ac:dyDescent="0.25">
      <c r="A929" s="3">
        <v>44778</v>
      </c>
      <c r="B929" s="4">
        <v>0.33917824074074077</v>
      </c>
      <c r="C929" s="1">
        <v>1782</v>
      </c>
      <c r="D929" s="1">
        <v>13002616</v>
      </c>
      <c r="E929" s="1">
        <v>13</v>
      </c>
      <c r="F929" s="1">
        <v>22589</v>
      </c>
      <c r="G929" s="1" t="s">
        <v>21</v>
      </c>
      <c r="H929" s="1">
        <v>18</v>
      </c>
      <c r="I929" s="1">
        <v>1504015</v>
      </c>
      <c r="J929" s="14" t="s">
        <v>94</v>
      </c>
      <c r="K929" s="1" t="s">
        <v>95</v>
      </c>
      <c r="L929" s="1" t="s">
        <v>668</v>
      </c>
      <c r="M929" s="14">
        <v>1</v>
      </c>
      <c r="N929" s="2">
        <v>1.1499999999999999</v>
      </c>
      <c r="O929" s="16">
        <v>2</v>
      </c>
      <c r="P929" s="14">
        <v>0</v>
      </c>
      <c r="Q929" s="14">
        <f t="shared" si="14"/>
        <v>2</v>
      </c>
      <c r="R929" s="1" t="s">
        <v>25</v>
      </c>
      <c r="S929" s="1" t="s">
        <v>25</v>
      </c>
      <c r="T929" s="1">
        <v>50</v>
      </c>
      <c r="U929" s="1">
        <v>1</v>
      </c>
      <c r="V929" s="1">
        <v>2</v>
      </c>
    </row>
    <row r="930" spans="1:22" x14ac:dyDescent="0.25">
      <c r="A930" s="3">
        <v>44778</v>
      </c>
      <c r="B930" s="4">
        <v>0.35546296296296298</v>
      </c>
      <c r="C930" s="1">
        <v>1787</v>
      </c>
      <c r="D930" s="1">
        <v>13002616</v>
      </c>
      <c r="E930" s="1">
        <v>13</v>
      </c>
      <c r="F930" s="1">
        <v>22589</v>
      </c>
      <c r="G930" s="1" t="s">
        <v>21</v>
      </c>
      <c r="H930" s="1">
        <v>18</v>
      </c>
      <c r="I930" s="1">
        <v>1504015</v>
      </c>
      <c r="J930" s="14" t="s">
        <v>94</v>
      </c>
      <c r="K930" s="1" t="s">
        <v>95</v>
      </c>
      <c r="L930" s="1" t="s">
        <v>668</v>
      </c>
      <c r="M930" s="14">
        <v>1</v>
      </c>
      <c r="N930" s="2">
        <v>1.1499999999999999</v>
      </c>
      <c r="O930" s="16">
        <v>2</v>
      </c>
      <c r="P930" s="14">
        <v>0</v>
      </c>
      <c r="Q930" s="14">
        <f t="shared" si="14"/>
        <v>2</v>
      </c>
      <c r="R930" s="1" t="s">
        <v>25</v>
      </c>
      <c r="S930" s="1" t="s">
        <v>25</v>
      </c>
      <c r="T930" s="1">
        <v>50</v>
      </c>
      <c r="U930" s="1">
        <v>1</v>
      </c>
      <c r="V930" s="1">
        <v>4</v>
      </c>
    </row>
    <row r="931" spans="1:22" x14ac:dyDescent="0.25">
      <c r="A931" s="3">
        <v>44778</v>
      </c>
      <c r="B931" s="4">
        <v>0.58947916666666667</v>
      </c>
      <c r="C931" s="1">
        <v>1851</v>
      </c>
      <c r="D931" s="1">
        <v>13002616</v>
      </c>
      <c r="E931" s="1">
        <v>13</v>
      </c>
      <c r="F931" s="1">
        <v>22589</v>
      </c>
      <c r="G931" s="1" t="s">
        <v>21</v>
      </c>
      <c r="H931" s="1">
        <v>18</v>
      </c>
      <c r="I931" s="1">
        <v>1504015</v>
      </c>
      <c r="J931" s="14" t="s">
        <v>94</v>
      </c>
      <c r="K931" s="1" t="s">
        <v>95</v>
      </c>
      <c r="L931" s="1" t="s">
        <v>668</v>
      </c>
      <c r="M931" s="14">
        <v>1</v>
      </c>
      <c r="N931" s="2">
        <v>1.1499999999999999</v>
      </c>
      <c r="O931" s="16">
        <v>2</v>
      </c>
      <c r="P931" s="14">
        <v>0</v>
      </c>
      <c r="Q931" s="14">
        <f t="shared" si="14"/>
        <v>2</v>
      </c>
      <c r="R931" s="1" t="s">
        <v>25</v>
      </c>
      <c r="S931" s="1" t="s">
        <v>25</v>
      </c>
      <c r="T931" s="1">
        <v>50</v>
      </c>
      <c r="U931" s="1">
        <v>1</v>
      </c>
      <c r="V931" s="1">
        <v>4</v>
      </c>
    </row>
    <row r="932" spans="1:22" x14ac:dyDescent="0.25">
      <c r="A932" s="3">
        <v>44778</v>
      </c>
      <c r="B932" s="4">
        <v>0.61406249999999996</v>
      </c>
      <c r="C932" s="1">
        <v>1859</v>
      </c>
      <c r="D932" s="1">
        <v>13002616</v>
      </c>
      <c r="E932" s="1">
        <v>13</v>
      </c>
      <c r="F932" s="1">
        <v>22589</v>
      </c>
      <c r="G932" s="1" t="s">
        <v>21</v>
      </c>
      <c r="H932" s="1">
        <v>15</v>
      </c>
      <c r="I932" s="1">
        <v>1504015</v>
      </c>
      <c r="J932" s="14" t="s">
        <v>94</v>
      </c>
      <c r="K932" s="1" t="s">
        <v>95</v>
      </c>
      <c r="L932" s="1" t="s">
        <v>668</v>
      </c>
      <c r="M932" s="14">
        <v>1</v>
      </c>
      <c r="N932" s="2">
        <v>1.1499999999999999</v>
      </c>
      <c r="O932" s="16">
        <v>2</v>
      </c>
      <c r="P932" s="14">
        <v>0</v>
      </c>
      <c r="Q932" s="14">
        <f t="shared" si="14"/>
        <v>2</v>
      </c>
      <c r="R932" s="1" t="s">
        <v>25</v>
      </c>
      <c r="S932" s="1" t="s">
        <v>25</v>
      </c>
      <c r="T932" s="1">
        <v>50</v>
      </c>
      <c r="U932" s="1">
        <v>1</v>
      </c>
      <c r="V932" s="1">
        <v>2</v>
      </c>
    </row>
    <row r="933" spans="1:22" x14ac:dyDescent="0.25">
      <c r="A933" s="3">
        <v>44778</v>
      </c>
      <c r="B933" s="4">
        <v>0.65141203703703698</v>
      </c>
      <c r="C933" s="1">
        <v>1867</v>
      </c>
      <c r="D933" s="1">
        <v>13002616</v>
      </c>
      <c r="E933" s="1">
        <v>13</v>
      </c>
      <c r="F933" s="1">
        <v>22589</v>
      </c>
      <c r="G933" s="1" t="s">
        <v>21</v>
      </c>
      <c r="H933" s="1">
        <v>15</v>
      </c>
      <c r="I933" s="1">
        <v>1504015</v>
      </c>
      <c r="J933" s="14" t="s">
        <v>94</v>
      </c>
      <c r="K933" s="1" t="s">
        <v>95</v>
      </c>
      <c r="L933" s="1" t="s">
        <v>668</v>
      </c>
      <c r="M933" s="14">
        <v>1</v>
      </c>
      <c r="N933" s="2">
        <v>1.1499999999999999</v>
      </c>
      <c r="O933" s="16">
        <v>2</v>
      </c>
      <c r="P933" s="14">
        <v>0</v>
      </c>
      <c r="Q933" s="14">
        <f t="shared" si="14"/>
        <v>2</v>
      </c>
      <c r="R933" s="1" t="s">
        <v>25</v>
      </c>
      <c r="S933" s="1" t="s">
        <v>25</v>
      </c>
      <c r="T933" s="1">
        <v>50</v>
      </c>
      <c r="U933" s="1">
        <v>1</v>
      </c>
      <c r="V933" s="1">
        <v>1</v>
      </c>
    </row>
    <row r="934" spans="1:22" x14ac:dyDescent="0.25">
      <c r="A934" s="3">
        <v>44778</v>
      </c>
      <c r="B934" s="4">
        <v>0.71643518518518523</v>
      </c>
      <c r="C934" s="1">
        <v>1878</v>
      </c>
      <c r="D934" s="1">
        <v>13002616</v>
      </c>
      <c r="E934" s="1">
        <v>13</v>
      </c>
      <c r="F934" s="1">
        <v>22589</v>
      </c>
      <c r="G934" s="1" t="s">
        <v>21</v>
      </c>
      <c r="H934" s="1">
        <v>15</v>
      </c>
      <c r="I934" s="1">
        <v>1504015</v>
      </c>
      <c r="J934" s="14" t="s">
        <v>94</v>
      </c>
      <c r="K934" s="1" t="s">
        <v>95</v>
      </c>
      <c r="L934" s="1" t="s">
        <v>668</v>
      </c>
      <c r="M934" s="14">
        <v>1</v>
      </c>
      <c r="N934" s="2">
        <v>1.1499999999999999</v>
      </c>
      <c r="O934" s="16">
        <v>2</v>
      </c>
      <c r="P934" s="14">
        <v>0</v>
      </c>
      <c r="Q934" s="14">
        <f t="shared" si="14"/>
        <v>2</v>
      </c>
      <c r="R934" s="1" t="s">
        <v>25</v>
      </c>
      <c r="S934" s="1" t="s">
        <v>25</v>
      </c>
      <c r="T934" s="1">
        <v>50</v>
      </c>
      <c r="U934" s="1">
        <v>1</v>
      </c>
      <c r="V934" s="1">
        <v>3</v>
      </c>
    </row>
    <row r="935" spans="1:22" x14ac:dyDescent="0.25">
      <c r="A935" s="3">
        <v>44778</v>
      </c>
      <c r="B935" s="4">
        <v>0.73204861111111108</v>
      </c>
      <c r="C935" s="1">
        <v>1883</v>
      </c>
      <c r="D935" s="1">
        <v>13002616</v>
      </c>
      <c r="E935" s="1">
        <v>13</v>
      </c>
      <c r="F935" s="1">
        <v>22589</v>
      </c>
      <c r="G935" s="1" t="s">
        <v>21</v>
      </c>
      <c r="H935" s="1">
        <v>15</v>
      </c>
      <c r="I935" s="1">
        <v>1504015</v>
      </c>
      <c r="J935" s="14" t="s">
        <v>94</v>
      </c>
      <c r="K935" s="1" t="s">
        <v>95</v>
      </c>
      <c r="L935" s="1" t="s">
        <v>668</v>
      </c>
      <c r="M935" s="14">
        <v>1</v>
      </c>
      <c r="N935" s="2">
        <v>1.1499999999999999</v>
      </c>
      <c r="O935" s="16">
        <v>2</v>
      </c>
      <c r="P935" s="14">
        <v>0</v>
      </c>
      <c r="Q935" s="14">
        <f t="shared" si="14"/>
        <v>2</v>
      </c>
      <c r="R935" s="1" t="s">
        <v>25</v>
      </c>
      <c r="S935" s="1" t="s">
        <v>25</v>
      </c>
      <c r="T935" s="1">
        <v>50</v>
      </c>
      <c r="U935" s="1">
        <v>1</v>
      </c>
      <c r="V935" s="1">
        <v>3</v>
      </c>
    </row>
    <row r="936" spans="1:22" x14ac:dyDescent="0.25">
      <c r="A936" s="3">
        <v>44777</v>
      </c>
      <c r="B936" s="4">
        <v>0.57535879629629627</v>
      </c>
      <c r="C936" s="1">
        <v>1722</v>
      </c>
      <c r="D936" s="1">
        <v>13002606</v>
      </c>
      <c r="E936" s="1">
        <v>13</v>
      </c>
      <c r="F936" s="1">
        <v>22589</v>
      </c>
      <c r="G936" s="1" t="s">
        <v>21</v>
      </c>
      <c r="H936" s="1">
        <v>15</v>
      </c>
      <c r="I936" s="1">
        <v>897</v>
      </c>
      <c r="J936" s="14" t="s">
        <v>1012</v>
      </c>
      <c r="K936" s="1" t="s">
        <v>51</v>
      </c>
      <c r="L936" s="1" t="s">
        <v>195</v>
      </c>
      <c r="M936" s="14">
        <v>1</v>
      </c>
      <c r="N936" s="2">
        <v>139.34</v>
      </c>
      <c r="O936" s="16">
        <v>169</v>
      </c>
      <c r="P936" s="14">
        <v>8</v>
      </c>
      <c r="Q936" s="14">
        <f t="shared" si="14"/>
        <v>161</v>
      </c>
      <c r="R936" s="1">
        <v>9</v>
      </c>
      <c r="S936" s="1">
        <v>200010022591</v>
      </c>
      <c r="T936" s="1">
        <v>50</v>
      </c>
      <c r="U936" s="1">
        <v>1</v>
      </c>
      <c r="V936" s="1">
        <v>3</v>
      </c>
    </row>
    <row r="937" spans="1:22" x14ac:dyDescent="0.25">
      <c r="A937" s="3">
        <v>44778</v>
      </c>
      <c r="B937" s="4">
        <v>0.58674768518518516</v>
      </c>
      <c r="C937" s="1">
        <v>1850</v>
      </c>
      <c r="D937" s="1">
        <v>13002616</v>
      </c>
      <c r="E937" s="1">
        <v>13</v>
      </c>
      <c r="F937" s="1">
        <v>22589</v>
      </c>
      <c r="G937" s="1" t="s">
        <v>21</v>
      </c>
      <c r="H937" s="1">
        <v>15</v>
      </c>
      <c r="I937" s="1">
        <v>897</v>
      </c>
      <c r="J937" s="14" t="s">
        <v>1012</v>
      </c>
      <c r="K937" s="1" t="s">
        <v>51</v>
      </c>
      <c r="L937" s="1" t="s">
        <v>195</v>
      </c>
      <c r="M937" s="14">
        <v>1</v>
      </c>
      <c r="N937" s="2">
        <v>137.91999999999999</v>
      </c>
      <c r="O937" s="16">
        <v>167</v>
      </c>
      <c r="P937" s="14">
        <v>0</v>
      </c>
      <c r="Q937" s="14">
        <f t="shared" si="14"/>
        <v>167</v>
      </c>
      <c r="R937" s="1" t="s">
        <v>25</v>
      </c>
      <c r="S937" s="1" t="s">
        <v>25</v>
      </c>
      <c r="T937" s="1">
        <v>50</v>
      </c>
      <c r="U937" s="1">
        <v>1</v>
      </c>
      <c r="V937" s="1">
        <v>3</v>
      </c>
    </row>
    <row r="938" spans="1:22" x14ac:dyDescent="0.25">
      <c r="A938" s="3">
        <v>44777</v>
      </c>
      <c r="B938" s="4">
        <v>0.53077546296296296</v>
      </c>
      <c r="C938" s="1">
        <v>1706</v>
      </c>
      <c r="D938" s="1">
        <v>13002606</v>
      </c>
      <c r="E938" s="1">
        <v>13</v>
      </c>
      <c r="F938" s="1">
        <v>22589</v>
      </c>
      <c r="G938" s="1" t="s">
        <v>21</v>
      </c>
      <c r="H938" s="1">
        <v>15</v>
      </c>
      <c r="I938" s="1">
        <v>292049</v>
      </c>
      <c r="J938" s="14" t="s">
        <v>990</v>
      </c>
      <c r="K938" s="1" t="s">
        <v>51</v>
      </c>
      <c r="L938" s="1" t="s">
        <v>717</v>
      </c>
      <c r="M938" s="14">
        <v>1</v>
      </c>
      <c r="N938" s="2">
        <v>491.86</v>
      </c>
      <c r="O938" s="16">
        <v>591</v>
      </c>
      <c r="P938" s="14">
        <v>17</v>
      </c>
      <c r="Q938" s="14">
        <f t="shared" si="14"/>
        <v>574</v>
      </c>
      <c r="R938" s="1">
        <v>9</v>
      </c>
      <c r="S938" s="1">
        <v>200010001054</v>
      </c>
      <c r="T938" s="1">
        <v>50</v>
      </c>
      <c r="U938" s="1">
        <v>1</v>
      </c>
      <c r="V938" s="1">
        <v>3</v>
      </c>
    </row>
    <row r="939" spans="1:22" x14ac:dyDescent="0.25">
      <c r="A939" s="3">
        <v>44778</v>
      </c>
      <c r="B939" s="4">
        <v>0.81260416666666668</v>
      </c>
      <c r="C939" s="1">
        <v>1899</v>
      </c>
      <c r="D939" s="1">
        <v>13002616</v>
      </c>
      <c r="E939" s="1">
        <v>13</v>
      </c>
      <c r="F939" s="1">
        <v>22589</v>
      </c>
      <c r="G939" s="1" t="s">
        <v>21</v>
      </c>
      <c r="H939" s="1">
        <v>15</v>
      </c>
      <c r="I939" s="1">
        <v>317993</v>
      </c>
      <c r="J939" s="14" t="s">
        <v>1223</v>
      </c>
      <c r="K939" s="1" t="s">
        <v>29</v>
      </c>
      <c r="L939" s="1" t="s">
        <v>1224</v>
      </c>
      <c r="M939" s="14">
        <v>1</v>
      </c>
      <c r="N939" s="2">
        <v>61.22</v>
      </c>
      <c r="O939" s="16">
        <v>76</v>
      </c>
      <c r="P939" s="14">
        <v>0</v>
      </c>
      <c r="Q939" s="14">
        <f t="shared" si="14"/>
        <v>76</v>
      </c>
      <c r="R939" s="1" t="s">
        <v>25</v>
      </c>
      <c r="S939" s="1" t="s">
        <v>25</v>
      </c>
      <c r="T939" s="1">
        <v>50</v>
      </c>
      <c r="U939" s="1">
        <v>1</v>
      </c>
      <c r="V939" s="1">
        <v>1</v>
      </c>
    </row>
    <row r="940" spans="1:22" x14ac:dyDescent="0.25">
      <c r="A940" s="3">
        <v>44774</v>
      </c>
      <c r="B940" s="4">
        <v>0.50760416666666663</v>
      </c>
      <c r="C940" s="1">
        <v>1320</v>
      </c>
      <c r="D940" s="1">
        <v>13002561</v>
      </c>
      <c r="E940" s="1">
        <v>13</v>
      </c>
      <c r="F940" s="1">
        <v>22589</v>
      </c>
      <c r="G940" s="1" t="s">
        <v>21</v>
      </c>
      <c r="H940" s="1">
        <v>15</v>
      </c>
      <c r="I940" s="1">
        <v>339868</v>
      </c>
      <c r="J940" s="14" t="s">
        <v>217</v>
      </c>
      <c r="K940" s="1" t="s">
        <v>34</v>
      </c>
      <c r="L940" s="1" t="s">
        <v>218</v>
      </c>
      <c r="M940" s="14">
        <v>1</v>
      </c>
      <c r="N940" s="2">
        <v>40.369999999999997</v>
      </c>
      <c r="O940" s="16">
        <v>50</v>
      </c>
      <c r="P940" s="14">
        <v>2</v>
      </c>
      <c r="Q940" s="14">
        <f t="shared" si="14"/>
        <v>48</v>
      </c>
      <c r="R940" s="1">
        <v>9</v>
      </c>
      <c r="S940" s="1">
        <v>200010018337</v>
      </c>
      <c r="T940" s="1">
        <v>29</v>
      </c>
      <c r="U940" s="1">
        <v>1</v>
      </c>
      <c r="V940" s="1">
        <v>4</v>
      </c>
    </row>
    <row r="941" spans="1:22" x14ac:dyDescent="0.25">
      <c r="A941" s="3">
        <v>44774</v>
      </c>
      <c r="B941" s="4">
        <v>0.79335648148148152</v>
      </c>
      <c r="C941" s="1">
        <v>1406</v>
      </c>
      <c r="D941" s="1">
        <v>13002561</v>
      </c>
      <c r="E941" s="1">
        <v>13</v>
      </c>
      <c r="F941" s="1">
        <v>22589</v>
      </c>
      <c r="G941" s="1" t="s">
        <v>21</v>
      </c>
      <c r="H941" s="1">
        <v>15</v>
      </c>
      <c r="I941" s="1">
        <v>339868</v>
      </c>
      <c r="J941" s="14" t="s">
        <v>217</v>
      </c>
      <c r="K941" s="1" t="s">
        <v>34</v>
      </c>
      <c r="L941" s="1" t="s">
        <v>218</v>
      </c>
      <c r="M941" s="14">
        <v>1</v>
      </c>
      <c r="N941" s="2">
        <v>40.369999999999997</v>
      </c>
      <c r="O941" s="16">
        <v>50</v>
      </c>
      <c r="P941" s="14">
        <v>2</v>
      </c>
      <c r="Q941" s="14">
        <f t="shared" si="14"/>
        <v>48</v>
      </c>
      <c r="R941" s="1">
        <v>9</v>
      </c>
      <c r="S941" s="1">
        <v>200010022528</v>
      </c>
      <c r="T941" s="1">
        <v>29</v>
      </c>
      <c r="U941" s="1">
        <v>1</v>
      </c>
      <c r="V941" s="1">
        <v>8</v>
      </c>
    </row>
    <row r="942" spans="1:22" x14ac:dyDescent="0.25">
      <c r="A942" s="3">
        <v>44774</v>
      </c>
      <c r="B942" s="4">
        <v>0.79335648148148152</v>
      </c>
      <c r="C942" s="1">
        <v>1406</v>
      </c>
      <c r="D942" s="1">
        <v>13002561</v>
      </c>
      <c r="E942" s="1">
        <v>13</v>
      </c>
      <c r="F942" s="1">
        <v>22589</v>
      </c>
      <c r="G942" s="1" t="s">
        <v>21</v>
      </c>
      <c r="H942" s="1">
        <v>15</v>
      </c>
      <c r="I942" s="1">
        <v>339868</v>
      </c>
      <c r="J942" s="14" t="s">
        <v>217</v>
      </c>
      <c r="K942" s="1" t="s">
        <v>34</v>
      </c>
      <c r="L942" s="1" t="s">
        <v>218</v>
      </c>
      <c r="M942" s="14">
        <v>1</v>
      </c>
      <c r="N942" s="2">
        <v>40.369999999999997</v>
      </c>
      <c r="O942" s="16">
        <v>50</v>
      </c>
      <c r="P942" s="14">
        <v>2</v>
      </c>
      <c r="Q942" s="14">
        <f t="shared" si="14"/>
        <v>48</v>
      </c>
      <c r="R942" s="1">
        <v>9</v>
      </c>
      <c r="S942" s="1">
        <v>200010022528</v>
      </c>
      <c r="T942" s="1">
        <v>29</v>
      </c>
      <c r="U942" s="1">
        <v>1</v>
      </c>
      <c r="V942" s="1">
        <v>9</v>
      </c>
    </row>
    <row r="943" spans="1:22" x14ac:dyDescent="0.25">
      <c r="A943" s="3">
        <v>44774</v>
      </c>
      <c r="B943" s="4">
        <v>0.79335648148148152</v>
      </c>
      <c r="C943" s="1">
        <v>1406</v>
      </c>
      <c r="D943" s="1">
        <v>13002561</v>
      </c>
      <c r="E943" s="1">
        <v>13</v>
      </c>
      <c r="F943" s="1">
        <v>22589</v>
      </c>
      <c r="G943" s="1" t="s">
        <v>21</v>
      </c>
      <c r="H943" s="1">
        <v>15</v>
      </c>
      <c r="I943" s="1">
        <v>339868</v>
      </c>
      <c r="J943" s="14" t="s">
        <v>217</v>
      </c>
      <c r="K943" s="1" t="s">
        <v>34</v>
      </c>
      <c r="L943" s="1" t="s">
        <v>218</v>
      </c>
      <c r="M943" s="14">
        <v>1</v>
      </c>
      <c r="N943" s="2">
        <v>40.369999999999997</v>
      </c>
      <c r="O943" s="16">
        <v>50</v>
      </c>
      <c r="P943" s="14">
        <v>2</v>
      </c>
      <c r="Q943" s="14">
        <f t="shared" si="14"/>
        <v>48</v>
      </c>
      <c r="R943" s="1">
        <v>9</v>
      </c>
      <c r="S943" s="1">
        <v>200010022528</v>
      </c>
      <c r="T943" s="1">
        <v>29</v>
      </c>
      <c r="U943" s="1">
        <v>1</v>
      </c>
      <c r="V943" s="1">
        <v>10</v>
      </c>
    </row>
    <row r="944" spans="1:22" x14ac:dyDescent="0.25">
      <c r="A944" s="3">
        <v>44774</v>
      </c>
      <c r="B944" s="4">
        <v>0.79335648148148152</v>
      </c>
      <c r="C944" s="1">
        <v>1406</v>
      </c>
      <c r="D944" s="1">
        <v>13002561</v>
      </c>
      <c r="E944" s="1">
        <v>13</v>
      </c>
      <c r="F944" s="1">
        <v>22589</v>
      </c>
      <c r="G944" s="1" t="s">
        <v>21</v>
      </c>
      <c r="H944" s="1">
        <v>15</v>
      </c>
      <c r="I944" s="1">
        <v>339868</v>
      </c>
      <c r="J944" s="14" t="s">
        <v>217</v>
      </c>
      <c r="K944" s="1" t="s">
        <v>34</v>
      </c>
      <c r="L944" s="1" t="s">
        <v>218</v>
      </c>
      <c r="M944" s="14">
        <v>1</v>
      </c>
      <c r="N944" s="2">
        <v>40.369999999999997</v>
      </c>
      <c r="O944" s="16">
        <v>50</v>
      </c>
      <c r="P944" s="14">
        <v>2</v>
      </c>
      <c r="Q944" s="14">
        <f t="shared" si="14"/>
        <v>48</v>
      </c>
      <c r="R944" s="1">
        <v>9</v>
      </c>
      <c r="S944" s="1">
        <v>200010022528</v>
      </c>
      <c r="T944" s="1">
        <v>29</v>
      </c>
      <c r="U944" s="1">
        <v>1</v>
      </c>
      <c r="V944" s="1">
        <v>11</v>
      </c>
    </row>
    <row r="945" spans="1:22" x14ac:dyDescent="0.25">
      <c r="A945" s="3">
        <v>44774</v>
      </c>
      <c r="B945" s="4">
        <v>0.79335648148148152</v>
      </c>
      <c r="C945" s="1">
        <v>1406</v>
      </c>
      <c r="D945" s="1">
        <v>13002561</v>
      </c>
      <c r="E945" s="1">
        <v>13</v>
      </c>
      <c r="F945" s="1">
        <v>22589</v>
      </c>
      <c r="G945" s="1" t="s">
        <v>21</v>
      </c>
      <c r="H945" s="1">
        <v>15</v>
      </c>
      <c r="I945" s="1">
        <v>339868</v>
      </c>
      <c r="J945" s="14" t="s">
        <v>217</v>
      </c>
      <c r="K945" s="1" t="s">
        <v>34</v>
      </c>
      <c r="L945" s="1" t="s">
        <v>218</v>
      </c>
      <c r="M945" s="14">
        <v>1</v>
      </c>
      <c r="N945" s="2">
        <v>40.369999999999997</v>
      </c>
      <c r="O945" s="16">
        <v>50</v>
      </c>
      <c r="P945" s="14">
        <v>2</v>
      </c>
      <c r="Q945" s="14">
        <f t="shared" si="14"/>
        <v>48</v>
      </c>
      <c r="R945" s="1">
        <v>9</v>
      </c>
      <c r="S945" s="1">
        <v>200010022528</v>
      </c>
      <c r="T945" s="1">
        <v>29</v>
      </c>
      <c r="U945" s="1">
        <v>1</v>
      </c>
      <c r="V945" s="1">
        <v>12</v>
      </c>
    </row>
    <row r="946" spans="1:22" x14ac:dyDescent="0.25">
      <c r="A946" s="3">
        <v>44777</v>
      </c>
      <c r="B946" s="4">
        <v>0.61011574074074071</v>
      </c>
      <c r="C946" s="1">
        <v>1733</v>
      </c>
      <c r="D946" s="1">
        <v>13002606</v>
      </c>
      <c r="E946" s="1">
        <v>13</v>
      </c>
      <c r="F946" s="1">
        <v>22589</v>
      </c>
      <c r="G946" s="1" t="s">
        <v>21</v>
      </c>
      <c r="H946" s="1">
        <v>15</v>
      </c>
      <c r="I946" s="1">
        <v>339868</v>
      </c>
      <c r="J946" s="14" t="s">
        <v>217</v>
      </c>
      <c r="K946" s="1" t="s">
        <v>34</v>
      </c>
      <c r="L946" s="1" t="s">
        <v>218</v>
      </c>
      <c r="M946" s="14">
        <v>1</v>
      </c>
      <c r="N946" s="2">
        <v>40.369999999999997</v>
      </c>
      <c r="O946" s="16">
        <v>50</v>
      </c>
      <c r="P946" s="14">
        <v>2</v>
      </c>
      <c r="Q946" s="14">
        <f t="shared" si="14"/>
        <v>48</v>
      </c>
      <c r="R946" s="1">
        <v>9</v>
      </c>
      <c r="S946" s="1">
        <v>200010004764</v>
      </c>
      <c r="T946" s="1">
        <v>50</v>
      </c>
      <c r="U946" s="1">
        <v>1</v>
      </c>
      <c r="V946" s="1">
        <v>4</v>
      </c>
    </row>
    <row r="947" spans="1:22" x14ac:dyDescent="0.25">
      <c r="A947" s="3">
        <v>44774</v>
      </c>
      <c r="B947" s="4">
        <v>0.78341435185185182</v>
      </c>
      <c r="C947" s="1">
        <v>1403</v>
      </c>
      <c r="D947" s="1">
        <v>13002561</v>
      </c>
      <c r="E947" s="1">
        <v>13</v>
      </c>
      <c r="F947" s="1">
        <v>22589</v>
      </c>
      <c r="G947" s="1" t="s">
        <v>21</v>
      </c>
      <c r="H947" s="1">
        <v>15</v>
      </c>
      <c r="I947" s="1">
        <v>346980</v>
      </c>
      <c r="J947" s="14" t="s">
        <v>446</v>
      </c>
      <c r="K947" s="1" t="s">
        <v>51</v>
      </c>
      <c r="L947" s="1" t="s">
        <v>447</v>
      </c>
      <c r="M947" s="14">
        <v>1</v>
      </c>
      <c r="N947" s="2">
        <v>39.75</v>
      </c>
      <c r="O947" s="16">
        <v>50</v>
      </c>
      <c r="P947" s="14">
        <v>2</v>
      </c>
      <c r="Q947" s="14">
        <f t="shared" si="14"/>
        <v>48</v>
      </c>
      <c r="R947" s="1">
        <v>9</v>
      </c>
      <c r="S947" s="1">
        <v>200010004835</v>
      </c>
      <c r="T947" s="1">
        <v>29</v>
      </c>
      <c r="U947" s="1">
        <v>1</v>
      </c>
      <c r="V947" s="1">
        <v>2</v>
      </c>
    </row>
    <row r="948" spans="1:22" x14ac:dyDescent="0.25">
      <c r="A948" s="3">
        <v>44775</v>
      </c>
      <c r="B948" s="4">
        <v>0.39520833333333333</v>
      </c>
      <c r="C948" s="1">
        <v>1428</v>
      </c>
      <c r="D948" s="1">
        <v>13002581</v>
      </c>
      <c r="E948" s="1">
        <v>13</v>
      </c>
      <c r="F948" s="1">
        <v>22589</v>
      </c>
      <c r="G948" s="1" t="s">
        <v>21</v>
      </c>
      <c r="H948" s="1">
        <v>15</v>
      </c>
      <c r="I948" s="1">
        <v>346980</v>
      </c>
      <c r="J948" s="14" t="s">
        <v>446</v>
      </c>
      <c r="K948" s="1" t="s">
        <v>51</v>
      </c>
      <c r="L948" s="1" t="s">
        <v>447</v>
      </c>
      <c r="M948" s="14">
        <v>1</v>
      </c>
      <c r="N948" s="2">
        <v>39.75</v>
      </c>
      <c r="O948" s="16">
        <v>50</v>
      </c>
      <c r="P948" s="14">
        <v>2</v>
      </c>
      <c r="Q948" s="14">
        <f t="shared" si="14"/>
        <v>48</v>
      </c>
      <c r="R948" s="1">
        <v>9</v>
      </c>
      <c r="S948" s="1">
        <v>200010021941</v>
      </c>
      <c r="T948" s="1">
        <v>29</v>
      </c>
      <c r="U948" s="1">
        <v>1</v>
      </c>
      <c r="V948" s="1">
        <v>3</v>
      </c>
    </row>
    <row r="949" spans="1:22" x14ac:dyDescent="0.25">
      <c r="A949" s="3">
        <v>44776</v>
      </c>
      <c r="B949" s="4">
        <v>0.51296296296296295</v>
      </c>
      <c r="C949" s="1">
        <v>1580</v>
      </c>
      <c r="D949" s="1">
        <v>13002595</v>
      </c>
      <c r="E949" s="1">
        <v>13</v>
      </c>
      <c r="F949" s="1">
        <v>22589</v>
      </c>
      <c r="G949" s="1" t="s">
        <v>21</v>
      </c>
      <c r="H949" s="1">
        <v>15</v>
      </c>
      <c r="I949" s="1">
        <v>1873</v>
      </c>
      <c r="J949" s="14" t="s">
        <v>801</v>
      </c>
      <c r="K949" s="1" t="s">
        <v>45</v>
      </c>
      <c r="L949" s="1" t="s">
        <v>802</v>
      </c>
      <c r="M949" s="14">
        <v>1</v>
      </c>
      <c r="N949" s="2">
        <v>279.62</v>
      </c>
      <c r="O949" s="16">
        <v>378</v>
      </c>
      <c r="P949" s="14">
        <v>26</v>
      </c>
      <c r="Q949" s="14">
        <f t="shared" si="14"/>
        <v>352</v>
      </c>
      <c r="R949" s="1">
        <v>9</v>
      </c>
      <c r="S949" s="1">
        <v>200010001758</v>
      </c>
      <c r="T949" s="1">
        <v>29</v>
      </c>
      <c r="U949" s="1">
        <v>1</v>
      </c>
      <c r="V949" s="1">
        <v>1</v>
      </c>
    </row>
    <row r="950" spans="1:22" x14ac:dyDescent="0.25">
      <c r="A950" s="3">
        <v>44774</v>
      </c>
      <c r="B950" s="4">
        <v>0.4432638888888889</v>
      </c>
      <c r="C950" s="1">
        <v>1294</v>
      </c>
      <c r="D950" s="1">
        <v>13002561</v>
      </c>
      <c r="E950" s="1">
        <v>13</v>
      </c>
      <c r="F950" s="1">
        <v>22589</v>
      </c>
      <c r="G950" s="1" t="s">
        <v>21</v>
      </c>
      <c r="H950" s="1">
        <v>18</v>
      </c>
      <c r="I950" s="1">
        <v>345578</v>
      </c>
      <c r="J950" s="14" t="s">
        <v>121</v>
      </c>
      <c r="K950" s="1" t="s">
        <v>51</v>
      </c>
      <c r="L950" s="1" t="s">
        <v>76</v>
      </c>
      <c r="M950" s="14">
        <v>1</v>
      </c>
      <c r="N950" s="2">
        <v>20.61</v>
      </c>
      <c r="O950" s="16">
        <v>25</v>
      </c>
      <c r="P950" s="14">
        <v>0</v>
      </c>
      <c r="Q950" s="14">
        <f t="shared" si="14"/>
        <v>25</v>
      </c>
      <c r="R950" s="1" t="s">
        <v>25</v>
      </c>
      <c r="S950" s="1" t="s">
        <v>25</v>
      </c>
      <c r="T950" s="1">
        <v>29</v>
      </c>
      <c r="U950" s="1">
        <v>1</v>
      </c>
      <c r="V950" s="1">
        <v>2</v>
      </c>
    </row>
    <row r="951" spans="1:22" x14ac:dyDescent="0.25">
      <c r="A951" s="3">
        <v>44774</v>
      </c>
      <c r="B951" s="4">
        <v>0.79040509259259262</v>
      </c>
      <c r="C951" s="1">
        <v>1405</v>
      </c>
      <c r="D951" s="1">
        <v>13002561</v>
      </c>
      <c r="E951" s="1">
        <v>13</v>
      </c>
      <c r="F951" s="1">
        <v>22589</v>
      </c>
      <c r="G951" s="1" t="s">
        <v>21</v>
      </c>
      <c r="H951" s="1">
        <v>18</v>
      </c>
      <c r="I951" s="1">
        <v>345578</v>
      </c>
      <c r="J951" s="14" t="s">
        <v>121</v>
      </c>
      <c r="K951" s="1" t="s">
        <v>51</v>
      </c>
      <c r="L951" s="1" t="s">
        <v>76</v>
      </c>
      <c r="M951" s="14">
        <v>1</v>
      </c>
      <c r="N951" s="2">
        <v>20.61</v>
      </c>
      <c r="O951" s="16">
        <v>25</v>
      </c>
      <c r="P951" s="14">
        <v>0</v>
      </c>
      <c r="Q951" s="14">
        <f t="shared" si="14"/>
        <v>25</v>
      </c>
      <c r="R951" s="1" t="s">
        <v>25</v>
      </c>
      <c r="S951" s="1" t="s">
        <v>25</v>
      </c>
      <c r="T951" s="1">
        <v>29</v>
      </c>
      <c r="U951" s="1">
        <v>1</v>
      </c>
      <c r="V951" s="1">
        <v>7</v>
      </c>
    </row>
    <row r="952" spans="1:22" x14ac:dyDescent="0.25">
      <c r="A952" s="3">
        <v>44776</v>
      </c>
      <c r="B952" s="4">
        <v>0.73282407407407413</v>
      </c>
      <c r="C952" s="1">
        <v>1635</v>
      </c>
      <c r="D952" s="1">
        <v>13002595</v>
      </c>
      <c r="E952" s="1">
        <v>13</v>
      </c>
      <c r="F952" s="1">
        <v>22589</v>
      </c>
      <c r="G952" s="1" t="s">
        <v>21</v>
      </c>
      <c r="H952" s="1">
        <v>15</v>
      </c>
      <c r="I952" s="1">
        <v>345578</v>
      </c>
      <c r="J952" s="14" t="s">
        <v>121</v>
      </c>
      <c r="K952" s="1" t="s">
        <v>51</v>
      </c>
      <c r="L952" s="1" t="s">
        <v>76</v>
      </c>
      <c r="M952" s="14">
        <v>1</v>
      </c>
      <c r="N952" s="2">
        <v>20.68</v>
      </c>
      <c r="O952" s="16">
        <v>25</v>
      </c>
      <c r="P952" s="14">
        <v>0</v>
      </c>
      <c r="Q952" s="14">
        <f t="shared" si="14"/>
        <v>25</v>
      </c>
      <c r="R952" s="1" t="s">
        <v>25</v>
      </c>
      <c r="S952" s="1" t="s">
        <v>25</v>
      </c>
      <c r="T952" s="1">
        <v>29</v>
      </c>
      <c r="U952" s="1">
        <v>1</v>
      </c>
      <c r="V952" s="1">
        <v>2</v>
      </c>
    </row>
    <row r="953" spans="1:22" x14ac:dyDescent="0.25">
      <c r="A953" s="3">
        <v>44778</v>
      </c>
      <c r="B953" s="4">
        <v>0.71643518518518523</v>
      </c>
      <c r="C953" s="1">
        <v>1878</v>
      </c>
      <c r="D953" s="1">
        <v>13002616</v>
      </c>
      <c r="E953" s="1">
        <v>13</v>
      </c>
      <c r="F953" s="1">
        <v>22589</v>
      </c>
      <c r="G953" s="1" t="s">
        <v>21</v>
      </c>
      <c r="H953" s="1">
        <v>15</v>
      </c>
      <c r="I953" s="1">
        <v>345578</v>
      </c>
      <c r="J953" s="14" t="s">
        <v>121</v>
      </c>
      <c r="K953" s="1" t="s">
        <v>51</v>
      </c>
      <c r="L953" s="1" t="s">
        <v>76</v>
      </c>
      <c r="M953" s="14">
        <v>1</v>
      </c>
      <c r="N953" s="2">
        <v>20.61</v>
      </c>
      <c r="O953" s="16">
        <v>25</v>
      </c>
      <c r="P953" s="14">
        <v>0</v>
      </c>
      <c r="Q953" s="14">
        <f t="shared" si="14"/>
        <v>25</v>
      </c>
      <c r="R953" s="1" t="s">
        <v>25</v>
      </c>
      <c r="S953" s="1" t="s">
        <v>25</v>
      </c>
      <c r="T953" s="1">
        <v>50</v>
      </c>
      <c r="U953" s="1">
        <v>1</v>
      </c>
      <c r="V953" s="1">
        <v>4</v>
      </c>
    </row>
    <row r="954" spans="1:22" x14ac:dyDescent="0.25">
      <c r="A954" s="3">
        <v>44776</v>
      </c>
      <c r="B954" s="4">
        <v>0.79831018518518515</v>
      </c>
      <c r="C954" s="1">
        <v>1652</v>
      </c>
      <c r="D954" s="1">
        <v>13002595</v>
      </c>
      <c r="E954" s="1">
        <v>13</v>
      </c>
      <c r="F954" s="1">
        <v>22589</v>
      </c>
      <c r="G954" s="1" t="s">
        <v>21</v>
      </c>
      <c r="H954" s="1">
        <v>15</v>
      </c>
      <c r="I954" s="1">
        <v>443177</v>
      </c>
      <c r="J954" s="14" t="s">
        <v>920</v>
      </c>
      <c r="K954" s="1" t="s">
        <v>51</v>
      </c>
      <c r="L954" s="1" t="s">
        <v>52</v>
      </c>
      <c r="M954" s="14">
        <v>2</v>
      </c>
      <c r="N954" s="2">
        <v>47.16</v>
      </c>
      <c r="O954" s="16">
        <v>77</v>
      </c>
      <c r="P954" s="14">
        <v>0</v>
      </c>
      <c r="Q954" s="14">
        <f t="shared" si="14"/>
        <v>154</v>
      </c>
      <c r="R954" s="1" t="s">
        <v>25</v>
      </c>
      <c r="S954" s="1" t="s">
        <v>25</v>
      </c>
      <c r="T954" s="1">
        <v>29</v>
      </c>
      <c r="U954" s="1">
        <v>1</v>
      </c>
      <c r="V954" s="1">
        <v>5</v>
      </c>
    </row>
    <row r="955" spans="1:22" x14ac:dyDescent="0.25">
      <c r="A955" s="3">
        <v>44774</v>
      </c>
      <c r="B955" s="4">
        <v>0.38756944444444447</v>
      </c>
      <c r="C955" s="1">
        <v>1279</v>
      </c>
      <c r="D955" s="1">
        <v>13002561</v>
      </c>
      <c r="E955" s="1">
        <v>13</v>
      </c>
      <c r="F955" s="1">
        <v>22589</v>
      </c>
      <c r="G955" s="1" t="s">
        <v>21</v>
      </c>
      <c r="H955" s="1">
        <v>15</v>
      </c>
      <c r="I955" s="1">
        <v>443174</v>
      </c>
      <c r="J955" s="14" t="s">
        <v>50</v>
      </c>
      <c r="K955" s="1" t="s">
        <v>51</v>
      </c>
      <c r="L955" s="1" t="s">
        <v>52</v>
      </c>
      <c r="M955" s="14">
        <v>1</v>
      </c>
      <c r="N955" s="2">
        <v>65.13</v>
      </c>
      <c r="O955" s="16">
        <v>103</v>
      </c>
      <c r="P955" s="14">
        <v>0</v>
      </c>
      <c r="Q955" s="14">
        <f t="shared" si="14"/>
        <v>103</v>
      </c>
      <c r="R955" s="1" t="s">
        <v>25</v>
      </c>
      <c r="S955" s="1" t="s">
        <v>25</v>
      </c>
      <c r="T955" s="1">
        <v>29</v>
      </c>
      <c r="U955" s="1">
        <v>1</v>
      </c>
      <c r="V955" s="1">
        <v>1</v>
      </c>
    </row>
    <row r="956" spans="1:22" x14ac:dyDescent="0.25">
      <c r="A956" s="3">
        <v>44774</v>
      </c>
      <c r="B956" s="4">
        <v>0.4432638888888889</v>
      </c>
      <c r="C956" s="1">
        <v>1294</v>
      </c>
      <c r="D956" s="1">
        <v>13002561</v>
      </c>
      <c r="E956" s="1">
        <v>13</v>
      </c>
      <c r="F956" s="1">
        <v>22589</v>
      </c>
      <c r="G956" s="1" t="s">
        <v>21</v>
      </c>
      <c r="H956" s="1">
        <v>18</v>
      </c>
      <c r="I956" s="1">
        <v>443174</v>
      </c>
      <c r="J956" s="14" t="s">
        <v>50</v>
      </c>
      <c r="K956" s="1" t="s">
        <v>51</v>
      </c>
      <c r="L956" s="1" t="s">
        <v>52</v>
      </c>
      <c r="M956" s="14">
        <v>1</v>
      </c>
      <c r="N956" s="2">
        <v>65.13</v>
      </c>
      <c r="O956" s="16">
        <v>103</v>
      </c>
      <c r="P956" s="14">
        <v>0</v>
      </c>
      <c r="Q956" s="14">
        <f t="shared" si="14"/>
        <v>103</v>
      </c>
      <c r="R956" s="1" t="s">
        <v>25</v>
      </c>
      <c r="S956" s="1" t="s">
        <v>25</v>
      </c>
      <c r="T956" s="1">
        <v>29</v>
      </c>
      <c r="U956" s="1">
        <v>1</v>
      </c>
      <c r="V956" s="1">
        <v>3</v>
      </c>
    </row>
    <row r="957" spans="1:22" x14ac:dyDescent="0.25">
      <c r="A957" s="3">
        <v>44774</v>
      </c>
      <c r="B957" s="4">
        <v>0.44123842592592594</v>
      </c>
      <c r="C957" s="1">
        <v>1292</v>
      </c>
      <c r="D957" s="1">
        <v>13002561</v>
      </c>
      <c r="E957" s="1">
        <v>13</v>
      </c>
      <c r="F957" s="1">
        <v>22589</v>
      </c>
      <c r="G957" s="1" t="s">
        <v>21</v>
      </c>
      <c r="H957" s="1">
        <v>18</v>
      </c>
      <c r="I957" s="1">
        <v>443170</v>
      </c>
      <c r="J957" s="14" t="s">
        <v>115</v>
      </c>
      <c r="K957" s="1" t="s">
        <v>51</v>
      </c>
      <c r="L957" s="1" t="s">
        <v>52</v>
      </c>
      <c r="M957" s="14">
        <v>2</v>
      </c>
      <c r="N957" s="2">
        <v>57.11</v>
      </c>
      <c r="O957" s="16">
        <v>90</v>
      </c>
      <c r="P957" s="14">
        <v>18</v>
      </c>
      <c r="Q957" s="14">
        <f t="shared" si="14"/>
        <v>162</v>
      </c>
      <c r="R957" s="1">
        <v>9</v>
      </c>
      <c r="S957" s="1">
        <v>200010020276</v>
      </c>
      <c r="T957" s="1">
        <v>29</v>
      </c>
      <c r="U957" s="1">
        <v>1</v>
      </c>
      <c r="V957" s="1">
        <v>4</v>
      </c>
    </row>
    <row r="958" spans="1:22" x14ac:dyDescent="0.25">
      <c r="A958" s="3">
        <v>44776</v>
      </c>
      <c r="B958" s="4">
        <v>0.48781249999999998</v>
      </c>
      <c r="C958" s="1">
        <v>1570</v>
      </c>
      <c r="D958" s="1">
        <v>13002595</v>
      </c>
      <c r="E958" s="1">
        <v>13</v>
      </c>
      <c r="F958" s="1">
        <v>22589</v>
      </c>
      <c r="G958" s="1" t="s">
        <v>21</v>
      </c>
      <c r="H958" s="1">
        <v>18</v>
      </c>
      <c r="I958" s="1">
        <v>443170</v>
      </c>
      <c r="J958" s="14" t="s">
        <v>115</v>
      </c>
      <c r="K958" s="1" t="s">
        <v>51</v>
      </c>
      <c r="L958" s="1" t="s">
        <v>52</v>
      </c>
      <c r="M958" s="14">
        <v>2</v>
      </c>
      <c r="N958" s="2">
        <v>56.55</v>
      </c>
      <c r="O958" s="16">
        <v>89</v>
      </c>
      <c r="P958" s="14">
        <v>17.34</v>
      </c>
      <c r="Q958" s="14">
        <f t="shared" si="14"/>
        <v>160.66</v>
      </c>
      <c r="R958" s="1">
        <v>9</v>
      </c>
      <c r="S958" s="1">
        <v>200010026823</v>
      </c>
      <c r="T958" s="1">
        <v>29</v>
      </c>
      <c r="U958" s="1">
        <v>1</v>
      </c>
      <c r="V958" s="1">
        <v>7</v>
      </c>
    </row>
    <row r="959" spans="1:22" x14ac:dyDescent="0.25">
      <c r="A959" s="3">
        <v>44776</v>
      </c>
      <c r="B959" s="4">
        <v>0.48781249999999998</v>
      </c>
      <c r="C959" s="1">
        <v>1570</v>
      </c>
      <c r="D959" s="1">
        <v>13002595</v>
      </c>
      <c r="E959" s="1">
        <v>13</v>
      </c>
      <c r="F959" s="1">
        <v>22589</v>
      </c>
      <c r="G959" s="1" t="s">
        <v>21</v>
      </c>
      <c r="H959" s="1">
        <v>18</v>
      </c>
      <c r="I959" s="1">
        <v>443170</v>
      </c>
      <c r="J959" s="14" t="s">
        <v>115</v>
      </c>
      <c r="K959" s="1" t="s">
        <v>51</v>
      </c>
      <c r="L959" s="1" t="s">
        <v>52</v>
      </c>
      <c r="M959" s="14">
        <v>1</v>
      </c>
      <c r="N959" s="2">
        <v>56.55</v>
      </c>
      <c r="O959" s="16">
        <v>89</v>
      </c>
      <c r="P959" s="14">
        <v>8.66</v>
      </c>
      <c r="Q959" s="14">
        <f t="shared" si="14"/>
        <v>80.34</v>
      </c>
      <c r="R959" s="1">
        <v>9</v>
      </c>
      <c r="S959" s="1">
        <v>200010026823</v>
      </c>
      <c r="T959" s="1">
        <v>29</v>
      </c>
      <c r="U959" s="1">
        <v>1</v>
      </c>
      <c r="V959" s="1">
        <v>8</v>
      </c>
    </row>
    <row r="960" spans="1:22" x14ac:dyDescent="0.25">
      <c r="A960" s="3">
        <v>44777</v>
      </c>
      <c r="B960" s="4">
        <v>0.63724537037037032</v>
      </c>
      <c r="C960" s="1">
        <v>1738</v>
      </c>
      <c r="D960" s="1">
        <v>13002606</v>
      </c>
      <c r="E960" s="1">
        <v>13</v>
      </c>
      <c r="F960" s="1">
        <v>22589</v>
      </c>
      <c r="G960" s="1" t="s">
        <v>21</v>
      </c>
      <c r="H960" s="1">
        <v>15</v>
      </c>
      <c r="I960" s="1">
        <v>443170</v>
      </c>
      <c r="J960" s="14" t="s">
        <v>115</v>
      </c>
      <c r="K960" s="1" t="s">
        <v>51</v>
      </c>
      <c r="L960" s="1" t="s">
        <v>52</v>
      </c>
      <c r="M960" s="14">
        <v>1</v>
      </c>
      <c r="N960" s="2">
        <v>57.11</v>
      </c>
      <c r="O960" s="16">
        <v>90</v>
      </c>
      <c r="P960" s="14">
        <v>1.33</v>
      </c>
      <c r="Q960" s="14">
        <f t="shared" si="14"/>
        <v>88.67</v>
      </c>
      <c r="R960" s="1">
        <v>925</v>
      </c>
      <c r="S960" s="1">
        <v>200000000492</v>
      </c>
      <c r="T960" s="1">
        <v>50</v>
      </c>
      <c r="U960" s="1">
        <v>1</v>
      </c>
      <c r="V960" s="1">
        <v>1</v>
      </c>
    </row>
    <row r="961" spans="1:22" x14ac:dyDescent="0.25">
      <c r="A961" s="3">
        <v>44775</v>
      </c>
      <c r="B961" s="4">
        <v>0.38267361111111109</v>
      </c>
      <c r="C961" s="1">
        <v>1424</v>
      </c>
      <c r="D961" s="1">
        <v>13002581</v>
      </c>
      <c r="E961" s="1">
        <v>13</v>
      </c>
      <c r="F961" s="1">
        <v>22589</v>
      </c>
      <c r="G961" s="1" t="s">
        <v>21</v>
      </c>
      <c r="H961" s="1">
        <v>15</v>
      </c>
      <c r="I961" s="1">
        <v>443168</v>
      </c>
      <c r="J961" s="14" t="s">
        <v>495</v>
      </c>
      <c r="K961" s="1" t="s">
        <v>51</v>
      </c>
      <c r="L961" s="1" t="s">
        <v>52</v>
      </c>
      <c r="M961" s="14">
        <v>1</v>
      </c>
      <c r="N961" s="2">
        <v>69.83</v>
      </c>
      <c r="O961" s="16">
        <v>110</v>
      </c>
      <c r="P961" s="14">
        <v>11</v>
      </c>
      <c r="Q961" s="14">
        <f t="shared" si="14"/>
        <v>99</v>
      </c>
      <c r="R961" s="1">
        <v>9</v>
      </c>
      <c r="S961" s="1">
        <v>200010019507</v>
      </c>
      <c r="T961" s="1">
        <v>29</v>
      </c>
      <c r="U961" s="1">
        <v>1</v>
      </c>
      <c r="V961" s="1">
        <v>1</v>
      </c>
    </row>
    <row r="962" spans="1:22" x14ac:dyDescent="0.25">
      <c r="A962" s="3">
        <v>44776</v>
      </c>
      <c r="B962" s="4">
        <v>0.60665509259259254</v>
      </c>
      <c r="C962" s="1">
        <v>1609</v>
      </c>
      <c r="D962" s="1">
        <v>13002595</v>
      </c>
      <c r="E962" s="1">
        <v>13</v>
      </c>
      <c r="F962" s="1">
        <v>22589</v>
      </c>
      <c r="G962" s="1" t="s">
        <v>21</v>
      </c>
      <c r="H962" s="1">
        <v>18</v>
      </c>
      <c r="I962" s="1">
        <v>443168</v>
      </c>
      <c r="J962" s="14" t="s">
        <v>495</v>
      </c>
      <c r="K962" s="1" t="s">
        <v>51</v>
      </c>
      <c r="L962" s="1" t="s">
        <v>52</v>
      </c>
      <c r="M962" s="14">
        <v>1</v>
      </c>
      <c r="N962" s="2">
        <v>69.83</v>
      </c>
      <c r="O962" s="16">
        <v>110</v>
      </c>
      <c r="P962" s="14">
        <v>0</v>
      </c>
      <c r="Q962" s="14">
        <f t="shared" ref="Q962:Q1025" si="15">M962*O962-P962</f>
        <v>110</v>
      </c>
      <c r="R962" s="1" t="s">
        <v>25</v>
      </c>
      <c r="S962" s="1" t="s">
        <v>25</v>
      </c>
      <c r="T962" s="1">
        <v>29</v>
      </c>
      <c r="U962" s="1">
        <v>1</v>
      </c>
      <c r="V962" s="1">
        <v>4</v>
      </c>
    </row>
    <row r="963" spans="1:22" x14ac:dyDescent="0.25">
      <c r="A963" s="3">
        <v>44776</v>
      </c>
      <c r="B963" s="4">
        <v>0.69087962962962968</v>
      </c>
      <c r="C963" s="1">
        <v>1627</v>
      </c>
      <c r="D963" s="1">
        <v>13002595</v>
      </c>
      <c r="E963" s="1">
        <v>13</v>
      </c>
      <c r="F963" s="1">
        <v>22589</v>
      </c>
      <c r="G963" s="1" t="s">
        <v>21</v>
      </c>
      <c r="H963" s="1">
        <v>18</v>
      </c>
      <c r="I963" s="1">
        <v>443168</v>
      </c>
      <c r="J963" s="14" t="s">
        <v>495</v>
      </c>
      <c r="K963" s="1" t="s">
        <v>51</v>
      </c>
      <c r="L963" s="1" t="s">
        <v>52</v>
      </c>
      <c r="M963" s="14">
        <v>1</v>
      </c>
      <c r="N963" s="2">
        <v>69.83</v>
      </c>
      <c r="O963" s="16">
        <v>110</v>
      </c>
      <c r="P963" s="14">
        <v>11</v>
      </c>
      <c r="Q963" s="14">
        <f t="shared" si="15"/>
        <v>99</v>
      </c>
      <c r="R963" s="1">
        <v>9</v>
      </c>
      <c r="S963" s="1">
        <v>200010006183</v>
      </c>
      <c r="T963" s="1">
        <v>29</v>
      </c>
      <c r="U963" s="1">
        <v>1</v>
      </c>
      <c r="V963" s="1">
        <v>3</v>
      </c>
    </row>
    <row r="964" spans="1:22" x14ac:dyDescent="0.25">
      <c r="A964" s="3">
        <v>44777</v>
      </c>
      <c r="B964" s="4">
        <v>0.48834490740740738</v>
      </c>
      <c r="C964" s="1">
        <v>1685</v>
      </c>
      <c r="D964" s="1">
        <v>13002606</v>
      </c>
      <c r="E964" s="1">
        <v>13</v>
      </c>
      <c r="F964" s="1">
        <v>22589</v>
      </c>
      <c r="G964" s="1" t="s">
        <v>21</v>
      </c>
      <c r="H964" s="1">
        <v>18</v>
      </c>
      <c r="I964" s="1">
        <v>443168</v>
      </c>
      <c r="J964" s="14" t="s">
        <v>495</v>
      </c>
      <c r="K964" s="1" t="s">
        <v>51</v>
      </c>
      <c r="L964" s="1" t="s">
        <v>52</v>
      </c>
      <c r="M964" s="14">
        <v>1</v>
      </c>
      <c r="N964" s="2">
        <v>69.83</v>
      </c>
      <c r="O964" s="16">
        <v>110</v>
      </c>
      <c r="P964" s="14">
        <v>11</v>
      </c>
      <c r="Q964" s="14">
        <f t="shared" si="15"/>
        <v>99</v>
      </c>
      <c r="R964" s="1">
        <v>9</v>
      </c>
      <c r="S964" s="1">
        <v>200010022986</v>
      </c>
      <c r="T964" s="1">
        <v>50</v>
      </c>
      <c r="U964" s="1">
        <v>1</v>
      </c>
      <c r="V964" s="1">
        <v>4</v>
      </c>
    </row>
    <row r="965" spans="1:22" x14ac:dyDescent="0.25">
      <c r="A965" s="3">
        <v>44777</v>
      </c>
      <c r="B965" s="4">
        <v>0.82451388888888888</v>
      </c>
      <c r="C965" s="1">
        <v>1777</v>
      </c>
      <c r="D965" s="1">
        <v>13002606</v>
      </c>
      <c r="E965" s="1">
        <v>13</v>
      </c>
      <c r="F965" s="1">
        <v>22589</v>
      </c>
      <c r="G965" s="1" t="s">
        <v>21</v>
      </c>
      <c r="H965" s="1">
        <v>18</v>
      </c>
      <c r="I965" s="1">
        <v>443168</v>
      </c>
      <c r="J965" s="14" t="s">
        <v>495</v>
      </c>
      <c r="K965" s="1" t="s">
        <v>51</v>
      </c>
      <c r="L965" s="1" t="s">
        <v>52</v>
      </c>
      <c r="M965" s="14">
        <v>1</v>
      </c>
      <c r="N965" s="2">
        <v>61.5</v>
      </c>
      <c r="O965" s="16">
        <v>97</v>
      </c>
      <c r="P965" s="14">
        <v>0</v>
      </c>
      <c r="Q965" s="14">
        <f t="shared" si="15"/>
        <v>97</v>
      </c>
      <c r="R965" s="1" t="s">
        <v>25</v>
      </c>
      <c r="S965" s="1" t="s">
        <v>25</v>
      </c>
      <c r="T965" s="1">
        <v>50</v>
      </c>
      <c r="U965" s="1">
        <v>1</v>
      </c>
      <c r="V965" s="1">
        <v>2</v>
      </c>
    </row>
    <row r="966" spans="1:22" x14ac:dyDescent="0.25">
      <c r="A966" s="3">
        <v>44778</v>
      </c>
      <c r="B966" s="4">
        <v>0.58281249999999996</v>
      </c>
      <c r="C966" s="1">
        <v>1849</v>
      </c>
      <c r="D966" s="1">
        <v>13002616</v>
      </c>
      <c r="E966" s="1">
        <v>13</v>
      </c>
      <c r="F966" s="1">
        <v>22589</v>
      </c>
      <c r="G966" s="1" t="s">
        <v>21</v>
      </c>
      <c r="H966" s="1">
        <v>18</v>
      </c>
      <c r="I966" s="1">
        <v>483452</v>
      </c>
      <c r="J966" s="14" t="s">
        <v>1161</v>
      </c>
      <c r="K966" s="1" t="s">
        <v>110</v>
      </c>
      <c r="L966" s="1" t="s">
        <v>383</v>
      </c>
      <c r="M966" s="14">
        <v>1</v>
      </c>
      <c r="N966" s="2">
        <v>26.18</v>
      </c>
      <c r="O966" s="16">
        <v>40</v>
      </c>
      <c r="P966" s="14">
        <v>2</v>
      </c>
      <c r="Q966" s="14">
        <f t="shared" si="15"/>
        <v>38</v>
      </c>
      <c r="R966" s="1">
        <v>9</v>
      </c>
      <c r="S966" s="1">
        <v>200010019633</v>
      </c>
      <c r="T966" s="1">
        <v>50</v>
      </c>
      <c r="U966" s="1">
        <v>1</v>
      </c>
      <c r="V966" s="1">
        <v>3</v>
      </c>
    </row>
    <row r="967" spans="1:22" x14ac:dyDescent="0.25">
      <c r="A967" s="3">
        <v>44774</v>
      </c>
      <c r="B967" s="4">
        <v>0.43896990740740743</v>
      </c>
      <c r="C967" s="1">
        <v>1290</v>
      </c>
      <c r="D967" s="1">
        <v>13002561</v>
      </c>
      <c r="E967" s="1">
        <v>13</v>
      </c>
      <c r="F967" s="1">
        <v>22589</v>
      </c>
      <c r="G967" s="1" t="s">
        <v>21</v>
      </c>
      <c r="H967" s="1">
        <v>15</v>
      </c>
      <c r="I967" s="1">
        <v>142036</v>
      </c>
      <c r="J967" s="14" t="s">
        <v>101</v>
      </c>
      <c r="K967" s="1" t="s">
        <v>23</v>
      </c>
      <c r="L967" s="1" t="s">
        <v>76</v>
      </c>
      <c r="M967" s="14">
        <v>1</v>
      </c>
      <c r="N967" s="2">
        <v>187.36</v>
      </c>
      <c r="O967" s="16">
        <v>220</v>
      </c>
      <c r="P967" s="14">
        <v>15</v>
      </c>
      <c r="Q967" s="14">
        <f t="shared" si="15"/>
        <v>205</v>
      </c>
      <c r="R967" s="1">
        <v>9</v>
      </c>
      <c r="S967" s="1">
        <v>200010000065</v>
      </c>
      <c r="T967" s="1">
        <v>29</v>
      </c>
      <c r="U967" s="1">
        <v>1</v>
      </c>
      <c r="V967" s="1">
        <v>5</v>
      </c>
    </row>
    <row r="968" spans="1:22" x14ac:dyDescent="0.25">
      <c r="A968" s="3">
        <v>44774</v>
      </c>
      <c r="B968" s="4">
        <v>0.52601851851851855</v>
      </c>
      <c r="C968" s="1">
        <v>1328</v>
      </c>
      <c r="D968" s="1">
        <v>13002561</v>
      </c>
      <c r="E968" s="1">
        <v>13</v>
      </c>
      <c r="F968" s="1">
        <v>22589</v>
      </c>
      <c r="G968" s="1" t="s">
        <v>21</v>
      </c>
      <c r="H968" s="1">
        <v>15</v>
      </c>
      <c r="I968" s="1">
        <v>142036</v>
      </c>
      <c r="J968" s="14" t="s">
        <v>101</v>
      </c>
      <c r="K968" s="1" t="s">
        <v>23</v>
      </c>
      <c r="L968" s="1" t="s">
        <v>76</v>
      </c>
      <c r="M968" s="14">
        <v>1</v>
      </c>
      <c r="N968" s="2">
        <v>187.36</v>
      </c>
      <c r="O968" s="16">
        <v>220</v>
      </c>
      <c r="P968" s="14">
        <v>0</v>
      </c>
      <c r="Q968" s="14">
        <f t="shared" si="15"/>
        <v>220</v>
      </c>
      <c r="R968" s="1" t="s">
        <v>25</v>
      </c>
      <c r="S968" s="1" t="s">
        <v>25</v>
      </c>
      <c r="T968" s="1">
        <v>29</v>
      </c>
      <c r="U968" s="1">
        <v>1</v>
      </c>
      <c r="V968" s="1">
        <v>4</v>
      </c>
    </row>
    <row r="969" spans="1:22" x14ac:dyDescent="0.25">
      <c r="A969" s="3">
        <v>44775</v>
      </c>
      <c r="B969" s="4">
        <v>0.38592592592592595</v>
      </c>
      <c r="C969" s="1">
        <v>1425</v>
      </c>
      <c r="D969" s="1">
        <v>13002581</v>
      </c>
      <c r="E969" s="1">
        <v>13</v>
      </c>
      <c r="F969" s="1">
        <v>22589</v>
      </c>
      <c r="G969" s="1" t="s">
        <v>21</v>
      </c>
      <c r="H969" s="1">
        <v>18</v>
      </c>
      <c r="I969" s="1">
        <v>142036</v>
      </c>
      <c r="J969" s="14" t="s">
        <v>101</v>
      </c>
      <c r="K969" s="1" t="s">
        <v>23</v>
      </c>
      <c r="L969" s="1" t="s">
        <v>76</v>
      </c>
      <c r="M969" s="14">
        <v>1</v>
      </c>
      <c r="N969" s="2">
        <v>187.36</v>
      </c>
      <c r="O969" s="16">
        <v>220</v>
      </c>
      <c r="P969" s="14">
        <v>15</v>
      </c>
      <c r="Q969" s="14">
        <f t="shared" si="15"/>
        <v>205</v>
      </c>
      <c r="R969" s="1">
        <v>9</v>
      </c>
      <c r="S969" s="1">
        <v>200010004820</v>
      </c>
      <c r="T969" s="1">
        <v>29</v>
      </c>
      <c r="U969" s="1">
        <v>1</v>
      </c>
      <c r="V969" s="1">
        <v>1</v>
      </c>
    </row>
    <row r="970" spans="1:22" x14ac:dyDescent="0.25">
      <c r="A970" s="3">
        <v>44775</v>
      </c>
      <c r="B970" s="4">
        <v>0.57376157407407402</v>
      </c>
      <c r="C970" s="1">
        <v>1477</v>
      </c>
      <c r="D970" s="1">
        <v>13002581</v>
      </c>
      <c r="E970" s="1">
        <v>13</v>
      </c>
      <c r="F970" s="1">
        <v>22589</v>
      </c>
      <c r="G970" s="1" t="s">
        <v>21</v>
      </c>
      <c r="H970" s="1">
        <v>18</v>
      </c>
      <c r="I970" s="1">
        <v>142036</v>
      </c>
      <c r="J970" s="14" t="s">
        <v>101</v>
      </c>
      <c r="K970" s="1" t="s">
        <v>23</v>
      </c>
      <c r="L970" s="1" t="s">
        <v>76</v>
      </c>
      <c r="M970" s="14">
        <v>1</v>
      </c>
      <c r="N970" s="2">
        <v>187.36</v>
      </c>
      <c r="O970" s="16">
        <v>220</v>
      </c>
      <c r="P970" s="14">
        <v>0</v>
      </c>
      <c r="Q970" s="14">
        <f t="shared" si="15"/>
        <v>220</v>
      </c>
      <c r="R970" s="1" t="s">
        <v>25</v>
      </c>
      <c r="S970" s="1" t="s">
        <v>25</v>
      </c>
      <c r="T970" s="1">
        <v>29</v>
      </c>
      <c r="U970" s="1">
        <v>1</v>
      </c>
      <c r="V970" s="1">
        <v>6</v>
      </c>
    </row>
    <row r="971" spans="1:22" x14ac:dyDescent="0.25">
      <c r="A971" s="3">
        <v>44776</v>
      </c>
      <c r="B971" s="4">
        <v>0.6390393518518519</v>
      </c>
      <c r="C971" s="1">
        <v>1617</v>
      </c>
      <c r="D971" s="1">
        <v>13002595</v>
      </c>
      <c r="E971" s="1">
        <v>13</v>
      </c>
      <c r="F971" s="1">
        <v>22589</v>
      </c>
      <c r="G971" s="1" t="s">
        <v>21</v>
      </c>
      <c r="H971" s="1">
        <v>15</v>
      </c>
      <c r="I971" s="1">
        <v>142036</v>
      </c>
      <c r="J971" s="14" t="s">
        <v>101</v>
      </c>
      <c r="K971" s="1" t="s">
        <v>23</v>
      </c>
      <c r="L971" s="1" t="s">
        <v>76</v>
      </c>
      <c r="M971" s="14">
        <v>1</v>
      </c>
      <c r="N971" s="2">
        <v>187.36</v>
      </c>
      <c r="O971" s="16">
        <v>220</v>
      </c>
      <c r="P971" s="14">
        <v>15</v>
      </c>
      <c r="Q971" s="14">
        <f t="shared" si="15"/>
        <v>205</v>
      </c>
      <c r="R971" s="1">
        <v>9</v>
      </c>
      <c r="S971" s="1">
        <v>200010001084</v>
      </c>
      <c r="T971" s="1">
        <v>29</v>
      </c>
      <c r="U971" s="1">
        <v>1</v>
      </c>
      <c r="V971" s="1">
        <v>3</v>
      </c>
    </row>
    <row r="972" spans="1:22" x14ac:dyDescent="0.25">
      <c r="A972" s="3">
        <v>44777</v>
      </c>
      <c r="B972" s="4">
        <v>0.37998842592592591</v>
      </c>
      <c r="C972" s="1">
        <v>1667</v>
      </c>
      <c r="D972" s="1">
        <v>13002606</v>
      </c>
      <c r="E972" s="1">
        <v>13</v>
      </c>
      <c r="F972" s="1">
        <v>22589</v>
      </c>
      <c r="G972" s="1" t="s">
        <v>21</v>
      </c>
      <c r="H972" s="1">
        <v>15</v>
      </c>
      <c r="I972" s="1">
        <v>142036</v>
      </c>
      <c r="J972" s="14" t="s">
        <v>101</v>
      </c>
      <c r="K972" s="1" t="s">
        <v>23</v>
      </c>
      <c r="L972" s="1" t="s">
        <v>76</v>
      </c>
      <c r="M972" s="14">
        <v>1</v>
      </c>
      <c r="N972" s="2">
        <v>187.36</v>
      </c>
      <c r="O972" s="16">
        <v>220</v>
      </c>
      <c r="P972" s="14">
        <v>15</v>
      </c>
      <c r="Q972" s="14">
        <f t="shared" si="15"/>
        <v>205</v>
      </c>
      <c r="R972" s="1">
        <v>9</v>
      </c>
      <c r="S972" s="1">
        <v>200010006097</v>
      </c>
      <c r="T972" s="1">
        <v>50</v>
      </c>
      <c r="U972" s="1">
        <v>1</v>
      </c>
      <c r="V972" s="1">
        <v>5</v>
      </c>
    </row>
    <row r="973" spans="1:22" x14ac:dyDescent="0.25">
      <c r="A973" s="3">
        <v>44777</v>
      </c>
      <c r="B973" s="4">
        <v>0.44571759259259258</v>
      </c>
      <c r="C973" s="1">
        <v>1673</v>
      </c>
      <c r="D973" s="1">
        <v>13002606</v>
      </c>
      <c r="E973" s="1">
        <v>13</v>
      </c>
      <c r="F973" s="1">
        <v>22589</v>
      </c>
      <c r="G973" s="1" t="s">
        <v>21</v>
      </c>
      <c r="H973" s="1">
        <v>18</v>
      </c>
      <c r="I973" s="1">
        <v>142036</v>
      </c>
      <c r="J973" s="14" t="s">
        <v>101</v>
      </c>
      <c r="K973" s="1" t="s">
        <v>51</v>
      </c>
      <c r="L973" s="1" t="s">
        <v>76</v>
      </c>
      <c r="M973" s="14">
        <v>1</v>
      </c>
      <c r="N973" s="2">
        <v>187.95</v>
      </c>
      <c r="O973" s="16">
        <v>220</v>
      </c>
      <c r="P973" s="14">
        <v>15</v>
      </c>
      <c r="Q973" s="14">
        <f t="shared" si="15"/>
        <v>205</v>
      </c>
      <c r="R973" s="1">
        <v>9</v>
      </c>
      <c r="S973" s="1">
        <v>200010022526</v>
      </c>
      <c r="T973" s="1">
        <v>50</v>
      </c>
      <c r="U973" s="1">
        <v>1</v>
      </c>
      <c r="V973" s="1">
        <v>1</v>
      </c>
    </row>
    <row r="974" spans="1:22" x14ac:dyDescent="0.25">
      <c r="A974" s="3">
        <v>44777</v>
      </c>
      <c r="B974" s="4">
        <v>0.5758564814814815</v>
      </c>
      <c r="C974" s="1">
        <v>1723</v>
      </c>
      <c r="D974" s="1">
        <v>13002606</v>
      </c>
      <c r="E974" s="1">
        <v>13</v>
      </c>
      <c r="F974" s="1">
        <v>22589</v>
      </c>
      <c r="G974" s="1" t="s">
        <v>21</v>
      </c>
      <c r="H974" s="1">
        <v>15</v>
      </c>
      <c r="I974" s="1">
        <v>142036</v>
      </c>
      <c r="J974" s="14" t="s">
        <v>101</v>
      </c>
      <c r="K974" s="1" t="s">
        <v>51</v>
      </c>
      <c r="L974" s="1" t="s">
        <v>76</v>
      </c>
      <c r="M974" s="14">
        <v>1</v>
      </c>
      <c r="N974" s="2">
        <v>187.95</v>
      </c>
      <c r="O974" s="16">
        <v>220</v>
      </c>
      <c r="P974" s="14">
        <v>15</v>
      </c>
      <c r="Q974" s="14">
        <f t="shared" si="15"/>
        <v>205</v>
      </c>
      <c r="R974" s="1">
        <v>9</v>
      </c>
      <c r="S974" s="1">
        <v>200010000427</v>
      </c>
      <c r="T974" s="1">
        <v>50</v>
      </c>
      <c r="U974" s="1">
        <v>1</v>
      </c>
      <c r="V974" s="1">
        <v>1</v>
      </c>
    </row>
    <row r="975" spans="1:22" x14ac:dyDescent="0.25">
      <c r="A975" s="3">
        <v>44777</v>
      </c>
      <c r="B975" s="4">
        <v>0.6843055555555555</v>
      </c>
      <c r="C975" s="1">
        <v>1747</v>
      </c>
      <c r="D975" s="1">
        <v>13002606</v>
      </c>
      <c r="E975" s="1">
        <v>13</v>
      </c>
      <c r="F975" s="1">
        <v>22589</v>
      </c>
      <c r="G975" s="1" t="s">
        <v>21</v>
      </c>
      <c r="H975" s="1">
        <v>15</v>
      </c>
      <c r="I975" s="1">
        <v>142036</v>
      </c>
      <c r="J975" s="14" t="s">
        <v>101</v>
      </c>
      <c r="K975" s="1" t="s">
        <v>51</v>
      </c>
      <c r="L975" s="1" t="s">
        <v>76</v>
      </c>
      <c r="M975" s="14">
        <v>0.68181818000000005</v>
      </c>
      <c r="N975" s="2">
        <v>187.95</v>
      </c>
      <c r="O975" s="16">
        <v>220</v>
      </c>
      <c r="P975" s="14">
        <v>0</v>
      </c>
      <c r="Q975" s="14">
        <f t="shared" si="15"/>
        <v>149.99999960000002</v>
      </c>
      <c r="R975" s="1" t="s">
        <v>25</v>
      </c>
      <c r="S975" s="1" t="s">
        <v>25</v>
      </c>
      <c r="T975" s="1">
        <v>50</v>
      </c>
      <c r="U975" s="1">
        <v>1</v>
      </c>
      <c r="V975" s="1">
        <v>1</v>
      </c>
    </row>
    <row r="976" spans="1:22" x14ac:dyDescent="0.25">
      <c r="A976" s="3">
        <v>44777</v>
      </c>
      <c r="B976" s="4">
        <v>0.6843055555555555</v>
      </c>
      <c r="C976" s="1">
        <v>1747</v>
      </c>
      <c r="D976" s="1">
        <v>13002606</v>
      </c>
      <c r="E976" s="1">
        <v>13</v>
      </c>
      <c r="F976" s="1">
        <v>22589</v>
      </c>
      <c r="G976" s="1" t="s">
        <v>21</v>
      </c>
      <c r="H976" s="1">
        <v>18</v>
      </c>
      <c r="I976" s="1">
        <v>142036</v>
      </c>
      <c r="J976" s="14" t="s">
        <v>101</v>
      </c>
      <c r="K976" s="1" t="s">
        <v>51</v>
      </c>
      <c r="L976" s="1" t="s">
        <v>76</v>
      </c>
      <c r="M976" s="14">
        <v>0.31818182</v>
      </c>
      <c r="N976" s="2">
        <v>187.95</v>
      </c>
      <c r="O976" s="16">
        <v>220</v>
      </c>
      <c r="P976" s="14">
        <v>0</v>
      </c>
      <c r="Q976" s="14">
        <f t="shared" si="15"/>
        <v>70.000000400000005</v>
      </c>
      <c r="R976" s="1" t="s">
        <v>25</v>
      </c>
      <c r="S976" s="1" t="s">
        <v>25</v>
      </c>
      <c r="T976" s="1">
        <v>50</v>
      </c>
      <c r="U976" s="1">
        <v>1</v>
      </c>
      <c r="V976" s="1">
        <v>2</v>
      </c>
    </row>
    <row r="977" spans="1:22" x14ac:dyDescent="0.25">
      <c r="A977" s="3">
        <v>44778</v>
      </c>
      <c r="B977" s="4">
        <v>0.39695601851851853</v>
      </c>
      <c r="C977" s="1">
        <v>1798</v>
      </c>
      <c r="D977" s="1">
        <v>13002616</v>
      </c>
      <c r="E977" s="1">
        <v>13</v>
      </c>
      <c r="F977" s="1">
        <v>22589</v>
      </c>
      <c r="G977" s="1" t="s">
        <v>21</v>
      </c>
      <c r="H977" s="1">
        <v>15</v>
      </c>
      <c r="I977" s="1">
        <v>142036</v>
      </c>
      <c r="J977" s="14" t="s">
        <v>101</v>
      </c>
      <c r="K977" s="1" t="s">
        <v>51</v>
      </c>
      <c r="L977" s="1" t="s">
        <v>76</v>
      </c>
      <c r="M977" s="14">
        <v>1</v>
      </c>
      <c r="N977" s="2">
        <v>187.95</v>
      </c>
      <c r="O977" s="16">
        <v>220</v>
      </c>
      <c r="P977" s="14">
        <v>15</v>
      </c>
      <c r="Q977" s="14">
        <f t="shared" si="15"/>
        <v>205</v>
      </c>
      <c r="R977" s="1">
        <v>9</v>
      </c>
      <c r="S977" s="1">
        <v>200010022565</v>
      </c>
      <c r="T977" s="1">
        <v>50</v>
      </c>
      <c r="U977" s="1">
        <v>1</v>
      </c>
      <c r="V977" s="1">
        <v>2</v>
      </c>
    </row>
    <row r="978" spans="1:22" x14ac:dyDescent="0.25">
      <c r="A978" s="3">
        <v>44774</v>
      </c>
      <c r="B978" s="4">
        <v>0.79040509259259262</v>
      </c>
      <c r="C978" s="1">
        <v>1405</v>
      </c>
      <c r="D978" s="1">
        <v>13002561</v>
      </c>
      <c r="E978" s="1">
        <v>13</v>
      </c>
      <c r="F978" s="1">
        <v>22589</v>
      </c>
      <c r="G978" s="1" t="s">
        <v>21</v>
      </c>
      <c r="H978" s="1">
        <v>18</v>
      </c>
      <c r="I978" s="1">
        <v>362224</v>
      </c>
      <c r="J978" s="14" t="s">
        <v>452</v>
      </c>
      <c r="K978" s="1" t="s">
        <v>117</v>
      </c>
      <c r="L978" s="1" t="s">
        <v>453</v>
      </c>
      <c r="M978" s="14">
        <v>1</v>
      </c>
      <c r="N978" s="2">
        <v>304.06</v>
      </c>
      <c r="O978" s="16">
        <v>402</v>
      </c>
      <c r="P978" s="14">
        <v>0</v>
      </c>
      <c r="Q978" s="14">
        <f t="shared" si="15"/>
        <v>402</v>
      </c>
      <c r="R978" s="1" t="s">
        <v>25</v>
      </c>
      <c r="S978" s="1" t="s">
        <v>25</v>
      </c>
      <c r="T978" s="1">
        <v>29</v>
      </c>
      <c r="U978" s="1">
        <v>1</v>
      </c>
      <c r="V978" s="1">
        <v>8</v>
      </c>
    </row>
    <row r="979" spans="1:22" x14ac:dyDescent="0.25">
      <c r="A979" s="3">
        <v>44777</v>
      </c>
      <c r="B979" s="4">
        <v>0.58459490740740738</v>
      </c>
      <c r="C979" s="1">
        <v>1725</v>
      </c>
      <c r="D979" s="1">
        <v>13002606</v>
      </c>
      <c r="E979" s="1">
        <v>13</v>
      </c>
      <c r="F979" s="1">
        <v>22589</v>
      </c>
      <c r="G979" s="1" t="s">
        <v>21</v>
      </c>
      <c r="H979" s="1">
        <v>15</v>
      </c>
      <c r="I979" s="1">
        <v>374684</v>
      </c>
      <c r="J979" s="14" t="s">
        <v>1016</v>
      </c>
      <c r="K979" s="1" t="s">
        <v>23</v>
      </c>
      <c r="L979" s="1" t="s">
        <v>37</v>
      </c>
      <c r="M979" s="14">
        <v>1</v>
      </c>
      <c r="N979" s="2">
        <v>339.85</v>
      </c>
      <c r="O979" s="16">
        <v>449</v>
      </c>
      <c r="P979" s="14">
        <v>0</v>
      </c>
      <c r="Q979" s="14">
        <f t="shared" si="15"/>
        <v>449</v>
      </c>
      <c r="R979" s="1" t="s">
        <v>25</v>
      </c>
      <c r="S979" s="1" t="s">
        <v>25</v>
      </c>
      <c r="T979" s="1">
        <v>50</v>
      </c>
      <c r="U979" s="1">
        <v>1</v>
      </c>
      <c r="V979" s="1">
        <v>2</v>
      </c>
    </row>
    <row r="980" spans="1:22" x14ac:dyDescent="0.25">
      <c r="A980" s="3">
        <v>44775</v>
      </c>
      <c r="B980" s="4">
        <v>0.5696296296296296</v>
      </c>
      <c r="C980" s="1">
        <v>1476</v>
      </c>
      <c r="D980" s="1">
        <v>13002581</v>
      </c>
      <c r="E980" s="1">
        <v>13</v>
      </c>
      <c r="F980" s="1">
        <v>22589</v>
      </c>
      <c r="G980" s="1" t="s">
        <v>21</v>
      </c>
      <c r="H980" s="1">
        <v>18</v>
      </c>
      <c r="I980" s="1">
        <v>117949</v>
      </c>
      <c r="J980" s="14" t="s">
        <v>594</v>
      </c>
      <c r="K980" s="1" t="s">
        <v>141</v>
      </c>
      <c r="L980" s="1" t="s">
        <v>97</v>
      </c>
      <c r="M980" s="14">
        <v>5</v>
      </c>
      <c r="N980" s="2">
        <v>10.02</v>
      </c>
      <c r="O980" s="16">
        <v>17</v>
      </c>
      <c r="P980" s="14">
        <v>8</v>
      </c>
      <c r="Q980" s="14">
        <f t="shared" si="15"/>
        <v>77</v>
      </c>
      <c r="R980" s="1">
        <v>9</v>
      </c>
      <c r="S980" s="1">
        <v>200010022389</v>
      </c>
      <c r="T980" s="1">
        <v>29</v>
      </c>
      <c r="U980" s="1">
        <v>1</v>
      </c>
      <c r="V980" s="1">
        <v>2</v>
      </c>
    </row>
    <row r="981" spans="1:22" x14ac:dyDescent="0.25">
      <c r="A981" s="3">
        <v>44776</v>
      </c>
      <c r="B981" s="4">
        <v>0.43873842592592593</v>
      </c>
      <c r="C981" s="1">
        <v>1554</v>
      </c>
      <c r="D981" s="1">
        <v>13002595</v>
      </c>
      <c r="E981" s="1">
        <v>13</v>
      </c>
      <c r="F981" s="1">
        <v>22589</v>
      </c>
      <c r="G981" s="1" t="s">
        <v>21</v>
      </c>
      <c r="H981" s="1">
        <v>15</v>
      </c>
      <c r="I981" s="1">
        <v>117949</v>
      </c>
      <c r="J981" s="14" t="s">
        <v>594</v>
      </c>
      <c r="K981" s="1" t="s">
        <v>141</v>
      </c>
      <c r="L981" s="1" t="s">
        <v>97</v>
      </c>
      <c r="M981" s="14">
        <v>2</v>
      </c>
      <c r="N981" s="2">
        <v>10.02</v>
      </c>
      <c r="O981" s="16">
        <v>17</v>
      </c>
      <c r="P981" s="14">
        <v>3</v>
      </c>
      <c r="Q981" s="14">
        <f t="shared" si="15"/>
        <v>31</v>
      </c>
      <c r="R981" s="1">
        <v>9</v>
      </c>
      <c r="S981" s="1">
        <v>200010001632</v>
      </c>
      <c r="T981" s="1">
        <v>29</v>
      </c>
      <c r="U981" s="1">
        <v>1</v>
      </c>
      <c r="V981" s="1">
        <v>5</v>
      </c>
    </row>
    <row r="982" spans="1:22" x14ac:dyDescent="0.25">
      <c r="A982" s="3">
        <v>44777</v>
      </c>
      <c r="B982" s="4">
        <v>0.60395833333333337</v>
      </c>
      <c r="C982" s="1">
        <v>1731</v>
      </c>
      <c r="D982" s="1">
        <v>13002606</v>
      </c>
      <c r="E982" s="1">
        <v>13</v>
      </c>
      <c r="F982" s="1">
        <v>22589</v>
      </c>
      <c r="G982" s="1" t="s">
        <v>21</v>
      </c>
      <c r="H982" s="1">
        <v>15</v>
      </c>
      <c r="I982" s="1">
        <v>117949</v>
      </c>
      <c r="J982" s="14" t="s">
        <v>594</v>
      </c>
      <c r="K982" s="1" t="s">
        <v>141</v>
      </c>
      <c r="L982" s="1" t="s">
        <v>97</v>
      </c>
      <c r="M982" s="14">
        <v>1</v>
      </c>
      <c r="N982" s="2">
        <v>10.02</v>
      </c>
      <c r="O982" s="16">
        <v>17</v>
      </c>
      <c r="P982" s="14">
        <v>1</v>
      </c>
      <c r="Q982" s="14">
        <f t="shared" si="15"/>
        <v>16</v>
      </c>
      <c r="R982" s="1">
        <v>9</v>
      </c>
      <c r="S982" s="1">
        <v>200010023898</v>
      </c>
      <c r="T982" s="1">
        <v>50</v>
      </c>
      <c r="U982" s="1">
        <v>1</v>
      </c>
      <c r="V982" s="1">
        <v>3</v>
      </c>
    </row>
    <row r="983" spans="1:22" x14ac:dyDescent="0.25">
      <c r="A983" s="3">
        <v>44778</v>
      </c>
      <c r="B983" s="4">
        <v>0.49533564814814812</v>
      </c>
      <c r="C983" s="1">
        <v>1827</v>
      </c>
      <c r="D983" s="1">
        <v>13002616</v>
      </c>
      <c r="E983" s="1">
        <v>13</v>
      </c>
      <c r="F983" s="1">
        <v>22589</v>
      </c>
      <c r="G983" s="1" t="s">
        <v>21</v>
      </c>
      <c r="H983" s="1">
        <v>15</v>
      </c>
      <c r="I983" s="1">
        <v>117949</v>
      </c>
      <c r="J983" s="14" t="s">
        <v>594</v>
      </c>
      <c r="K983" s="1" t="s">
        <v>141</v>
      </c>
      <c r="L983" s="1" t="s">
        <v>97</v>
      </c>
      <c r="M983" s="14">
        <v>1</v>
      </c>
      <c r="N983" s="2">
        <v>10.02</v>
      </c>
      <c r="O983" s="16">
        <v>17</v>
      </c>
      <c r="P983" s="14">
        <v>1</v>
      </c>
      <c r="Q983" s="14">
        <f t="shared" si="15"/>
        <v>16</v>
      </c>
      <c r="R983" s="1">
        <v>9</v>
      </c>
      <c r="S983" s="1">
        <v>200010008406</v>
      </c>
      <c r="T983" s="1">
        <v>50</v>
      </c>
      <c r="U983" s="1">
        <v>1</v>
      </c>
      <c r="V983" s="1">
        <v>2</v>
      </c>
    </row>
    <row r="984" spans="1:22" x14ac:dyDescent="0.25">
      <c r="A984" s="3">
        <v>44778</v>
      </c>
      <c r="B984" s="4">
        <v>0.53322916666666664</v>
      </c>
      <c r="C984" s="1">
        <v>1840</v>
      </c>
      <c r="D984" s="1">
        <v>13002616</v>
      </c>
      <c r="E984" s="1">
        <v>13</v>
      </c>
      <c r="F984" s="1">
        <v>22589</v>
      </c>
      <c r="G984" s="1" t="s">
        <v>21</v>
      </c>
      <c r="H984" s="1">
        <v>15</v>
      </c>
      <c r="I984" s="1">
        <v>117949</v>
      </c>
      <c r="J984" s="14" t="s">
        <v>594</v>
      </c>
      <c r="K984" s="1" t="s">
        <v>141</v>
      </c>
      <c r="L984" s="1" t="s">
        <v>97</v>
      </c>
      <c r="M984" s="14">
        <v>2</v>
      </c>
      <c r="N984" s="2">
        <v>10.02</v>
      </c>
      <c r="O984" s="16">
        <v>17</v>
      </c>
      <c r="P984" s="14">
        <v>3.34</v>
      </c>
      <c r="Q984" s="14">
        <f t="shared" si="15"/>
        <v>30.66</v>
      </c>
      <c r="R984" s="1">
        <v>9</v>
      </c>
      <c r="S984" s="1">
        <v>200010009864</v>
      </c>
      <c r="T984" s="1">
        <v>50</v>
      </c>
      <c r="U984" s="1">
        <v>1</v>
      </c>
      <c r="V984" s="1">
        <v>2</v>
      </c>
    </row>
    <row r="985" spans="1:22" x14ac:dyDescent="0.25">
      <c r="A985" s="3">
        <v>44778</v>
      </c>
      <c r="B985" s="4">
        <v>0.53322916666666664</v>
      </c>
      <c r="C985" s="1">
        <v>1840</v>
      </c>
      <c r="D985" s="1">
        <v>13002616</v>
      </c>
      <c r="E985" s="1">
        <v>13</v>
      </c>
      <c r="F985" s="1">
        <v>22589</v>
      </c>
      <c r="G985" s="1" t="s">
        <v>21</v>
      </c>
      <c r="H985" s="1">
        <v>15</v>
      </c>
      <c r="I985" s="1">
        <v>117949</v>
      </c>
      <c r="J985" s="14" t="s">
        <v>594</v>
      </c>
      <c r="K985" s="1" t="s">
        <v>141</v>
      </c>
      <c r="L985" s="1" t="s">
        <v>97</v>
      </c>
      <c r="M985" s="14">
        <v>1</v>
      </c>
      <c r="N985" s="2">
        <v>10.02</v>
      </c>
      <c r="O985" s="16">
        <v>17</v>
      </c>
      <c r="P985" s="14">
        <v>1.66</v>
      </c>
      <c r="Q985" s="14">
        <f t="shared" si="15"/>
        <v>15.34</v>
      </c>
      <c r="R985" s="1">
        <v>9</v>
      </c>
      <c r="S985" s="1">
        <v>200010009864</v>
      </c>
      <c r="T985" s="1">
        <v>50</v>
      </c>
      <c r="U985" s="1">
        <v>1</v>
      </c>
      <c r="V985" s="1">
        <v>3</v>
      </c>
    </row>
    <row r="986" spans="1:22" x14ac:dyDescent="0.25">
      <c r="A986" s="3">
        <v>44778</v>
      </c>
      <c r="B986" s="4">
        <v>0.65452546296296299</v>
      </c>
      <c r="C986" s="1">
        <v>1869</v>
      </c>
      <c r="D986" s="1">
        <v>13002616</v>
      </c>
      <c r="E986" s="1">
        <v>13</v>
      </c>
      <c r="F986" s="1">
        <v>22589</v>
      </c>
      <c r="G986" s="1" t="s">
        <v>21</v>
      </c>
      <c r="H986" s="1">
        <v>18</v>
      </c>
      <c r="I986" s="1">
        <v>117949</v>
      </c>
      <c r="J986" s="14" t="s">
        <v>594</v>
      </c>
      <c r="K986" s="1" t="s">
        <v>141</v>
      </c>
      <c r="L986" s="1" t="s">
        <v>97</v>
      </c>
      <c r="M986" s="14">
        <v>1</v>
      </c>
      <c r="N986" s="2">
        <v>10.02</v>
      </c>
      <c r="O986" s="16">
        <v>17</v>
      </c>
      <c r="P986" s="14">
        <v>0</v>
      </c>
      <c r="Q986" s="14">
        <f t="shared" si="15"/>
        <v>17</v>
      </c>
      <c r="R986" s="1" t="s">
        <v>25</v>
      </c>
      <c r="S986" s="1" t="s">
        <v>25</v>
      </c>
      <c r="T986" s="1">
        <v>50</v>
      </c>
      <c r="U986" s="1">
        <v>1</v>
      </c>
      <c r="V986" s="1">
        <v>1</v>
      </c>
    </row>
    <row r="987" spans="1:22" x14ac:dyDescent="0.25">
      <c r="A987" s="3">
        <v>44774</v>
      </c>
      <c r="B987" s="4">
        <v>0.43896990740740743</v>
      </c>
      <c r="C987" s="1">
        <v>1290</v>
      </c>
      <c r="D987" s="1">
        <v>13002561</v>
      </c>
      <c r="E987" s="1">
        <v>13</v>
      </c>
      <c r="F987" s="1">
        <v>22589</v>
      </c>
      <c r="G987" s="1" t="s">
        <v>21</v>
      </c>
      <c r="H987" s="1">
        <v>15</v>
      </c>
      <c r="I987" s="1">
        <v>497302</v>
      </c>
      <c r="J987" s="14" t="s">
        <v>96</v>
      </c>
      <c r="K987" s="1" t="s">
        <v>51</v>
      </c>
      <c r="L987" s="1" t="s">
        <v>97</v>
      </c>
      <c r="M987" s="14">
        <v>2</v>
      </c>
      <c r="N987" s="2">
        <v>9.7899999999999991</v>
      </c>
      <c r="O987" s="16">
        <v>16</v>
      </c>
      <c r="P987" s="14">
        <v>3</v>
      </c>
      <c r="Q987" s="14">
        <f t="shared" si="15"/>
        <v>29</v>
      </c>
      <c r="R987" s="1">
        <v>9</v>
      </c>
      <c r="S987" s="1">
        <v>200010000065</v>
      </c>
      <c r="T987" s="1">
        <v>29</v>
      </c>
      <c r="U987" s="1">
        <v>1</v>
      </c>
      <c r="V987" s="1">
        <v>6</v>
      </c>
    </row>
    <row r="988" spans="1:22" x14ac:dyDescent="0.25">
      <c r="A988" s="3">
        <v>44777</v>
      </c>
      <c r="B988" s="4">
        <v>0.56057870370370366</v>
      </c>
      <c r="C988" s="1">
        <v>1717</v>
      </c>
      <c r="D988" s="1">
        <v>13002606</v>
      </c>
      <c r="E988" s="1">
        <v>13</v>
      </c>
      <c r="F988" s="1">
        <v>22589</v>
      </c>
      <c r="G988" s="1" t="s">
        <v>21</v>
      </c>
      <c r="H988" s="1">
        <v>18</v>
      </c>
      <c r="I988" s="1">
        <v>342088</v>
      </c>
      <c r="J988" s="14" t="s">
        <v>1008</v>
      </c>
      <c r="K988" s="1" t="s">
        <v>141</v>
      </c>
      <c r="L988" s="1" t="s">
        <v>1009</v>
      </c>
      <c r="M988" s="14">
        <v>2</v>
      </c>
      <c r="N988" s="2">
        <v>114.9</v>
      </c>
      <c r="O988" s="16">
        <v>179</v>
      </c>
      <c r="P988" s="14">
        <v>53</v>
      </c>
      <c r="Q988" s="14">
        <f t="shared" si="15"/>
        <v>305</v>
      </c>
      <c r="R988" s="1">
        <v>27</v>
      </c>
      <c r="S988" s="1">
        <v>200010000015</v>
      </c>
      <c r="T988" s="1">
        <v>50</v>
      </c>
      <c r="U988" s="1">
        <v>1</v>
      </c>
      <c r="V988" s="1">
        <v>1</v>
      </c>
    </row>
    <row r="989" spans="1:22" x14ac:dyDescent="0.25">
      <c r="A989" s="3">
        <v>44775</v>
      </c>
      <c r="B989" s="4">
        <v>0.5696296296296296</v>
      </c>
      <c r="C989" s="1">
        <v>1476</v>
      </c>
      <c r="D989" s="1">
        <v>13002581</v>
      </c>
      <c r="E989" s="1">
        <v>13</v>
      </c>
      <c r="F989" s="1">
        <v>22589</v>
      </c>
      <c r="G989" s="1" t="s">
        <v>21</v>
      </c>
      <c r="H989" s="1">
        <v>18</v>
      </c>
      <c r="I989" s="1">
        <v>420703</v>
      </c>
      <c r="J989" s="14" t="s">
        <v>595</v>
      </c>
      <c r="K989" s="1" t="s">
        <v>51</v>
      </c>
      <c r="L989" s="1" t="s">
        <v>397</v>
      </c>
      <c r="M989" s="14">
        <v>1</v>
      </c>
      <c r="N989" s="2">
        <v>19.989999999999998</v>
      </c>
      <c r="O989" s="16">
        <v>24</v>
      </c>
      <c r="P989" s="14">
        <v>1</v>
      </c>
      <c r="Q989" s="14">
        <f t="shared" si="15"/>
        <v>23</v>
      </c>
      <c r="R989" s="1">
        <v>9</v>
      </c>
      <c r="S989" s="1">
        <v>200010022389</v>
      </c>
      <c r="T989" s="1">
        <v>29</v>
      </c>
      <c r="U989" s="1">
        <v>1</v>
      </c>
      <c r="V989" s="1">
        <v>3</v>
      </c>
    </row>
    <row r="990" spans="1:22" x14ac:dyDescent="0.25">
      <c r="A990" s="3">
        <v>44775</v>
      </c>
      <c r="B990" s="4">
        <v>0.5696296296296296</v>
      </c>
      <c r="C990" s="1">
        <v>1476</v>
      </c>
      <c r="D990" s="1">
        <v>13002581</v>
      </c>
      <c r="E990" s="1">
        <v>13</v>
      </c>
      <c r="F990" s="1">
        <v>22589</v>
      </c>
      <c r="G990" s="1" t="s">
        <v>21</v>
      </c>
      <c r="H990" s="1">
        <v>18</v>
      </c>
      <c r="I990" s="1">
        <v>420703</v>
      </c>
      <c r="J990" s="14" t="s">
        <v>595</v>
      </c>
      <c r="K990" s="1" t="s">
        <v>51</v>
      </c>
      <c r="L990" s="1" t="s">
        <v>397</v>
      </c>
      <c r="M990" s="14">
        <v>1</v>
      </c>
      <c r="N990" s="2">
        <v>19.989999999999998</v>
      </c>
      <c r="O990" s="16">
        <v>24</v>
      </c>
      <c r="P990" s="14">
        <v>1</v>
      </c>
      <c r="Q990" s="14">
        <f t="shared" si="15"/>
        <v>23</v>
      </c>
      <c r="R990" s="1">
        <v>9</v>
      </c>
      <c r="S990" s="1">
        <v>200010022389</v>
      </c>
      <c r="T990" s="1">
        <v>29</v>
      </c>
      <c r="U990" s="1">
        <v>1</v>
      </c>
      <c r="V990" s="1">
        <v>4</v>
      </c>
    </row>
    <row r="991" spans="1:22" x14ac:dyDescent="0.25">
      <c r="A991" s="3">
        <v>44775</v>
      </c>
      <c r="B991" s="4">
        <v>0.5696296296296296</v>
      </c>
      <c r="C991" s="1">
        <v>1476</v>
      </c>
      <c r="D991" s="1">
        <v>13002581</v>
      </c>
      <c r="E991" s="1">
        <v>13</v>
      </c>
      <c r="F991" s="1">
        <v>22589</v>
      </c>
      <c r="G991" s="1" t="s">
        <v>21</v>
      </c>
      <c r="H991" s="1">
        <v>18</v>
      </c>
      <c r="I991" s="1">
        <v>420703</v>
      </c>
      <c r="J991" s="14" t="s">
        <v>595</v>
      </c>
      <c r="K991" s="1" t="s">
        <v>51</v>
      </c>
      <c r="L991" s="1" t="s">
        <v>397</v>
      </c>
      <c r="M991" s="14">
        <v>1</v>
      </c>
      <c r="N991" s="2">
        <v>19.989999999999998</v>
      </c>
      <c r="O991" s="16">
        <v>24</v>
      </c>
      <c r="P991" s="14">
        <v>1</v>
      </c>
      <c r="Q991" s="14">
        <f t="shared" si="15"/>
        <v>23</v>
      </c>
      <c r="R991" s="1">
        <v>9</v>
      </c>
      <c r="S991" s="1">
        <v>200010022389</v>
      </c>
      <c r="T991" s="1">
        <v>29</v>
      </c>
      <c r="U991" s="1">
        <v>1</v>
      </c>
      <c r="V991" s="1">
        <v>5</v>
      </c>
    </row>
    <row r="992" spans="1:22" x14ac:dyDescent="0.25">
      <c r="A992" s="3">
        <v>44775</v>
      </c>
      <c r="B992" s="4">
        <v>0.5696296296296296</v>
      </c>
      <c r="C992" s="1">
        <v>1476</v>
      </c>
      <c r="D992" s="1">
        <v>13002581</v>
      </c>
      <c r="E992" s="1">
        <v>13</v>
      </c>
      <c r="F992" s="1">
        <v>22589</v>
      </c>
      <c r="G992" s="1" t="s">
        <v>21</v>
      </c>
      <c r="H992" s="1">
        <v>18</v>
      </c>
      <c r="I992" s="1">
        <v>420703</v>
      </c>
      <c r="J992" s="14" t="s">
        <v>595</v>
      </c>
      <c r="K992" s="1" t="s">
        <v>51</v>
      </c>
      <c r="L992" s="1" t="s">
        <v>397</v>
      </c>
      <c r="M992" s="14">
        <v>1</v>
      </c>
      <c r="N992" s="2">
        <v>19.989999999999998</v>
      </c>
      <c r="O992" s="16">
        <v>24</v>
      </c>
      <c r="P992" s="14">
        <v>1</v>
      </c>
      <c r="Q992" s="14">
        <f t="shared" si="15"/>
        <v>23</v>
      </c>
      <c r="R992" s="1">
        <v>9</v>
      </c>
      <c r="S992" s="1">
        <v>200010022389</v>
      </c>
      <c r="T992" s="1">
        <v>29</v>
      </c>
      <c r="U992" s="1">
        <v>1</v>
      </c>
      <c r="V992" s="1">
        <v>6</v>
      </c>
    </row>
    <row r="993" spans="1:22" x14ac:dyDescent="0.25">
      <c r="A993" s="3">
        <v>44775</v>
      </c>
      <c r="B993" s="4">
        <v>0.5696296296296296</v>
      </c>
      <c r="C993" s="1">
        <v>1476</v>
      </c>
      <c r="D993" s="1">
        <v>13002581</v>
      </c>
      <c r="E993" s="1">
        <v>13</v>
      </c>
      <c r="F993" s="1">
        <v>22589</v>
      </c>
      <c r="G993" s="1" t="s">
        <v>21</v>
      </c>
      <c r="H993" s="1">
        <v>18</v>
      </c>
      <c r="I993" s="1">
        <v>420703</v>
      </c>
      <c r="J993" s="14" t="s">
        <v>595</v>
      </c>
      <c r="K993" s="1" t="s">
        <v>51</v>
      </c>
      <c r="L993" s="1" t="s">
        <v>397</v>
      </c>
      <c r="M993" s="14">
        <v>1</v>
      </c>
      <c r="N993" s="2">
        <v>19.989999999999998</v>
      </c>
      <c r="O993" s="16">
        <v>24</v>
      </c>
      <c r="P993" s="14">
        <v>1</v>
      </c>
      <c r="Q993" s="14">
        <f t="shared" si="15"/>
        <v>23</v>
      </c>
      <c r="R993" s="1">
        <v>9</v>
      </c>
      <c r="S993" s="1">
        <v>200010022389</v>
      </c>
      <c r="T993" s="1">
        <v>29</v>
      </c>
      <c r="U993" s="1">
        <v>1</v>
      </c>
      <c r="V993" s="1">
        <v>7</v>
      </c>
    </row>
    <row r="994" spans="1:22" x14ac:dyDescent="0.25">
      <c r="A994" s="3">
        <v>44777</v>
      </c>
      <c r="B994" s="4">
        <v>0.58812500000000001</v>
      </c>
      <c r="C994" s="1">
        <v>1726</v>
      </c>
      <c r="D994" s="1">
        <v>13002606</v>
      </c>
      <c r="E994" s="1">
        <v>13</v>
      </c>
      <c r="F994" s="1">
        <v>22589</v>
      </c>
      <c r="G994" s="1" t="s">
        <v>21</v>
      </c>
      <c r="H994" s="1">
        <v>15</v>
      </c>
      <c r="I994" s="1">
        <v>338620</v>
      </c>
      <c r="J994" s="14" t="s">
        <v>1017</v>
      </c>
      <c r="K994" s="1" t="s">
        <v>23</v>
      </c>
      <c r="L994" s="1" t="s">
        <v>37</v>
      </c>
      <c r="M994" s="14">
        <v>1</v>
      </c>
      <c r="N994" s="2">
        <v>215.56</v>
      </c>
      <c r="O994" s="16">
        <v>271</v>
      </c>
      <c r="P994" s="14">
        <v>0</v>
      </c>
      <c r="Q994" s="14">
        <f t="shared" si="15"/>
        <v>271</v>
      </c>
      <c r="R994" s="1" t="s">
        <v>25</v>
      </c>
      <c r="S994" s="1" t="s">
        <v>25</v>
      </c>
      <c r="T994" s="1">
        <v>50</v>
      </c>
      <c r="U994" s="1">
        <v>1</v>
      </c>
      <c r="V994" s="1">
        <v>1</v>
      </c>
    </row>
    <row r="995" spans="1:22" x14ac:dyDescent="0.25">
      <c r="A995" s="3">
        <v>44775</v>
      </c>
      <c r="B995" s="4">
        <v>0.8175810185185185</v>
      </c>
      <c r="C995" s="1">
        <v>1533</v>
      </c>
      <c r="D995" s="1">
        <v>13002581</v>
      </c>
      <c r="E995" s="1">
        <v>13</v>
      </c>
      <c r="F995" s="1">
        <v>22589</v>
      </c>
      <c r="G995" s="1" t="s">
        <v>21</v>
      </c>
      <c r="H995" s="1">
        <v>18</v>
      </c>
      <c r="I995" s="1">
        <v>113184</v>
      </c>
      <c r="J995" s="14" t="s">
        <v>705</v>
      </c>
      <c r="K995" s="1" t="s">
        <v>34</v>
      </c>
      <c r="L995" s="1" t="s">
        <v>39</v>
      </c>
      <c r="M995" s="14">
        <v>1</v>
      </c>
      <c r="N995" s="2">
        <v>203.75</v>
      </c>
      <c r="O995" s="16">
        <v>250</v>
      </c>
      <c r="P995" s="14">
        <v>12</v>
      </c>
      <c r="Q995" s="14">
        <f t="shared" si="15"/>
        <v>238</v>
      </c>
      <c r="R995" s="1">
        <v>9</v>
      </c>
      <c r="S995" s="1">
        <v>200010009896</v>
      </c>
      <c r="T995" s="1">
        <v>29</v>
      </c>
      <c r="U995" s="1">
        <v>1</v>
      </c>
      <c r="V995" s="1">
        <v>3</v>
      </c>
    </row>
    <row r="996" spans="1:22" x14ac:dyDescent="0.25">
      <c r="A996" s="3">
        <v>44777</v>
      </c>
      <c r="B996" s="4">
        <v>0.49444444444444446</v>
      </c>
      <c r="C996" s="1">
        <v>1690</v>
      </c>
      <c r="D996" s="1">
        <v>13002606</v>
      </c>
      <c r="E996" s="1">
        <v>13</v>
      </c>
      <c r="F996" s="1">
        <v>22589</v>
      </c>
      <c r="G996" s="1" t="s">
        <v>21</v>
      </c>
      <c r="H996" s="1">
        <v>15</v>
      </c>
      <c r="I996" s="1">
        <v>113184</v>
      </c>
      <c r="J996" s="14" t="s">
        <v>705</v>
      </c>
      <c r="K996" s="1" t="s">
        <v>23</v>
      </c>
      <c r="L996" s="1" t="s">
        <v>39</v>
      </c>
      <c r="M996" s="14">
        <v>1</v>
      </c>
      <c r="N996" s="2">
        <v>204.56</v>
      </c>
      <c r="O996" s="16">
        <v>250</v>
      </c>
      <c r="P996" s="14">
        <v>12</v>
      </c>
      <c r="Q996" s="14">
        <f t="shared" si="15"/>
        <v>238</v>
      </c>
      <c r="R996" s="1">
        <v>9</v>
      </c>
      <c r="S996" s="1">
        <v>200010006867</v>
      </c>
      <c r="T996" s="1">
        <v>50</v>
      </c>
      <c r="U996" s="1">
        <v>1</v>
      </c>
      <c r="V996" s="1">
        <v>1</v>
      </c>
    </row>
    <row r="997" spans="1:22" x14ac:dyDescent="0.25">
      <c r="A997" s="3">
        <v>44774</v>
      </c>
      <c r="B997" s="4">
        <v>0.77875000000000005</v>
      </c>
      <c r="C997" s="1">
        <v>1400</v>
      </c>
      <c r="D997" s="1">
        <v>13002561</v>
      </c>
      <c r="E997" s="1">
        <v>13</v>
      </c>
      <c r="F997" s="1">
        <v>22589</v>
      </c>
      <c r="G997" s="1" t="s">
        <v>21</v>
      </c>
      <c r="H997" s="1">
        <v>15</v>
      </c>
      <c r="I997" s="1">
        <v>328252</v>
      </c>
      <c r="J997" s="14" t="s">
        <v>437</v>
      </c>
      <c r="K997" s="1" t="s">
        <v>117</v>
      </c>
      <c r="L997" s="1" t="s">
        <v>438</v>
      </c>
      <c r="M997" s="14">
        <v>1</v>
      </c>
      <c r="N997" s="2">
        <v>37.270000000000003</v>
      </c>
      <c r="O997" s="16">
        <v>57</v>
      </c>
      <c r="P997" s="14">
        <v>3</v>
      </c>
      <c r="Q997" s="14">
        <f t="shared" si="15"/>
        <v>54</v>
      </c>
      <c r="R997" s="1">
        <v>9</v>
      </c>
      <c r="S997" s="1">
        <v>200010022584</v>
      </c>
      <c r="T997" s="1">
        <v>29</v>
      </c>
      <c r="U997" s="1">
        <v>1</v>
      </c>
      <c r="V997" s="1">
        <v>3</v>
      </c>
    </row>
    <row r="998" spans="1:22" x14ac:dyDescent="0.25">
      <c r="A998" s="3">
        <v>44774</v>
      </c>
      <c r="B998" s="4">
        <v>0.77875000000000005</v>
      </c>
      <c r="C998" s="1">
        <v>1400</v>
      </c>
      <c r="D998" s="1">
        <v>13002561</v>
      </c>
      <c r="E998" s="1">
        <v>13</v>
      </c>
      <c r="F998" s="1">
        <v>22589</v>
      </c>
      <c r="G998" s="1" t="s">
        <v>21</v>
      </c>
      <c r="H998" s="1">
        <v>15</v>
      </c>
      <c r="I998" s="1">
        <v>328252</v>
      </c>
      <c r="J998" s="14" t="s">
        <v>437</v>
      </c>
      <c r="K998" s="1" t="s">
        <v>117</v>
      </c>
      <c r="L998" s="1" t="s">
        <v>438</v>
      </c>
      <c r="M998" s="14">
        <v>1</v>
      </c>
      <c r="N998" s="2">
        <v>37.270000000000003</v>
      </c>
      <c r="O998" s="16">
        <v>57</v>
      </c>
      <c r="P998" s="14">
        <v>3</v>
      </c>
      <c r="Q998" s="14">
        <f t="shared" si="15"/>
        <v>54</v>
      </c>
      <c r="R998" s="1">
        <v>9</v>
      </c>
      <c r="S998" s="1">
        <v>200010022584</v>
      </c>
      <c r="T998" s="1">
        <v>29</v>
      </c>
      <c r="U998" s="1">
        <v>1</v>
      </c>
      <c r="V998" s="1">
        <v>4</v>
      </c>
    </row>
    <row r="999" spans="1:22" x14ac:dyDescent="0.25">
      <c r="A999" s="3">
        <v>44774</v>
      </c>
      <c r="B999" s="4">
        <v>0.55872685185185189</v>
      </c>
      <c r="C999" s="1">
        <v>1341</v>
      </c>
      <c r="D999" s="1">
        <v>13002561</v>
      </c>
      <c r="E999" s="1">
        <v>13</v>
      </c>
      <c r="F999" s="1">
        <v>22589</v>
      </c>
      <c r="G999" s="1" t="s">
        <v>21</v>
      </c>
      <c r="H999" s="1">
        <v>15</v>
      </c>
      <c r="I999" s="1">
        <v>945</v>
      </c>
      <c r="J999" s="14" t="s">
        <v>288</v>
      </c>
      <c r="K999" s="1" t="s">
        <v>51</v>
      </c>
      <c r="L999" s="1" t="s">
        <v>197</v>
      </c>
      <c r="M999" s="14">
        <v>1</v>
      </c>
      <c r="N999" s="2">
        <v>88.23</v>
      </c>
      <c r="O999" s="16">
        <v>126</v>
      </c>
      <c r="P999" s="14">
        <v>0</v>
      </c>
      <c r="Q999" s="14">
        <f t="shared" si="15"/>
        <v>126</v>
      </c>
      <c r="R999" s="1" t="s">
        <v>25</v>
      </c>
      <c r="S999" s="1" t="s">
        <v>25</v>
      </c>
      <c r="T999" s="1">
        <v>29</v>
      </c>
      <c r="U999" s="1">
        <v>1</v>
      </c>
      <c r="V999" s="1">
        <v>1</v>
      </c>
    </row>
    <row r="1000" spans="1:22" x14ac:dyDescent="0.25">
      <c r="A1000" s="3">
        <v>44774</v>
      </c>
      <c r="B1000" s="4">
        <v>0.55872685185185189</v>
      </c>
      <c r="C1000" s="1">
        <v>1341</v>
      </c>
      <c r="D1000" s="1">
        <v>13002561</v>
      </c>
      <c r="E1000" s="1">
        <v>13</v>
      </c>
      <c r="F1000" s="1">
        <v>22589</v>
      </c>
      <c r="G1000" s="1" t="s">
        <v>21</v>
      </c>
      <c r="H1000" s="1">
        <v>15</v>
      </c>
      <c r="I1000" s="1">
        <v>945</v>
      </c>
      <c r="J1000" s="14" t="s">
        <v>288</v>
      </c>
      <c r="K1000" s="1" t="s">
        <v>51</v>
      </c>
      <c r="L1000" s="1" t="s">
        <v>197</v>
      </c>
      <c r="M1000" s="14">
        <v>1</v>
      </c>
      <c r="N1000" s="2">
        <v>88.23</v>
      </c>
      <c r="O1000" s="16">
        <v>126</v>
      </c>
      <c r="P1000" s="14">
        <v>0</v>
      </c>
      <c r="Q1000" s="14">
        <f t="shared" si="15"/>
        <v>126</v>
      </c>
      <c r="R1000" s="1" t="s">
        <v>25</v>
      </c>
      <c r="S1000" s="1" t="s">
        <v>25</v>
      </c>
      <c r="T1000" s="1">
        <v>29</v>
      </c>
      <c r="U1000" s="1">
        <v>1</v>
      </c>
      <c r="V1000" s="1">
        <v>2</v>
      </c>
    </row>
    <row r="1001" spans="1:22" x14ac:dyDescent="0.25">
      <c r="A1001" s="3">
        <v>44778</v>
      </c>
      <c r="B1001" s="4">
        <v>0.52201388888888889</v>
      </c>
      <c r="C1001" s="1">
        <v>1836</v>
      </c>
      <c r="D1001" s="1">
        <v>13002616</v>
      </c>
      <c r="E1001" s="1">
        <v>13</v>
      </c>
      <c r="F1001" s="1">
        <v>22589</v>
      </c>
      <c r="G1001" s="1" t="s">
        <v>21</v>
      </c>
      <c r="H1001" s="1">
        <v>15</v>
      </c>
      <c r="I1001" s="1">
        <v>945</v>
      </c>
      <c r="J1001" s="14" t="s">
        <v>288</v>
      </c>
      <c r="K1001" s="1" t="s">
        <v>51</v>
      </c>
      <c r="L1001" s="1" t="s">
        <v>197</v>
      </c>
      <c r="M1001" s="14">
        <v>1</v>
      </c>
      <c r="N1001" s="2">
        <v>88.23</v>
      </c>
      <c r="O1001" s="16">
        <v>126</v>
      </c>
      <c r="P1001" s="14">
        <v>8</v>
      </c>
      <c r="Q1001" s="14">
        <f t="shared" si="15"/>
        <v>118</v>
      </c>
      <c r="R1001" s="1">
        <v>9</v>
      </c>
      <c r="S1001" s="1">
        <v>200010001180</v>
      </c>
      <c r="T1001" s="1">
        <v>50</v>
      </c>
      <c r="U1001" s="1">
        <v>1</v>
      </c>
      <c r="V1001" s="1">
        <v>1</v>
      </c>
    </row>
    <row r="1002" spans="1:22" x14ac:dyDescent="0.25">
      <c r="A1002" s="3">
        <v>44774</v>
      </c>
      <c r="B1002" s="4">
        <v>0.44601851851851854</v>
      </c>
      <c r="C1002" s="1">
        <v>1296</v>
      </c>
      <c r="D1002" s="1">
        <v>13002561</v>
      </c>
      <c r="E1002" s="1">
        <v>13</v>
      </c>
      <c r="F1002" s="1">
        <v>22589</v>
      </c>
      <c r="G1002" s="1" t="s">
        <v>21</v>
      </c>
      <c r="H1002" s="1">
        <v>15</v>
      </c>
      <c r="I1002" s="1">
        <v>954</v>
      </c>
      <c r="J1002" s="14" t="s">
        <v>132</v>
      </c>
      <c r="K1002" s="1" t="s">
        <v>45</v>
      </c>
      <c r="L1002" s="1" t="s">
        <v>133</v>
      </c>
      <c r="M1002" s="14">
        <v>1</v>
      </c>
      <c r="N1002" s="2">
        <v>206.7</v>
      </c>
      <c r="O1002" s="16">
        <v>280</v>
      </c>
      <c r="P1002" s="14">
        <v>19</v>
      </c>
      <c r="Q1002" s="14">
        <f t="shared" si="15"/>
        <v>261</v>
      </c>
      <c r="R1002" s="1">
        <v>9</v>
      </c>
      <c r="S1002" s="1">
        <v>200010007414</v>
      </c>
      <c r="T1002" s="1">
        <v>29</v>
      </c>
      <c r="U1002" s="1">
        <v>1</v>
      </c>
      <c r="V1002" s="1">
        <v>3</v>
      </c>
    </row>
    <row r="1003" spans="1:22" x14ac:dyDescent="0.25">
      <c r="A1003" s="3">
        <v>44777</v>
      </c>
      <c r="B1003" s="4">
        <v>0.49881944444444443</v>
      </c>
      <c r="C1003" s="1">
        <v>1692</v>
      </c>
      <c r="D1003" s="1">
        <v>13002606</v>
      </c>
      <c r="E1003" s="1">
        <v>13</v>
      </c>
      <c r="F1003" s="1">
        <v>22589</v>
      </c>
      <c r="G1003" s="1" t="s">
        <v>21</v>
      </c>
      <c r="H1003" s="1">
        <v>15</v>
      </c>
      <c r="I1003" s="1">
        <v>443646</v>
      </c>
      <c r="J1003" s="14" t="s">
        <v>967</v>
      </c>
      <c r="K1003" s="1" t="s">
        <v>51</v>
      </c>
      <c r="L1003" s="1" t="s">
        <v>238</v>
      </c>
      <c r="M1003" s="14">
        <v>1</v>
      </c>
      <c r="N1003" s="2">
        <v>19.66</v>
      </c>
      <c r="O1003" s="16">
        <v>25</v>
      </c>
      <c r="P1003" s="14">
        <v>1</v>
      </c>
      <c r="Q1003" s="14">
        <f t="shared" si="15"/>
        <v>24</v>
      </c>
      <c r="R1003" s="1">
        <v>9</v>
      </c>
      <c r="S1003" s="1">
        <v>200010015481</v>
      </c>
      <c r="T1003" s="1">
        <v>50</v>
      </c>
      <c r="U1003" s="1">
        <v>1</v>
      </c>
      <c r="V1003" s="1">
        <v>1</v>
      </c>
    </row>
    <row r="1004" spans="1:22" x14ac:dyDescent="0.25">
      <c r="A1004" s="3">
        <v>44777</v>
      </c>
      <c r="B1004" s="4">
        <v>0.49881944444444443</v>
      </c>
      <c r="C1004" s="1">
        <v>1692</v>
      </c>
      <c r="D1004" s="1">
        <v>13002606</v>
      </c>
      <c r="E1004" s="1">
        <v>13</v>
      </c>
      <c r="F1004" s="1">
        <v>22589</v>
      </c>
      <c r="G1004" s="1" t="s">
        <v>21</v>
      </c>
      <c r="H1004" s="1">
        <v>15</v>
      </c>
      <c r="I1004" s="1">
        <v>443646</v>
      </c>
      <c r="J1004" s="14" t="s">
        <v>967</v>
      </c>
      <c r="K1004" s="1" t="s">
        <v>51</v>
      </c>
      <c r="L1004" s="1" t="s">
        <v>238</v>
      </c>
      <c r="M1004" s="14">
        <v>1</v>
      </c>
      <c r="N1004" s="2">
        <v>19.66</v>
      </c>
      <c r="O1004" s="16">
        <v>25</v>
      </c>
      <c r="P1004" s="14">
        <v>1</v>
      </c>
      <c r="Q1004" s="14">
        <f t="shared" si="15"/>
        <v>24</v>
      </c>
      <c r="R1004" s="1">
        <v>9</v>
      </c>
      <c r="S1004" s="1">
        <v>200010015481</v>
      </c>
      <c r="T1004" s="1">
        <v>50</v>
      </c>
      <c r="U1004" s="1">
        <v>1</v>
      </c>
      <c r="V1004" s="1">
        <v>2</v>
      </c>
    </row>
    <row r="1005" spans="1:22" x14ac:dyDescent="0.25">
      <c r="A1005" s="3">
        <v>44776</v>
      </c>
      <c r="B1005" s="4">
        <v>0.74061342592592594</v>
      </c>
      <c r="C1005" s="1">
        <v>1640</v>
      </c>
      <c r="D1005" s="1">
        <v>13002595</v>
      </c>
      <c r="E1005" s="1">
        <v>13</v>
      </c>
      <c r="F1005" s="1">
        <v>22589</v>
      </c>
      <c r="G1005" s="1" t="s">
        <v>21</v>
      </c>
      <c r="H1005" s="1">
        <v>18</v>
      </c>
      <c r="I1005" s="1">
        <v>39337</v>
      </c>
      <c r="J1005" s="14" t="s">
        <v>899</v>
      </c>
      <c r="K1005" s="1" t="s">
        <v>51</v>
      </c>
      <c r="L1005" s="1" t="s">
        <v>900</v>
      </c>
      <c r="M1005" s="14">
        <v>2</v>
      </c>
      <c r="N1005" s="2">
        <v>10.17</v>
      </c>
      <c r="O1005" s="16">
        <v>17</v>
      </c>
      <c r="P1005" s="14">
        <v>0</v>
      </c>
      <c r="Q1005" s="14">
        <f t="shared" si="15"/>
        <v>34</v>
      </c>
      <c r="R1005" s="1" t="s">
        <v>25</v>
      </c>
      <c r="S1005" s="1" t="s">
        <v>25</v>
      </c>
      <c r="T1005" s="1">
        <v>29</v>
      </c>
      <c r="U1005" s="1">
        <v>1</v>
      </c>
      <c r="V1005" s="1">
        <v>1</v>
      </c>
    </row>
    <row r="1006" spans="1:22" x14ac:dyDescent="0.25">
      <c r="A1006" s="3">
        <v>44774</v>
      </c>
      <c r="B1006" s="4">
        <v>0.41150462962962964</v>
      </c>
      <c r="C1006" s="1">
        <v>1282</v>
      </c>
      <c r="D1006" s="1">
        <v>13002561</v>
      </c>
      <c r="E1006" s="1">
        <v>13</v>
      </c>
      <c r="F1006" s="1">
        <v>22589</v>
      </c>
      <c r="G1006" s="1" t="s">
        <v>21</v>
      </c>
      <c r="H1006" s="1">
        <v>18</v>
      </c>
      <c r="I1006" s="1">
        <v>507949</v>
      </c>
      <c r="J1006" s="14" t="s">
        <v>63</v>
      </c>
      <c r="K1006" s="1" t="s">
        <v>64</v>
      </c>
      <c r="L1006" s="1" t="s">
        <v>65</v>
      </c>
      <c r="M1006" s="14">
        <v>1</v>
      </c>
      <c r="N1006" s="2">
        <v>60.22</v>
      </c>
      <c r="O1006" s="16">
        <v>73</v>
      </c>
      <c r="P1006" s="14">
        <v>3</v>
      </c>
      <c r="Q1006" s="14">
        <f t="shared" si="15"/>
        <v>70</v>
      </c>
      <c r="R1006" s="1">
        <v>9</v>
      </c>
      <c r="S1006" s="1">
        <v>200010004830</v>
      </c>
      <c r="T1006" s="1">
        <v>29</v>
      </c>
      <c r="U1006" s="1">
        <v>1</v>
      </c>
      <c r="V1006" s="1">
        <v>2</v>
      </c>
    </row>
    <row r="1007" spans="1:22" x14ac:dyDescent="0.25">
      <c r="A1007" s="3">
        <v>44775</v>
      </c>
      <c r="B1007" s="4">
        <v>0.80716435185185187</v>
      </c>
      <c r="C1007" s="1">
        <v>1532</v>
      </c>
      <c r="D1007" s="1">
        <v>13002581</v>
      </c>
      <c r="E1007" s="1">
        <v>13</v>
      </c>
      <c r="F1007" s="1">
        <v>22589</v>
      </c>
      <c r="G1007" s="1" t="s">
        <v>21</v>
      </c>
      <c r="H1007" s="1">
        <v>15</v>
      </c>
      <c r="I1007" s="1">
        <v>338898</v>
      </c>
      <c r="J1007" s="14" t="s">
        <v>701</v>
      </c>
      <c r="K1007" s="1" t="s">
        <v>29</v>
      </c>
      <c r="L1007" s="1" t="s">
        <v>123</v>
      </c>
      <c r="M1007" s="14">
        <v>1</v>
      </c>
      <c r="N1007" s="2">
        <v>63.94</v>
      </c>
      <c r="O1007" s="16">
        <v>79</v>
      </c>
      <c r="P1007" s="14">
        <v>0</v>
      </c>
      <c r="Q1007" s="14">
        <f t="shared" si="15"/>
        <v>79</v>
      </c>
      <c r="R1007" s="1" t="s">
        <v>25</v>
      </c>
      <c r="S1007" s="1" t="s">
        <v>25</v>
      </c>
      <c r="T1007" s="1">
        <v>29</v>
      </c>
      <c r="U1007" s="1">
        <v>1</v>
      </c>
      <c r="V1007" s="1">
        <v>1</v>
      </c>
    </row>
    <row r="1008" spans="1:22" x14ac:dyDescent="0.25">
      <c r="A1008" s="3">
        <v>44774</v>
      </c>
      <c r="B1008" s="4">
        <v>0.46287037037037038</v>
      </c>
      <c r="C1008" s="1">
        <v>1301</v>
      </c>
      <c r="D1008" s="1">
        <v>13002561</v>
      </c>
      <c r="E1008" s="1">
        <v>13</v>
      </c>
      <c r="F1008" s="1">
        <v>22589</v>
      </c>
      <c r="G1008" s="1" t="s">
        <v>21</v>
      </c>
      <c r="H1008" s="1">
        <v>18</v>
      </c>
      <c r="I1008" s="1">
        <v>17182</v>
      </c>
      <c r="J1008" s="14" t="s">
        <v>162</v>
      </c>
      <c r="K1008" s="1" t="s">
        <v>117</v>
      </c>
      <c r="L1008" s="1" t="s">
        <v>163</v>
      </c>
      <c r="M1008" s="14">
        <v>1</v>
      </c>
      <c r="N1008" s="2">
        <v>525</v>
      </c>
      <c r="O1008" s="16">
        <v>678</v>
      </c>
      <c r="P1008" s="14">
        <v>20.21</v>
      </c>
      <c r="Q1008" s="14">
        <f t="shared" si="15"/>
        <v>657.79</v>
      </c>
      <c r="R1008" s="1">
        <v>925</v>
      </c>
      <c r="S1008" s="1">
        <v>200000000492</v>
      </c>
      <c r="T1008" s="1">
        <v>29</v>
      </c>
      <c r="U1008" s="1">
        <v>1</v>
      </c>
      <c r="V1008" s="1">
        <v>1</v>
      </c>
    </row>
    <row r="1009" spans="1:22" x14ac:dyDescent="0.25">
      <c r="A1009" s="3">
        <v>44776</v>
      </c>
      <c r="B1009" s="4">
        <v>0.73519675925925931</v>
      </c>
      <c r="C1009" s="1">
        <v>1637</v>
      </c>
      <c r="D1009" s="1">
        <v>13002595</v>
      </c>
      <c r="E1009" s="1">
        <v>13</v>
      </c>
      <c r="F1009" s="1">
        <v>22589</v>
      </c>
      <c r="G1009" s="1" t="s">
        <v>21</v>
      </c>
      <c r="H1009" s="1">
        <v>18</v>
      </c>
      <c r="I1009" s="1">
        <v>17182</v>
      </c>
      <c r="J1009" s="14" t="s">
        <v>162</v>
      </c>
      <c r="K1009" s="1" t="s">
        <v>117</v>
      </c>
      <c r="L1009" s="1" t="s">
        <v>163</v>
      </c>
      <c r="M1009" s="14">
        <v>1</v>
      </c>
      <c r="N1009" s="2">
        <v>525</v>
      </c>
      <c r="O1009" s="16">
        <v>678</v>
      </c>
      <c r="P1009" s="14">
        <v>0</v>
      </c>
      <c r="Q1009" s="14">
        <f t="shared" si="15"/>
        <v>678</v>
      </c>
      <c r="R1009" s="1" t="s">
        <v>25</v>
      </c>
      <c r="S1009" s="1" t="s">
        <v>25</v>
      </c>
      <c r="T1009" s="1">
        <v>29</v>
      </c>
      <c r="U1009" s="1">
        <v>1</v>
      </c>
      <c r="V1009" s="1">
        <v>1</v>
      </c>
    </row>
    <row r="1010" spans="1:22" x14ac:dyDescent="0.25">
      <c r="A1010" s="3">
        <v>44775</v>
      </c>
      <c r="B1010" s="4">
        <v>0.53684027777777776</v>
      </c>
      <c r="C1010" s="1">
        <v>1469</v>
      </c>
      <c r="D1010" s="1">
        <v>13002581</v>
      </c>
      <c r="E1010" s="1">
        <v>13</v>
      </c>
      <c r="F1010" s="1">
        <v>22589</v>
      </c>
      <c r="G1010" s="1" t="s">
        <v>21</v>
      </c>
      <c r="H1010" s="1">
        <v>15</v>
      </c>
      <c r="I1010" s="1">
        <v>30258</v>
      </c>
      <c r="J1010" s="14" t="s">
        <v>583</v>
      </c>
      <c r="K1010" s="1" t="s">
        <v>34</v>
      </c>
      <c r="L1010" s="1" t="s">
        <v>415</v>
      </c>
      <c r="M1010" s="14">
        <v>1</v>
      </c>
      <c r="N1010" s="2">
        <v>36.97</v>
      </c>
      <c r="O1010" s="16">
        <v>57</v>
      </c>
      <c r="P1010" s="14">
        <v>9.76</v>
      </c>
      <c r="Q1010" s="14">
        <f t="shared" si="15"/>
        <v>47.24</v>
      </c>
      <c r="R1010" s="1">
        <v>925</v>
      </c>
      <c r="S1010" s="1">
        <v>200000000492</v>
      </c>
      <c r="T1010" s="1">
        <v>29</v>
      </c>
      <c r="U1010" s="1">
        <v>1</v>
      </c>
      <c r="V1010" s="1">
        <v>1</v>
      </c>
    </row>
    <row r="1011" spans="1:22" x14ac:dyDescent="0.25">
      <c r="A1011" s="3">
        <v>44777</v>
      </c>
      <c r="B1011" s="4">
        <v>0.75555555555555554</v>
      </c>
      <c r="C1011" s="1">
        <v>1765</v>
      </c>
      <c r="D1011" s="1">
        <v>13002606</v>
      </c>
      <c r="E1011" s="1">
        <v>13</v>
      </c>
      <c r="F1011" s="1">
        <v>22589</v>
      </c>
      <c r="G1011" s="1" t="s">
        <v>21</v>
      </c>
      <c r="H1011" s="1">
        <v>18</v>
      </c>
      <c r="I1011" s="1">
        <v>26331</v>
      </c>
      <c r="J1011" s="14" t="s">
        <v>1061</v>
      </c>
      <c r="K1011" s="1" t="s">
        <v>29</v>
      </c>
      <c r="L1011" s="1" t="s">
        <v>355</v>
      </c>
      <c r="M1011" s="14">
        <v>1</v>
      </c>
      <c r="N1011" s="2">
        <v>787.59</v>
      </c>
      <c r="O1011" s="16">
        <v>869</v>
      </c>
      <c r="P1011" s="14">
        <v>26</v>
      </c>
      <c r="Q1011" s="14">
        <f t="shared" si="15"/>
        <v>843</v>
      </c>
      <c r="R1011" s="1">
        <v>9</v>
      </c>
      <c r="S1011" s="1">
        <v>200010012137</v>
      </c>
      <c r="T1011" s="1">
        <v>50</v>
      </c>
      <c r="U1011" s="1">
        <v>1</v>
      </c>
      <c r="V1011" s="1">
        <v>1</v>
      </c>
    </row>
    <row r="1012" spans="1:22" x14ac:dyDescent="0.25">
      <c r="A1012" s="3">
        <v>44774</v>
      </c>
      <c r="B1012" s="4">
        <v>0.63282407407407404</v>
      </c>
      <c r="C1012" s="1">
        <v>1366</v>
      </c>
      <c r="D1012" s="1">
        <v>13002561</v>
      </c>
      <c r="E1012" s="1">
        <v>13</v>
      </c>
      <c r="F1012" s="1">
        <v>22589</v>
      </c>
      <c r="G1012" s="1" t="s">
        <v>21</v>
      </c>
      <c r="H1012" s="1">
        <v>18</v>
      </c>
      <c r="I1012" s="1">
        <v>9380</v>
      </c>
      <c r="J1012" s="14" t="s">
        <v>354</v>
      </c>
      <c r="K1012" s="1" t="s">
        <v>23</v>
      </c>
      <c r="L1012" s="1" t="s">
        <v>355</v>
      </c>
      <c r="M1012" s="14">
        <v>1</v>
      </c>
      <c r="N1012" s="2">
        <v>894</v>
      </c>
      <c r="O1012" s="16">
        <v>996.23</v>
      </c>
      <c r="P1012" s="14">
        <v>0</v>
      </c>
      <c r="Q1012" s="14">
        <f t="shared" si="15"/>
        <v>996.23</v>
      </c>
      <c r="R1012" s="1" t="s">
        <v>25</v>
      </c>
      <c r="S1012" s="1" t="s">
        <v>25</v>
      </c>
      <c r="T1012" s="1">
        <v>29</v>
      </c>
      <c r="U1012" s="1">
        <v>1</v>
      </c>
      <c r="V1012" s="1">
        <v>1</v>
      </c>
    </row>
    <row r="1013" spans="1:22" x14ac:dyDescent="0.25">
      <c r="A1013" s="3">
        <v>44777</v>
      </c>
      <c r="B1013" s="4">
        <v>0.61534722222222227</v>
      </c>
      <c r="C1013" s="1">
        <v>1735</v>
      </c>
      <c r="D1013" s="1">
        <v>13002606</v>
      </c>
      <c r="E1013" s="1">
        <v>13</v>
      </c>
      <c r="F1013" s="1">
        <v>22589</v>
      </c>
      <c r="G1013" s="1" t="s">
        <v>21</v>
      </c>
      <c r="H1013" s="1">
        <v>18</v>
      </c>
      <c r="I1013" s="1">
        <v>11353</v>
      </c>
      <c r="J1013" s="14" t="s">
        <v>1030</v>
      </c>
      <c r="K1013" s="1" t="s">
        <v>48</v>
      </c>
      <c r="L1013" s="1" t="s">
        <v>1031</v>
      </c>
      <c r="M1013" s="14">
        <v>1</v>
      </c>
      <c r="N1013" s="2">
        <v>367.8</v>
      </c>
      <c r="O1013" s="16">
        <v>486</v>
      </c>
      <c r="P1013" s="14">
        <v>34</v>
      </c>
      <c r="Q1013" s="14">
        <f t="shared" si="15"/>
        <v>452</v>
      </c>
      <c r="R1013" s="1">
        <v>9</v>
      </c>
      <c r="S1013" s="1">
        <v>200010023896</v>
      </c>
      <c r="T1013" s="1">
        <v>50</v>
      </c>
      <c r="U1013" s="1">
        <v>1</v>
      </c>
      <c r="V1013" s="1">
        <v>1</v>
      </c>
    </row>
    <row r="1014" spans="1:22" x14ac:dyDescent="0.25">
      <c r="A1014" s="3">
        <v>44775</v>
      </c>
      <c r="B1014" s="4">
        <v>0.52878472222222217</v>
      </c>
      <c r="C1014" s="1">
        <v>1467</v>
      </c>
      <c r="D1014" s="1">
        <v>13002581</v>
      </c>
      <c r="E1014" s="1">
        <v>13</v>
      </c>
      <c r="F1014" s="1">
        <v>22589</v>
      </c>
      <c r="G1014" s="1" t="s">
        <v>21</v>
      </c>
      <c r="H1014" s="1">
        <v>18</v>
      </c>
      <c r="I1014" s="1">
        <v>9659</v>
      </c>
      <c r="J1014" s="14" t="s">
        <v>579</v>
      </c>
      <c r="K1014" s="1" t="s">
        <v>51</v>
      </c>
      <c r="L1014" s="1" t="s">
        <v>580</v>
      </c>
      <c r="M1014" s="14">
        <v>1</v>
      </c>
      <c r="N1014" s="2">
        <v>432.5</v>
      </c>
      <c r="O1014" s="16">
        <v>571</v>
      </c>
      <c r="P1014" s="14">
        <v>39</v>
      </c>
      <c r="Q1014" s="14">
        <f t="shared" si="15"/>
        <v>532</v>
      </c>
      <c r="R1014" s="1">
        <v>9</v>
      </c>
      <c r="S1014" s="1">
        <v>200010026823</v>
      </c>
      <c r="T1014" s="1">
        <v>29</v>
      </c>
      <c r="U1014" s="1">
        <v>1</v>
      </c>
      <c r="V1014" s="1">
        <v>1</v>
      </c>
    </row>
    <row r="1015" spans="1:22" x14ac:dyDescent="0.25">
      <c r="A1015" s="3">
        <v>44777</v>
      </c>
      <c r="B1015" s="4">
        <v>0.54312499999999997</v>
      </c>
      <c r="C1015" s="1">
        <v>1713</v>
      </c>
      <c r="D1015" s="1">
        <v>13002606</v>
      </c>
      <c r="E1015" s="1">
        <v>13</v>
      </c>
      <c r="F1015" s="1">
        <v>22589</v>
      </c>
      <c r="G1015" s="1" t="s">
        <v>21</v>
      </c>
      <c r="H1015" s="1">
        <v>15</v>
      </c>
      <c r="I1015" s="1">
        <v>40051</v>
      </c>
      <c r="J1015" s="14" t="s">
        <v>1000</v>
      </c>
      <c r="K1015" s="1" t="s">
        <v>51</v>
      </c>
      <c r="L1015" s="1" t="s">
        <v>1001</v>
      </c>
      <c r="M1015" s="14">
        <v>1</v>
      </c>
      <c r="N1015" s="2">
        <v>89.96</v>
      </c>
      <c r="O1015" s="16">
        <v>142</v>
      </c>
      <c r="P1015" s="14">
        <v>14</v>
      </c>
      <c r="Q1015" s="14">
        <f t="shared" si="15"/>
        <v>128</v>
      </c>
      <c r="R1015" s="1">
        <v>9</v>
      </c>
      <c r="S1015" s="1">
        <v>200010014179</v>
      </c>
      <c r="T1015" s="1">
        <v>50</v>
      </c>
      <c r="U1015" s="1">
        <v>1</v>
      </c>
      <c r="V1015" s="1">
        <v>2</v>
      </c>
    </row>
    <row r="1016" spans="1:22" x14ac:dyDescent="0.25">
      <c r="A1016" s="3">
        <v>44777</v>
      </c>
      <c r="B1016" s="4">
        <v>0.60195601851851854</v>
      </c>
      <c r="C1016" s="1">
        <v>1729</v>
      </c>
      <c r="D1016" s="1">
        <v>13002606</v>
      </c>
      <c r="E1016" s="1">
        <v>13</v>
      </c>
      <c r="F1016" s="1">
        <v>22589</v>
      </c>
      <c r="G1016" s="1" t="s">
        <v>21</v>
      </c>
      <c r="H1016" s="1">
        <v>15</v>
      </c>
      <c r="I1016" s="1">
        <v>314695</v>
      </c>
      <c r="J1016" s="14" t="s">
        <v>1021</v>
      </c>
      <c r="K1016" s="1" t="s">
        <v>34</v>
      </c>
      <c r="L1016" s="1" t="s">
        <v>1022</v>
      </c>
      <c r="M1016" s="14">
        <v>0.33333332999999998</v>
      </c>
      <c r="N1016" s="2">
        <v>9306.5300000000007</v>
      </c>
      <c r="O1016" s="16">
        <v>10375</v>
      </c>
      <c r="P1016" s="14">
        <v>103.33</v>
      </c>
      <c r="Q1016" s="14">
        <f t="shared" si="15"/>
        <v>3355.0032987499999</v>
      </c>
      <c r="R1016" s="1">
        <v>9</v>
      </c>
      <c r="S1016" s="1">
        <v>200010021982</v>
      </c>
      <c r="T1016" s="1">
        <v>50</v>
      </c>
      <c r="U1016" s="1">
        <v>1</v>
      </c>
      <c r="V1016" s="1">
        <v>2</v>
      </c>
    </row>
    <row r="1017" spans="1:22" x14ac:dyDescent="0.25">
      <c r="A1017" s="3">
        <v>44774</v>
      </c>
      <c r="B1017" s="4">
        <v>0.47898148148148151</v>
      </c>
      <c r="C1017" s="1">
        <v>1308</v>
      </c>
      <c r="D1017" s="1">
        <v>13002561</v>
      </c>
      <c r="E1017" s="1">
        <v>13</v>
      </c>
      <c r="F1017" s="1">
        <v>22589</v>
      </c>
      <c r="G1017" s="1" t="s">
        <v>21</v>
      </c>
      <c r="H1017" s="1">
        <v>18</v>
      </c>
      <c r="I1017" s="1">
        <v>423216</v>
      </c>
      <c r="J1017" s="14" t="s">
        <v>178</v>
      </c>
      <c r="K1017" s="1" t="s">
        <v>51</v>
      </c>
      <c r="L1017" s="1" t="s">
        <v>179</v>
      </c>
      <c r="M1017" s="14">
        <v>1</v>
      </c>
      <c r="N1017" s="2">
        <v>275.52</v>
      </c>
      <c r="O1017" s="16">
        <v>419</v>
      </c>
      <c r="P1017" s="14">
        <v>62</v>
      </c>
      <c r="Q1017" s="14">
        <f t="shared" si="15"/>
        <v>357</v>
      </c>
      <c r="R1017" s="1">
        <v>27</v>
      </c>
      <c r="S1017" s="1">
        <v>200010000015</v>
      </c>
      <c r="T1017" s="1">
        <v>29</v>
      </c>
      <c r="U1017" s="1">
        <v>1</v>
      </c>
      <c r="V1017" s="1">
        <v>1</v>
      </c>
    </row>
    <row r="1018" spans="1:22" x14ac:dyDescent="0.25">
      <c r="A1018" s="3">
        <v>44776</v>
      </c>
      <c r="B1018" s="4">
        <v>0.77738425925925925</v>
      </c>
      <c r="C1018" s="1">
        <v>1647</v>
      </c>
      <c r="D1018" s="1">
        <v>13002595</v>
      </c>
      <c r="E1018" s="1">
        <v>13</v>
      </c>
      <c r="F1018" s="1">
        <v>22589</v>
      </c>
      <c r="G1018" s="1" t="s">
        <v>21</v>
      </c>
      <c r="H1018" s="1">
        <v>18</v>
      </c>
      <c r="I1018" s="1">
        <v>132407</v>
      </c>
      <c r="J1018" s="14" t="s">
        <v>909</v>
      </c>
      <c r="K1018" s="1" t="s">
        <v>45</v>
      </c>
      <c r="L1018" s="1" t="s">
        <v>895</v>
      </c>
      <c r="M1018" s="14">
        <v>1</v>
      </c>
      <c r="N1018" s="2">
        <v>574.48</v>
      </c>
      <c r="O1018" s="16">
        <v>742</v>
      </c>
      <c r="P1018" s="14">
        <v>0</v>
      </c>
      <c r="Q1018" s="14">
        <f t="shared" si="15"/>
        <v>742</v>
      </c>
      <c r="R1018" s="1" t="s">
        <v>25</v>
      </c>
      <c r="S1018" s="1" t="s">
        <v>25</v>
      </c>
      <c r="T1018" s="1">
        <v>29</v>
      </c>
      <c r="U1018" s="1">
        <v>1</v>
      </c>
      <c r="V1018" s="1">
        <v>1</v>
      </c>
    </row>
    <row r="1019" spans="1:22" x14ac:dyDescent="0.25">
      <c r="A1019" s="3">
        <v>44775</v>
      </c>
      <c r="B1019" s="4">
        <v>0.6083912037037037</v>
      </c>
      <c r="C1019" s="1">
        <v>1481</v>
      </c>
      <c r="D1019" s="1">
        <v>13002581</v>
      </c>
      <c r="E1019" s="1">
        <v>13</v>
      </c>
      <c r="F1019" s="1">
        <v>22589</v>
      </c>
      <c r="G1019" s="1" t="s">
        <v>21</v>
      </c>
      <c r="H1019" s="1">
        <v>15</v>
      </c>
      <c r="I1019" s="1">
        <v>339753</v>
      </c>
      <c r="J1019" s="14" t="s">
        <v>615</v>
      </c>
      <c r="K1019" s="1" t="s">
        <v>51</v>
      </c>
      <c r="L1019" s="1" t="s">
        <v>218</v>
      </c>
      <c r="M1019" s="14">
        <v>1</v>
      </c>
      <c r="N1019" s="2">
        <v>25.77</v>
      </c>
      <c r="O1019" s="16">
        <v>32</v>
      </c>
      <c r="P1019" s="14">
        <v>0</v>
      </c>
      <c r="Q1019" s="14">
        <f t="shared" si="15"/>
        <v>32</v>
      </c>
      <c r="R1019" s="1" t="s">
        <v>25</v>
      </c>
      <c r="S1019" s="1" t="s">
        <v>25</v>
      </c>
      <c r="T1019" s="1">
        <v>29</v>
      </c>
      <c r="U1019" s="1">
        <v>1</v>
      </c>
      <c r="V1019" s="1">
        <v>6</v>
      </c>
    </row>
    <row r="1020" spans="1:22" x14ac:dyDescent="0.25">
      <c r="A1020" s="3">
        <v>44775</v>
      </c>
      <c r="B1020" s="4">
        <v>0.6083912037037037</v>
      </c>
      <c r="C1020" s="1">
        <v>1481</v>
      </c>
      <c r="D1020" s="1">
        <v>13002581</v>
      </c>
      <c r="E1020" s="1">
        <v>13</v>
      </c>
      <c r="F1020" s="1">
        <v>22589</v>
      </c>
      <c r="G1020" s="1" t="s">
        <v>21</v>
      </c>
      <c r="H1020" s="1">
        <v>15</v>
      </c>
      <c r="I1020" s="1">
        <v>339753</v>
      </c>
      <c r="J1020" s="14" t="s">
        <v>615</v>
      </c>
      <c r="K1020" s="1" t="s">
        <v>51</v>
      </c>
      <c r="L1020" s="1" t="s">
        <v>218</v>
      </c>
      <c r="M1020" s="14">
        <v>1</v>
      </c>
      <c r="N1020" s="2">
        <v>25.77</v>
      </c>
      <c r="O1020" s="16">
        <v>32</v>
      </c>
      <c r="P1020" s="14">
        <v>0</v>
      </c>
      <c r="Q1020" s="14">
        <f t="shared" si="15"/>
        <v>32</v>
      </c>
      <c r="R1020" s="1" t="s">
        <v>25</v>
      </c>
      <c r="S1020" s="1" t="s">
        <v>25</v>
      </c>
      <c r="T1020" s="1">
        <v>29</v>
      </c>
      <c r="U1020" s="1">
        <v>1</v>
      </c>
      <c r="V1020" s="1">
        <v>7</v>
      </c>
    </row>
    <row r="1021" spans="1:22" x14ac:dyDescent="0.25">
      <c r="A1021" s="3">
        <v>44776</v>
      </c>
      <c r="B1021" s="4">
        <v>0.50604166666666661</v>
      </c>
      <c r="C1021" s="1">
        <v>1575</v>
      </c>
      <c r="D1021" s="1">
        <v>13002595</v>
      </c>
      <c r="E1021" s="1">
        <v>13</v>
      </c>
      <c r="F1021" s="1">
        <v>22589</v>
      </c>
      <c r="G1021" s="1" t="s">
        <v>21</v>
      </c>
      <c r="H1021" s="1">
        <v>18</v>
      </c>
      <c r="I1021" s="1">
        <v>124493</v>
      </c>
      <c r="J1021" s="14" t="s">
        <v>785</v>
      </c>
      <c r="K1021" s="1" t="s">
        <v>466</v>
      </c>
      <c r="L1021" s="1" t="s">
        <v>276</v>
      </c>
      <c r="M1021" s="14">
        <v>1</v>
      </c>
      <c r="N1021" s="2">
        <v>886.16</v>
      </c>
      <c r="O1021" s="16">
        <v>928</v>
      </c>
      <c r="P1021" s="14">
        <v>0</v>
      </c>
      <c r="Q1021" s="14">
        <f t="shared" si="15"/>
        <v>928</v>
      </c>
      <c r="R1021" s="1" t="s">
        <v>25</v>
      </c>
      <c r="S1021" s="1" t="s">
        <v>25</v>
      </c>
      <c r="T1021" s="1">
        <v>29</v>
      </c>
      <c r="U1021" s="1">
        <v>2</v>
      </c>
      <c r="V1021" s="1">
        <v>12</v>
      </c>
    </row>
    <row r="1022" spans="1:22" x14ac:dyDescent="0.25">
      <c r="A1022" s="3">
        <v>44776</v>
      </c>
      <c r="B1022" s="4">
        <v>0.50604166666666661</v>
      </c>
      <c r="C1022" s="1">
        <v>1575</v>
      </c>
      <c r="D1022" s="1">
        <v>13002595</v>
      </c>
      <c r="E1022" s="1">
        <v>13</v>
      </c>
      <c r="F1022" s="1">
        <v>22589</v>
      </c>
      <c r="G1022" s="1" t="s">
        <v>21</v>
      </c>
      <c r="H1022" s="1">
        <v>18</v>
      </c>
      <c r="I1022" s="1">
        <v>124404</v>
      </c>
      <c r="J1022" s="14" t="s">
        <v>784</v>
      </c>
      <c r="K1022" s="1" t="s">
        <v>466</v>
      </c>
      <c r="L1022" s="1" t="s">
        <v>276</v>
      </c>
      <c r="M1022" s="14">
        <v>1</v>
      </c>
      <c r="N1022" s="2">
        <v>643.61</v>
      </c>
      <c r="O1022" s="16">
        <v>674</v>
      </c>
      <c r="P1022" s="14">
        <v>0</v>
      </c>
      <c r="Q1022" s="14">
        <f t="shared" si="15"/>
        <v>674</v>
      </c>
      <c r="R1022" s="1" t="s">
        <v>25</v>
      </c>
      <c r="S1022" s="1" t="s">
        <v>25</v>
      </c>
      <c r="T1022" s="1">
        <v>29</v>
      </c>
      <c r="U1022" s="1">
        <v>2</v>
      </c>
      <c r="V1022" s="1">
        <v>13</v>
      </c>
    </row>
    <row r="1023" spans="1:22" x14ac:dyDescent="0.25">
      <c r="A1023" s="3">
        <v>44776</v>
      </c>
      <c r="B1023" s="4">
        <v>0.6196990740740741</v>
      </c>
      <c r="C1023" s="1">
        <v>1613</v>
      </c>
      <c r="D1023" s="1">
        <v>13002595</v>
      </c>
      <c r="E1023" s="1">
        <v>13</v>
      </c>
      <c r="F1023" s="1">
        <v>22589</v>
      </c>
      <c r="G1023" s="1" t="s">
        <v>21</v>
      </c>
      <c r="H1023" s="1">
        <v>15</v>
      </c>
      <c r="I1023" s="1">
        <v>124404</v>
      </c>
      <c r="J1023" s="14" t="s">
        <v>784</v>
      </c>
      <c r="K1023" s="1" t="s">
        <v>23</v>
      </c>
      <c r="L1023" s="1" t="s">
        <v>276</v>
      </c>
      <c r="M1023" s="14">
        <v>1</v>
      </c>
      <c r="N1023" s="2">
        <v>611.12</v>
      </c>
      <c r="O1023" s="16">
        <v>789</v>
      </c>
      <c r="P1023" s="14">
        <v>55</v>
      </c>
      <c r="Q1023" s="14">
        <f t="shared" si="15"/>
        <v>734</v>
      </c>
      <c r="R1023" s="1">
        <v>9</v>
      </c>
      <c r="S1023" s="1">
        <v>200010015892</v>
      </c>
      <c r="T1023" s="1">
        <v>29</v>
      </c>
      <c r="U1023" s="1">
        <v>1</v>
      </c>
      <c r="V1023" s="1">
        <v>1</v>
      </c>
    </row>
    <row r="1024" spans="1:22" x14ac:dyDescent="0.25">
      <c r="A1024" s="3">
        <v>44778</v>
      </c>
      <c r="B1024" s="4">
        <v>0.53781250000000003</v>
      </c>
      <c r="C1024" s="1">
        <v>1841</v>
      </c>
      <c r="D1024" s="1">
        <v>13002616</v>
      </c>
      <c r="E1024" s="1">
        <v>13</v>
      </c>
      <c r="F1024" s="1">
        <v>22589</v>
      </c>
      <c r="G1024" s="1" t="s">
        <v>21</v>
      </c>
      <c r="H1024" s="1">
        <v>18</v>
      </c>
      <c r="I1024" s="1">
        <v>606425</v>
      </c>
      <c r="J1024" s="14" t="s">
        <v>1141</v>
      </c>
      <c r="K1024" s="1" t="s">
        <v>64</v>
      </c>
      <c r="L1024" s="1" t="s">
        <v>97</v>
      </c>
      <c r="M1024" s="14">
        <v>1</v>
      </c>
      <c r="N1024" s="2">
        <v>31.92</v>
      </c>
      <c r="O1024" s="16">
        <v>52</v>
      </c>
      <c r="P1024" s="14">
        <v>0</v>
      </c>
      <c r="Q1024" s="14">
        <f t="shared" si="15"/>
        <v>52</v>
      </c>
      <c r="R1024" s="1" t="s">
        <v>25</v>
      </c>
      <c r="S1024" s="1" t="s">
        <v>25</v>
      </c>
      <c r="T1024" s="1">
        <v>50</v>
      </c>
      <c r="U1024" s="1">
        <v>1</v>
      </c>
      <c r="V1024" s="1">
        <v>1</v>
      </c>
    </row>
    <row r="1025" spans="1:22" x14ac:dyDescent="0.25">
      <c r="A1025" s="3">
        <v>44774</v>
      </c>
      <c r="B1025" s="4">
        <v>0.48420138888888886</v>
      </c>
      <c r="C1025" s="1">
        <v>1310</v>
      </c>
      <c r="D1025" s="1">
        <v>13002561</v>
      </c>
      <c r="E1025" s="1">
        <v>13</v>
      </c>
      <c r="F1025" s="1">
        <v>22589</v>
      </c>
      <c r="G1025" s="1" t="s">
        <v>21</v>
      </c>
      <c r="H1025" s="1">
        <v>18</v>
      </c>
      <c r="I1025" s="1">
        <v>3364</v>
      </c>
      <c r="J1025" s="14" t="s">
        <v>183</v>
      </c>
      <c r="K1025" s="1" t="s">
        <v>23</v>
      </c>
      <c r="L1025" s="1" t="s">
        <v>184</v>
      </c>
      <c r="M1025" s="14">
        <v>1</v>
      </c>
      <c r="N1025" s="2">
        <v>504.19</v>
      </c>
      <c r="O1025" s="16">
        <v>651</v>
      </c>
      <c r="P1025" s="14">
        <v>0</v>
      </c>
      <c r="Q1025" s="14">
        <f t="shared" si="15"/>
        <v>651</v>
      </c>
      <c r="R1025" s="1" t="s">
        <v>25</v>
      </c>
      <c r="S1025" s="1" t="s">
        <v>25</v>
      </c>
      <c r="T1025" s="1">
        <v>29</v>
      </c>
      <c r="U1025" s="1">
        <v>1</v>
      </c>
      <c r="V1025" s="1">
        <v>2</v>
      </c>
    </row>
    <row r="1026" spans="1:22" x14ac:dyDescent="0.25">
      <c r="A1026" s="3">
        <v>44777</v>
      </c>
      <c r="B1026" s="4">
        <v>0.60395833333333337</v>
      </c>
      <c r="C1026" s="1">
        <v>1731</v>
      </c>
      <c r="D1026" s="1">
        <v>13002606</v>
      </c>
      <c r="E1026" s="1">
        <v>13</v>
      </c>
      <c r="F1026" s="1">
        <v>22589</v>
      </c>
      <c r="G1026" s="1" t="s">
        <v>21</v>
      </c>
      <c r="H1026" s="1">
        <v>15</v>
      </c>
      <c r="I1026" s="1">
        <v>444657</v>
      </c>
      <c r="J1026" s="14" t="s">
        <v>1024</v>
      </c>
      <c r="K1026" s="1" t="s">
        <v>23</v>
      </c>
      <c r="L1026" s="1" t="s">
        <v>802</v>
      </c>
      <c r="M1026" s="14">
        <v>1</v>
      </c>
      <c r="N1026" s="2">
        <v>44.5</v>
      </c>
      <c r="O1026" s="16">
        <v>68</v>
      </c>
      <c r="P1026" s="14">
        <v>4</v>
      </c>
      <c r="Q1026" s="14">
        <f t="shared" ref="Q1026:Q1089" si="16">M1026*O1026-P1026</f>
        <v>64</v>
      </c>
      <c r="R1026" s="1">
        <v>9</v>
      </c>
      <c r="S1026" s="1">
        <v>200010023898</v>
      </c>
      <c r="T1026" s="1">
        <v>50</v>
      </c>
      <c r="U1026" s="1">
        <v>1</v>
      </c>
      <c r="V1026" s="1">
        <v>4</v>
      </c>
    </row>
    <row r="1027" spans="1:22" x14ac:dyDescent="0.25">
      <c r="A1027" s="3">
        <v>44774</v>
      </c>
      <c r="B1027" s="4">
        <v>0.44601851851851854</v>
      </c>
      <c r="C1027" s="1">
        <v>1296</v>
      </c>
      <c r="D1027" s="1">
        <v>13002561</v>
      </c>
      <c r="E1027" s="1">
        <v>13</v>
      </c>
      <c r="F1027" s="1">
        <v>22589</v>
      </c>
      <c r="G1027" s="1" t="s">
        <v>21</v>
      </c>
      <c r="H1027" s="1">
        <v>15</v>
      </c>
      <c r="I1027" s="1">
        <v>74670</v>
      </c>
      <c r="J1027" s="14" t="s">
        <v>126</v>
      </c>
      <c r="K1027" s="1" t="s">
        <v>84</v>
      </c>
      <c r="L1027" s="1" t="s">
        <v>127</v>
      </c>
      <c r="M1027" s="14">
        <v>1</v>
      </c>
      <c r="N1027" s="2">
        <v>93.55</v>
      </c>
      <c r="O1027" s="16">
        <v>133</v>
      </c>
      <c r="P1027" s="14">
        <v>9</v>
      </c>
      <c r="Q1027" s="14">
        <f t="shared" si="16"/>
        <v>124</v>
      </c>
      <c r="R1027" s="1">
        <v>9</v>
      </c>
      <c r="S1027" s="1">
        <v>200010007414</v>
      </c>
      <c r="T1027" s="1">
        <v>29</v>
      </c>
      <c r="U1027" s="1">
        <v>1</v>
      </c>
      <c r="V1027" s="1">
        <v>4</v>
      </c>
    </row>
    <row r="1028" spans="1:22" x14ac:dyDescent="0.25">
      <c r="A1028" s="3">
        <v>44775</v>
      </c>
      <c r="B1028" s="4">
        <v>0.41516203703703702</v>
      </c>
      <c r="C1028" s="1">
        <v>1430</v>
      </c>
      <c r="D1028" s="1">
        <v>13002581</v>
      </c>
      <c r="E1028" s="1">
        <v>13</v>
      </c>
      <c r="F1028" s="1">
        <v>22589</v>
      </c>
      <c r="G1028" s="1" t="s">
        <v>21</v>
      </c>
      <c r="H1028" s="1">
        <v>15</v>
      </c>
      <c r="I1028" s="1">
        <v>5225</v>
      </c>
      <c r="J1028" s="14" t="s">
        <v>510</v>
      </c>
      <c r="K1028" s="1" t="s">
        <v>23</v>
      </c>
      <c r="L1028" s="1" t="s">
        <v>511</v>
      </c>
      <c r="M1028" s="14">
        <v>1</v>
      </c>
      <c r="N1028" s="2">
        <v>562.1</v>
      </c>
      <c r="O1028" s="16">
        <v>726</v>
      </c>
      <c r="P1028" s="14">
        <v>50</v>
      </c>
      <c r="Q1028" s="14">
        <f t="shared" si="16"/>
        <v>676</v>
      </c>
      <c r="R1028" s="1">
        <v>9</v>
      </c>
      <c r="S1028" s="1">
        <v>200010022582</v>
      </c>
      <c r="T1028" s="1">
        <v>29</v>
      </c>
      <c r="U1028" s="1">
        <v>1</v>
      </c>
      <c r="V1028" s="1">
        <v>1</v>
      </c>
    </row>
    <row r="1029" spans="1:22" x14ac:dyDescent="0.25">
      <c r="A1029" s="3">
        <v>44775</v>
      </c>
      <c r="B1029" s="4">
        <v>0.57376157407407402</v>
      </c>
      <c r="C1029" s="1">
        <v>1477</v>
      </c>
      <c r="D1029" s="1">
        <v>13002581</v>
      </c>
      <c r="E1029" s="1">
        <v>13</v>
      </c>
      <c r="F1029" s="1">
        <v>22589</v>
      </c>
      <c r="G1029" s="1" t="s">
        <v>21</v>
      </c>
      <c r="H1029" s="1">
        <v>18</v>
      </c>
      <c r="I1029" s="1">
        <v>424540</v>
      </c>
      <c r="J1029" s="14" t="s">
        <v>602</v>
      </c>
      <c r="K1029" s="1" t="s">
        <v>51</v>
      </c>
      <c r="L1029" s="1" t="s">
        <v>76</v>
      </c>
      <c r="M1029" s="14">
        <v>1</v>
      </c>
      <c r="N1029" s="2">
        <v>185.89</v>
      </c>
      <c r="O1029" s="16">
        <v>255</v>
      </c>
      <c r="P1029" s="14">
        <v>0</v>
      </c>
      <c r="Q1029" s="14">
        <f t="shared" si="16"/>
        <v>255</v>
      </c>
      <c r="R1029" s="1" t="s">
        <v>25</v>
      </c>
      <c r="S1029" s="1" t="s">
        <v>25</v>
      </c>
      <c r="T1029" s="1">
        <v>29</v>
      </c>
      <c r="U1029" s="1">
        <v>1</v>
      </c>
      <c r="V1029" s="1">
        <v>7</v>
      </c>
    </row>
    <row r="1030" spans="1:22" x14ac:dyDescent="0.25">
      <c r="A1030" s="3">
        <v>44776</v>
      </c>
      <c r="B1030" s="4">
        <v>0.73725694444444445</v>
      </c>
      <c r="C1030" s="1">
        <v>1638</v>
      </c>
      <c r="D1030" s="1">
        <v>13002595</v>
      </c>
      <c r="E1030" s="1">
        <v>13</v>
      </c>
      <c r="F1030" s="1">
        <v>22589</v>
      </c>
      <c r="G1030" s="1" t="s">
        <v>21</v>
      </c>
      <c r="H1030" s="1">
        <v>18</v>
      </c>
      <c r="I1030" s="1">
        <v>84918</v>
      </c>
      <c r="J1030" s="14" t="s">
        <v>898</v>
      </c>
      <c r="K1030" s="1" t="s">
        <v>29</v>
      </c>
      <c r="L1030" s="1" t="s">
        <v>597</v>
      </c>
      <c r="M1030" s="14">
        <v>1</v>
      </c>
      <c r="N1030" s="2">
        <v>424.78</v>
      </c>
      <c r="O1030" s="16">
        <v>625</v>
      </c>
      <c r="P1030" s="14">
        <v>62</v>
      </c>
      <c r="Q1030" s="14">
        <f t="shared" si="16"/>
        <v>563</v>
      </c>
      <c r="R1030" s="1">
        <v>9</v>
      </c>
      <c r="S1030" s="1">
        <v>200010023527</v>
      </c>
      <c r="T1030" s="1">
        <v>29</v>
      </c>
      <c r="U1030" s="1">
        <v>1</v>
      </c>
      <c r="V1030" s="1">
        <v>3</v>
      </c>
    </row>
    <row r="1031" spans="1:22" x14ac:dyDescent="0.25">
      <c r="A1031" s="3">
        <v>44774</v>
      </c>
      <c r="B1031" s="4">
        <v>0.81616898148148154</v>
      </c>
      <c r="C1031" s="1">
        <v>1409</v>
      </c>
      <c r="D1031" s="1">
        <v>13002561</v>
      </c>
      <c r="E1031" s="1">
        <v>13</v>
      </c>
      <c r="F1031" s="1">
        <v>22589</v>
      </c>
      <c r="G1031" s="1" t="s">
        <v>21</v>
      </c>
      <c r="H1031" s="1">
        <v>18</v>
      </c>
      <c r="I1031" s="1">
        <v>21022</v>
      </c>
      <c r="J1031" s="14" t="s">
        <v>467</v>
      </c>
      <c r="K1031" s="1" t="s">
        <v>61</v>
      </c>
      <c r="L1031" s="1" t="s">
        <v>175</v>
      </c>
      <c r="M1031" s="14">
        <v>1</v>
      </c>
      <c r="N1031" s="2">
        <v>316.14</v>
      </c>
      <c r="O1031" s="16">
        <v>418</v>
      </c>
      <c r="P1031" s="14">
        <v>39.35</v>
      </c>
      <c r="Q1031" s="14">
        <f t="shared" si="16"/>
        <v>378.65</v>
      </c>
      <c r="R1031" s="1">
        <v>925</v>
      </c>
      <c r="S1031" s="1">
        <v>200000000492</v>
      </c>
      <c r="T1031" s="1">
        <v>29</v>
      </c>
      <c r="U1031" s="1">
        <v>1</v>
      </c>
      <c r="V1031" s="1">
        <v>1</v>
      </c>
    </row>
    <row r="1032" spans="1:22" x14ac:dyDescent="0.25">
      <c r="A1032" s="3">
        <v>44775</v>
      </c>
      <c r="B1032" s="4">
        <v>0.57376157407407402</v>
      </c>
      <c r="C1032" s="1">
        <v>1477</v>
      </c>
      <c r="D1032" s="1">
        <v>13002581</v>
      </c>
      <c r="E1032" s="1">
        <v>13</v>
      </c>
      <c r="F1032" s="1">
        <v>22589</v>
      </c>
      <c r="G1032" s="1" t="s">
        <v>21</v>
      </c>
      <c r="H1032" s="1">
        <v>18</v>
      </c>
      <c r="I1032" s="1">
        <v>27580</v>
      </c>
      <c r="J1032" s="14" t="s">
        <v>605</v>
      </c>
      <c r="K1032" s="1" t="s">
        <v>29</v>
      </c>
      <c r="L1032" s="1" t="s">
        <v>394</v>
      </c>
      <c r="M1032" s="14">
        <v>0.25</v>
      </c>
      <c r="N1032" s="2">
        <v>597.80999999999995</v>
      </c>
      <c r="O1032" s="16">
        <v>656</v>
      </c>
      <c r="P1032" s="14">
        <v>0</v>
      </c>
      <c r="Q1032" s="14">
        <f t="shared" si="16"/>
        <v>164</v>
      </c>
      <c r="R1032" s="1" t="s">
        <v>25</v>
      </c>
      <c r="S1032" s="1" t="s">
        <v>25</v>
      </c>
      <c r="T1032" s="1">
        <v>29</v>
      </c>
      <c r="U1032" s="1">
        <v>1</v>
      </c>
      <c r="V1032" s="1">
        <v>8</v>
      </c>
    </row>
    <row r="1033" spans="1:22" x14ac:dyDescent="0.25">
      <c r="A1033" s="3">
        <v>44776</v>
      </c>
      <c r="B1033" s="4">
        <v>0.36784722222222221</v>
      </c>
      <c r="C1033" s="1">
        <v>1542</v>
      </c>
      <c r="D1033" s="1">
        <v>13002595</v>
      </c>
      <c r="E1033" s="1">
        <v>13</v>
      </c>
      <c r="F1033" s="1">
        <v>22589</v>
      </c>
      <c r="G1033" s="1" t="s">
        <v>21</v>
      </c>
      <c r="H1033" s="1">
        <v>18</v>
      </c>
      <c r="I1033" s="1">
        <v>27580</v>
      </c>
      <c r="J1033" s="14" t="s">
        <v>605</v>
      </c>
      <c r="K1033" s="1" t="s">
        <v>29</v>
      </c>
      <c r="L1033" s="1" t="s">
        <v>394</v>
      </c>
      <c r="M1033" s="14">
        <v>0.25</v>
      </c>
      <c r="N1033" s="2">
        <v>597.80999999999995</v>
      </c>
      <c r="O1033" s="16">
        <v>656</v>
      </c>
      <c r="P1033" s="14">
        <v>4</v>
      </c>
      <c r="Q1033" s="14">
        <f t="shared" si="16"/>
        <v>160</v>
      </c>
      <c r="R1033" s="1">
        <v>9</v>
      </c>
      <c r="S1033" s="1">
        <v>200010015470</v>
      </c>
      <c r="T1033" s="1">
        <v>29</v>
      </c>
      <c r="U1033" s="1">
        <v>1</v>
      </c>
      <c r="V1033" s="1">
        <v>1</v>
      </c>
    </row>
    <row r="1034" spans="1:22" x14ac:dyDescent="0.25">
      <c r="A1034" s="3">
        <v>44774</v>
      </c>
      <c r="B1034" s="4">
        <v>0.52379629629629632</v>
      </c>
      <c r="C1034" s="1">
        <v>1327</v>
      </c>
      <c r="D1034" s="1">
        <v>13002561</v>
      </c>
      <c r="E1034" s="1">
        <v>13</v>
      </c>
      <c r="F1034" s="1">
        <v>22589</v>
      </c>
      <c r="G1034" s="1" t="s">
        <v>21</v>
      </c>
      <c r="H1034" s="1">
        <v>18</v>
      </c>
      <c r="I1034" s="1">
        <v>444920</v>
      </c>
      <c r="J1034" s="14" t="s">
        <v>250</v>
      </c>
      <c r="K1034" s="1" t="s">
        <v>51</v>
      </c>
      <c r="L1034" s="1" t="s">
        <v>49</v>
      </c>
      <c r="M1034" s="14">
        <v>1</v>
      </c>
      <c r="N1034" s="2">
        <v>19.61</v>
      </c>
      <c r="O1034" s="16">
        <v>25</v>
      </c>
      <c r="P1034" s="14">
        <v>0</v>
      </c>
      <c r="Q1034" s="14">
        <f t="shared" si="16"/>
        <v>25</v>
      </c>
      <c r="R1034" s="1" t="s">
        <v>25</v>
      </c>
      <c r="S1034" s="1" t="s">
        <v>25</v>
      </c>
      <c r="T1034" s="1">
        <v>29</v>
      </c>
      <c r="U1034" s="1">
        <v>1</v>
      </c>
      <c r="V1034" s="1">
        <v>5</v>
      </c>
    </row>
    <row r="1035" spans="1:22" x14ac:dyDescent="0.25">
      <c r="A1035" s="3">
        <v>44774</v>
      </c>
      <c r="B1035" s="4">
        <v>0.52379629629629632</v>
      </c>
      <c r="C1035" s="1">
        <v>1327</v>
      </c>
      <c r="D1035" s="1">
        <v>13002561</v>
      </c>
      <c r="E1035" s="1">
        <v>13</v>
      </c>
      <c r="F1035" s="1">
        <v>22589</v>
      </c>
      <c r="G1035" s="1" t="s">
        <v>21</v>
      </c>
      <c r="H1035" s="1">
        <v>18</v>
      </c>
      <c r="I1035" s="1">
        <v>444920</v>
      </c>
      <c r="J1035" s="14" t="s">
        <v>250</v>
      </c>
      <c r="K1035" s="1" t="s">
        <v>51</v>
      </c>
      <c r="L1035" s="1" t="s">
        <v>49</v>
      </c>
      <c r="M1035" s="14">
        <v>1</v>
      </c>
      <c r="N1035" s="2">
        <v>19.61</v>
      </c>
      <c r="O1035" s="16">
        <v>25</v>
      </c>
      <c r="P1035" s="14">
        <v>0</v>
      </c>
      <c r="Q1035" s="14">
        <f t="shared" si="16"/>
        <v>25</v>
      </c>
      <c r="R1035" s="1" t="s">
        <v>25</v>
      </c>
      <c r="S1035" s="1" t="s">
        <v>25</v>
      </c>
      <c r="T1035" s="1">
        <v>29</v>
      </c>
      <c r="U1035" s="1">
        <v>1</v>
      </c>
      <c r="V1035" s="1">
        <v>6</v>
      </c>
    </row>
    <row r="1036" spans="1:22" x14ac:dyDescent="0.25">
      <c r="A1036" s="3">
        <v>44776</v>
      </c>
      <c r="B1036" s="4">
        <v>0.34107638888888892</v>
      </c>
      <c r="C1036" s="1">
        <v>1539</v>
      </c>
      <c r="D1036" s="1">
        <v>13002595</v>
      </c>
      <c r="E1036" s="1">
        <v>13</v>
      </c>
      <c r="F1036" s="1">
        <v>22589</v>
      </c>
      <c r="G1036" s="1" t="s">
        <v>21</v>
      </c>
      <c r="H1036" s="1">
        <v>15</v>
      </c>
      <c r="I1036" s="1">
        <v>444920</v>
      </c>
      <c r="J1036" s="14" t="s">
        <v>250</v>
      </c>
      <c r="K1036" s="1" t="s">
        <v>51</v>
      </c>
      <c r="L1036" s="1" t="s">
        <v>49</v>
      </c>
      <c r="M1036" s="14">
        <v>1</v>
      </c>
      <c r="N1036" s="2">
        <v>19.61</v>
      </c>
      <c r="O1036" s="16">
        <v>25</v>
      </c>
      <c r="P1036" s="14">
        <v>0</v>
      </c>
      <c r="Q1036" s="14">
        <f t="shared" si="16"/>
        <v>25</v>
      </c>
      <c r="R1036" s="1" t="s">
        <v>25</v>
      </c>
      <c r="S1036" s="1" t="s">
        <v>25</v>
      </c>
      <c r="T1036" s="1">
        <v>29</v>
      </c>
      <c r="U1036" s="1">
        <v>1</v>
      </c>
      <c r="V1036" s="1">
        <v>3</v>
      </c>
    </row>
    <row r="1037" spans="1:22" x14ac:dyDescent="0.25">
      <c r="A1037" s="3">
        <v>44777</v>
      </c>
      <c r="B1037" s="4">
        <v>0.62900462962962966</v>
      </c>
      <c r="C1037" s="1">
        <v>1736</v>
      </c>
      <c r="D1037" s="1">
        <v>13002606</v>
      </c>
      <c r="E1037" s="1">
        <v>13</v>
      </c>
      <c r="F1037" s="1">
        <v>22589</v>
      </c>
      <c r="G1037" s="1" t="s">
        <v>21</v>
      </c>
      <c r="H1037" s="1">
        <v>15</v>
      </c>
      <c r="I1037" s="1">
        <v>444920</v>
      </c>
      <c r="J1037" s="14" t="s">
        <v>250</v>
      </c>
      <c r="K1037" s="1" t="s">
        <v>51</v>
      </c>
      <c r="L1037" s="1" t="s">
        <v>49</v>
      </c>
      <c r="M1037" s="14">
        <v>1</v>
      </c>
      <c r="N1037" s="2">
        <v>19.47</v>
      </c>
      <c r="O1037" s="16">
        <v>25</v>
      </c>
      <c r="P1037" s="14">
        <v>1</v>
      </c>
      <c r="Q1037" s="14">
        <f t="shared" si="16"/>
        <v>24</v>
      </c>
      <c r="R1037" s="1">
        <v>9</v>
      </c>
      <c r="S1037" s="1">
        <v>200010013015</v>
      </c>
      <c r="T1037" s="1">
        <v>50</v>
      </c>
      <c r="U1037" s="1">
        <v>1</v>
      </c>
      <c r="V1037" s="1">
        <v>6</v>
      </c>
    </row>
    <row r="1038" spans="1:22" x14ac:dyDescent="0.25">
      <c r="A1038" s="3">
        <v>44777</v>
      </c>
      <c r="B1038" s="4">
        <v>0.62900462962962966</v>
      </c>
      <c r="C1038" s="1">
        <v>1736</v>
      </c>
      <c r="D1038" s="1">
        <v>13002606</v>
      </c>
      <c r="E1038" s="1">
        <v>13</v>
      </c>
      <c r="F1038" s="1">
        <v>22589</v>
      </c>
      <c r="G1038" s="1" t="s">
        <v>21</v>
      </c>
      <c r="H1038" s="1">
        <v>15</v>
      </c>
      <c r="I1038" s="1">
        <v>444920</v>
      </c>
      <c r="J1038" s="14" t="s">
        <v>250</v>
      </c>
      <c r="K1038" s="1" t="s">
        <v>51</v>
      </c>
      <c r="L1038" s="1" t="s">
        <v>49</v>
      </c>
      <c r="M1038" s="14">
        <v>1</v>
      </c>
      <c r="N1038" s="2">
        <v>19.47</v>
      </c>
      <c r="O1038" s="16">
        <v>25</v>
      </c>
      <c r="P1038" s="14">
        <v>1</v>
      </c>
      <c r="Q1038" s="14">
        <f t="shared" si="16"/>
        <v>24</v>
      </c>
      <c r="R1038" s="1">
        <v>9</v>
      </c>
      <c r="S1038" s="1">
        <v>200010013015</v>
      </c>
      <c r="T1038" s="1">
        <v>50</v>
      </c>
      <c r="U1038" s="1">
        <v>1</v>
      </c>
      <c r="V1038" s="1">
        <v>7</v>
      </c>
    </row>
    <row r="1039" spans="1:22" x14ac:dyDescent="0.25">
      <c r="A1039" s="3">
        <v>44778</v>
      </c>
      <c r="B1039" s="4">
        <v>0.33399305555555553</v>
      </c>
      <c r="C1039" s="1">
        <v>1781</v>
      </c>
      <c r="D1039" s="1">
        <v>13002616</v>
      </c>
      <c r="E1039" s="1">
        <v>13</v>
      </c>
      <c r="F1039" s="1">
        <v>22589</v>
      </c>
      <c r="G1039" s="1" t="s">
        <v>21</v>
      </c>
      <c r="H1039" s="1">
        <v>15</v>
      </c>
      <c r="I1039" s="1">
        <v>444920</v>
      </c>
      <c r="J1039" s="14" t="s">
        <v>250</v>
      </c>
      <c r="K1039" s="1" t="s">
        <v>51</v>
      </c>
      <c r="L1039" s="1" t="s">
        <v>49</v>
      </c>
      <c r="M1039" s="14">
        <v>1</v>
      </c>
      <c r="N1039" s="2">
        <v>19.47</v>
      </c>
      <c r="O1039" s="16">
        <v>25</v>
      </c>
      <c r="P1039" s="14">
        <v>0</v>
      </c>
      <c r="Q1039" s="14">
        <f t="shared" si="16"/>
        <v>25</v>
      </c>
      <c r="R1039" s="1" t="s">
        <v>25</v>
      </c>
      <c r="S1039" s="1" t="s">
        <v>25</v>
      </c>
      <c r="T1039" s="1">
        <v>50</v>
      </c>
      <c r="U1039" s="1">
        <v>1</v>
      </c>
      <c r="V1039" s="1">
        <v>4</v>
      </c>
    </row>
    <row r="1040" spans="1:22" x14ac:dyDescent="0.25">
      <c r="A1040" s="3">
        <v>44778</v>
      </c>
      <c r="B1040" s="4">
        <v>0.33399305555555553</v>
      </c>
      <c r="C1040" s="1">
        <v>1781</v>
      </c>
      <c r="D1040" s="1">
        <v>13002616</v>
      </c>
      <c r="E1040" s="1">
        <v>13</v>
      </c>
      <c r="F1040" s="1">
        <v>22589</v>
      </c>
      <c r="G1040" s="1" t="s">
        <v>21</v>
      </c>
      <c r="H1040" s="1">
        <v>15</v>
      </c>
      <c r="I1040" s="1">
        <v>444920</v>
      </c>
      <c r="J1040" s="14" t="s">
        <v>250</v>
      </c>
      <c r="K1040" s="1" t="s">
        <v>51</v>
      </c>
      <c r="L1040" s="1" t="s">
        <v>49</v>
      </c>
      <c r="M1040" s="14">
        <v>1</v>
      </c>
      <c r="N1040" s="2">
        <v>19.47</v>
      </c>
      <c r="O1040" s="16">
        <v>25</v>
      </c>
      <c r="P1040" s="14">
        <v>0</v>
      </c>
      <c r="Q1040" s="14">
        <f t="shared" si="16"/>
        <v>25</v>
      </c>
      <c r="R1040" s="1" t="s">
        <v>25</v>
      </c>
      <c r="S1040" s="1" t="s">
        <v>25</v>
      </c>
      <c r="T1040" s="1">
        <v>50</v>
      </c>
      <c r="U1040" s="1">
        <v>1</v>
      </c>
      <c r="V1040" s="1">
        <v>5</v>
      </c>
    </row>
    <row r="1041" spans="1:22" x14ac:dyDescent="0.25">
      <c r="A1041" s="3">
        <v>44776</v>
      </c>
      <c r="B1041" s="4">
        <v>0.56376157407407412</v>
      </c>
      <c r="C1041" s="1">
        <v>1598</v>
      </c>
      <c r="D1041" s="1">
        <v>13002595</v>
      </c>
      <c r="E1041" s="1">
        <v>13</v>
      </c>
      <c r="F1041" s="1">
        <v>22589</v>
      </c>
      <c r="G1041" s="1" t="s">
        <v>21</v>
      </c>
      <c r="H1041" s="1">
        <v>15</v>
      </c>
      <c r="I1041" s="1">
        <v>434298</v>
      </c>
      <c r="J1041" s="14" t="s">
        <v>828</v>
      </c>
      <c r="K1041" s="1" t="s">
        <v>23</v>
      </c>
      <c r="L1041" s="1" t="s">
        <v>76</v>
      </c>
      <c r="M1041" s="14">
        <v>1</v>
      </c>
      <c r="N1041" s="2">
        <v>87.66</v>
      </c>
      <c r="O1041" s="16">
        <v>125</v>
      </c>
      <c r="P1041" s="14">
        <v>8</v>
      </c>
      <c r="Q1041" s="14">
        <f t="shared" si="16"/>
        <v>117</v>
      </c>
      <c r="R1041" s="1">
        <v>9</v>
      </c>
      <c r="S1041" s="1">
        <v>200010001803</v>
      </c>
      <c r="T1041" s="1">
        <v>29</v>
      </c>
      <c r="U1041" s="1">
        <v>1</v>
      </c>
      <c r="V1041" s="1">
        <v>5</v>
      </c>
    </row>
    <row r="1042" spans="1:22" x14ac:dyDescent="0.25">
      <c r="A1042" s="3">
        <v>44776</v>
      </c>
      <c r="B1042" s="4">
        <v>0.56376157407407412</v>
      </c>
      <c r="C1042" s="1">
        <v>1598</v>
      </c>
      <c r="D1042" s="1">
        <v>13002595</v>
      </c>
      <c r="E1042" s="1">
        <v>13</v>
      </c>
      <c r="F1042" s="1">
        <v>22589</v>
      </c>
      <c r="G1042" s="1" t="s">
        <v>21</v>
      </c>
      <c r="H1042" s="1">
        <v>15</v>
      </c>
      <c r="I1042" s="1">
        <v>434298</v>
      </c>
      <c r="J1042" s="14" t="s">
        <v>828</v>
      </c>
      <c r="K1042" s="1" t="s">
        <v>29</v>
      </c>
      <c r="L1042" s="1" t="s">
        <v>335</v>
      </c>
      <c r="M1042" s="14">
        <v>1</v>
      </c>
      <c r="N1042" s="2">
        <v>85.97</v>
      </c>
      <c r="O1042" s="16">
        <v>123</v>
      </c>
      <c r="P1042" s="14">
        <v>8</v>
      </c>
      <c r="Q1042" s="14">
        <f t="shared" si="16"/>
        <v>115</v>
      </c>
      <c r="R1042" s="1">
        <v>9</v>
      </c>
      <c r="S1042" s="1">
        <v>200010001803</v>
      </c>
      <c r="T1042" s="1">
        <v>29</v>
      </c>
      <c r="U1042" s="1">
        <v>1</v>
      </c>
      <c r="V1042" s="1">
        <v>6</v>
      </c>
    </row>
    <row r="1043" spans="1:22" x14ac:dyDescent="0.25">
      <c r="A1043" s="3">
        <v>44777</v>
      </c>
      <c r="B1043" s="4">
        <v>0.45702546296296298</v>
      </c>
      <c r="C1043" s="1">
        <v>1676</v>
      </c>
      <c r="D1043" s="1">
        <v>13002606</v>
      </c>
      <c r="E1043" s="1">
        <v>13</v>
      </c>
      <c r="F1043" s="1">
        <v>22589</v>
      </c>
      <c r="G1043" s="1" t="s">
        <v>21</v>
      </c>
      <c r="H1043" s="1">
        <v>15</v>
      </c>
      <c r="I1043" s="1">
        <v>434298</v>
      </c>
      <c r="J1043" s="14" t="s">
        <v>828</v>
      </c>
      <c r="K1043" s="1" t="s">
        <v>29</v>
      </c>
      <c r="L1043" s="1" t="s">
        <v>335</v>
      </c>
      <c r="M1043" s="14">
        <v>1</v>
      </c>
      <c r="N1043" s="2">
        <v>85.97</v>
      </c>
      <c r="O1043" s="16">
        <v>123</v>
      </c>
      <c r="P1043" s="14">
        <v>8</v>
      </c>
      <c r="Q1043" s="14">
        <f t="shared" si="16"/>
        <v>115</v>
      </c>
      <c r="R1043" s="1">
        <v>9</v>
      </c>
      <c r="S1043" s="1">
        <v>200010023943</v>
      </c>
      <c r="T1043" s="1">
        <v>50</v>
      </c>
      <c r="U1043" s="1">
        <v>1</v>
      </c>
      <c r="V1043" s="1">
        <v>4</v>
      </c>
    </row>
    <row r="1044" spans="1:22" x14ac:dyDescent="0.25">
      <c r="A1044" s="3">
        <v>44777</v>
      </c>
      <c r="B1044" s="4">
        <v>0.53077546296296296</v>
      </c>
      <c r="C1044" s="1">
        <v>1706</v>
      </c>
      <c r="D1044" s="1">
        <v>13002606</v>
      </c>
      <c r="E1044" s="1">
        <v>13</v>
      </c>
      <c r="F1044" s="1">
        <v>22589</v>
      </c>
      <c r="G1044" s="1" t="s">
        <v>21</v>
      </c>
      <c r="H1044" s="1">
        <v>15</v>
      </c>
      <c r="I1044" s="1">
        <v>434298</v>
      </c>
      <c r="J1044" s="14" t="s">
        <v>828</v>
      </c>
      <c r="K1044" s="1" t="s">
        <v>29</v>
      </c>
      <c r="L1044" s="1" t="s">
        <v>335</v>
      </c>
      <c r="M1044" s="14">
        <v>1</v>
      </c>
      <c r="N1044" s="2">
        <v>85.97</v>
      </c>
      <c r="O1044" s="16">
        <v>123</v>
      </c>
      <c r="P1044" s="14">
        <v>8</v>
      </c>
      <c r="Q1044" s="14">
        <f t="shared" si="16"/>
        <v>115</v>
      </c>
      <c r="R1044" s="1">
        <v>9</v>
      </c>
      <c r="S1044" s="1">
        <v>200010001054</v>
      </c>
      <c r="T1044" s="1">
        <v>50</v>
      </c>
      <c r="U1044" s="1">
        <v>1</v>
      </c>
      <c r="V1044" s="1">
        <v>4</v>
      </c>
    </row>
    <row r="1045" spans="1:22" x14ac:dyDescent="0.25">
      <c r="A1045" s="3">
        <v>44777</v>
      </c>
      <c r="B1045" s="4">
        <v>0.53077546296296296</v>
      </c>
      <c r="C1045" s="1">
        <v>1706</v>
      </c>
      <c r="D1045" s="1">
        <v>13002606</v>
      </c>
      <c r="E1045" s="1">
        <v>13</v>
      </c>
      <c r="F1045" s="1">
        <v>22589</v>
      </c>
      <c r="G1045" s="1" t="s">
        <v>21</v>
      </c>
      <c r="H1045" s="1">
        <v>15</v>
      </c>
      <c r="I1045" s="1">
        <v>434298</v>
      </c>
      <c r="J1045" s="14" t="s">
        <v>828</v>
      </c>
      <c r="K1045" s="1" t="s">
        <v>29</v>
      </c>
      <c r="L1045" s="1" t="s">
        <v>335</v>
      </c>
      <c r="M1045" s="14">
        <v>1</v>
      </c>
      <c r="N1045" s="2">
        <v>85.97</v>
      </c>
      <c r="O1045" s="16">
        <v>123</v>
      </c>
      <c r="P1045" s="14">
        <v>8</v>
      </c>
      <c r="Q1045" s="14">
        <f t="shared" si="16"/>
        <v>115</v>
      </c>
      <c r="R1045" s="1">
        <v>9</v>
      </c>
      <c r="S1045" s="1">
        <v>200010001054</v>
      </c>
      <c r="T1045" s="1">
        <v>50</v>
      </c>
      <c r="U1045" s="1">
        <v>1</v>
      </c>
      <c r="V1045" s="1">
        <v>5</v>
      </c>
    </row>
    <row r="1046" spans="1:22" x14ac:dyDescent="0.25">
      <c r="A1046" s="3">
        <v>44778</v>
      </c>
      <c r="B1046" s="4">
        <v>0.65265046296296292</v>
      </c>
      <c r="C1046" s="1">
        <v>1868</v>
      </c>
      <c r="D1046" s="1">
        <v>13002616</v>
      </c>
      <c r="E1046" s="1">
        <v>13</v>
      </c>
      <c r="F1046" s="1">
        <v>22589</v>
      </c>
      <c r="G1046" s="1" t="s">
        <v>21</v>
      </c>
      <c r="H1046" s="1">
        <v>15</v>
      </c>
      <c r="I1046" s="1">
        <v>434298</v>
      </c>
      <c r="J1046" s="14" t="s">
        <v>828</v>
      </c>
      <c r="K1046" s="1" t="s">
        <v>29</v>
      </c>
      <c r="L1046" s="1" t="s">
        <v>335</v>
      </c>
      <c r="M1046" s="14">
        <v>1</v>
      </c>
      <c r="N1046" s="2">
        <v>85.97</v>
      </c>
      <c r="O1046" s="16">
        <v>123</v>
      </c>
      <c r="P1046" s="14">
        <v>8</v>
      </c>
      <c r="Q1046" s="14">
        <f t="shared" si="16"/>
        <v>115</v>
      </c>
      <c r="R1046" s="1">
        <v>9</v>
      </c>
      <c r="S1046" s="1">
        <v>200010014429</v>
      </c>
      <c r="T1046" s="1">
        <v>50</v>
      </c>
      <c r="U1046" s="1">
        <v>1</v>
      </c>
      <c r="V1046" s="1">
        <v>1</v>
      </c>
    </row>
    <row r="1047" spans="1:22" x14ac:dyDescent="0.25">
      <c r="A1047" s="3">
        <v>44776</v>
      </c>
      <c r="B1047" s="4">
        <v>0.75444444444444447</v>
      </c>
      <c r="C1047" s="1">
        <v>1641</v>
      </c>
      <c r="D1047" s="1">
        <v>13002595</v>
      </c>
      <c r="E1047" s="1">
        <v>13</v>
      </c>
      <c r="F1047" s="1">
        <v>22589</v>
      </c>
      <c r="G1047" s="1" t="s">
        <v>21</v>
      </c>
      <c r="H1047" s="1">
        <v>15</v>
      </c>
      <c r="I1047" s="1">
        <v>312498</v>
      </c>
      <c r="J1047" s="14" t="s">
        <v>901</v>
      </c>
      <c r="K1047" s="1" t="s">
        <v>51</v>
      </c>
      <c r="L1047" s="1" t="s">
        <v>35</v>
      </c>
      <c r="M1047" s="14">
        <v>1</v>
      </c>
      <c r="N1047" s="2">
        <v>432.72</v>
      </c>
      <c r="O1047" s="16">
        <v>572</v>
      </c>
      <c r="P1047" s="14">
        <v>40</v>
      </c>
      <c r="Q1047" s="14">
        <f t="shared" si="16"/>
        <v>532</v>
      </c>
      <c r="R1047" s="1">
        <v>9</v>
      </c>
      <c r="S1047" s="1">
        <v>200010009870</v>
      </c>
      <c r="T1047" s="1">
        <v>29</v>
      </c>
      <c r="U1047" s="1">
        <v>1</v>
      </c>
      <c r="V1047" s="1">
        <v>1</v>
      </c>
    </row>
    <row r="1048" spans="1:22" x14ac:dyDescent="0.25">
      <c r="A1048" s="3">
        <v>44774</v>
      </c>
      <c r="B1048" s="4">
        <v>0.45239583333333333</v>
      </c>
      <c r="C1048" s="1">
        <v>1299</v>
      </c>
      <c r="D1048" s="1">
        <v>13002561</v>
      </c>
      <c r="E1048" s="1">
        <v>13</v>
      </c>
      <c r="F1048" s="1">
        <v>22589</v>
      </c>
      <c r="G1048" s="1" t="s">
        <v>21</v>
      </c>
      <c r="H1048" s="1">
        <v>18</v>
      </c>
      <c r="I1048" s="1">
        <v>16407</v>
      </c>
      <c r="J1048" s="14" t="s">
        <v>152</v>
      </c>
      <c r="K1048" s="1" t="s">
        <v>51</v>
      </c>
      <c r="L1048" s="1" t="s">
        <v>153</v>
      </c>
      <c r="M1048" s="14">
        <v>1</v>
      </c>
      <c r="N1048" s="2">
        <v>135.54</v>
      </c>
      <c r="O1048" s="16">
        <v>211</v>
      </c>
      <c r="P1048" s="14">
        <v>21</v>
      </c>
      <c r="Q1048" s="14">
        <f t="shared" si="16"/>
        <v>190</v>
      </c>
      <c r="R1048" s="1">
        <v>9</v>
      </c>
      <c r="S1048" s="1">
        <v>200010023919</v>
      </c>
      <c r="T1048" s="1">
        <v>29</v>
      </c>
      <c r="U1048" s="1">
        <v>1</v>
      </c>
      <c r="V1048" s="1">
        <v>4</v>
      </c>
    </row>
    <row r="1049" spans="1:22" x14ac:dyDescent="0.25">
      <c r="A1049" s="3">
        <v>44775</v>
      </c>
      <c r="B1049" s="4">
        <v>0.41692129629629632</v>
      </c>
      <c r="C1049" s="1">
        <v>1431</v>
      </c>
      <c r="D1049" s="1">
        <v>13002581</v>
      </c>
      <c r="E1049" s="1">
        <v>13</v>
      </c>
      <c r="F1049" s="1">
        <v>22589</v>
      </c>
      <c r="G1049" s="1" t="s">
        <v>21</v>
      </c>
      <c r="H1049" s="1">
        <v>15</v>
      </c>
      <c r="I1049" s="1">
        <v>296315</v>
      </c>
      <c r="J1049" s="14" t="s">
        <v>514</v>
      </c>
      <c r="K1049" s="1" t="s">
        <v>64</v>
      </c>
      <c r="L1049" s="1" t="s">
        <v>515</v>
      </c>
      <c r="M1049" s="14">
        <v>1</v>
      </c>
      <c r="N1049" s="2">
        <v>33.08</v>
      </c>
      <c r="O1049" s="16">
        <v>54</v>
      </c>
      <c r="P1049" s="14">
        <v>5</v>
      </c>
      <c r="Q1049" s="14">
        <f t="shared" si="16"/>
        <v>49</v>
      </c>
      <c r="R1049" s="1">
        <v>9</v>
      </c>
      <c r="S1049" s="1">
        <v>200010018003</v>
      </c>
      <c r="T1049" s="1">
        <v>29</v>
      </c>
      <c r="U1049" s="1">
        <v>1</v>
      </c>
      <c r="V1049" s="1">
        <v>4</v>
      </c>
    </row>
    <row r="1050" spans="1:22" x14ac:dyDescent="0.25">
      <c r="A1050" s="3">
        <v>44778</v>
      </c>
      <c r="B1050" s="4">
        <v>0.54952546296296301</v>
      </c>
      <c r="C1050" s="1">
        <v>1842</v>
      </c>
      <c r="D1050" s="1">
        <v>13002616</v>
      </c>
      <c r="E1050" s="1">
        <v>13</v>
      </c>
      <c r="F1050" s="1">
        <v>22589</v>
      </c>
      <c r="G1050" s="1" t="s">
        <v>21</v>
      </c>
      <c r="H1050" s="1">
        <v>15</v>
      </c>
      <c r="I1050" s="1">
        <v>434796</v>
      </c>
      <c r="J1050" s="14" t="s">
        <v>1143</v>
      </c>
      <c r="K1050" s="1" t="s">
        <v>141</v>
      </c>
      <c r="L1050" s="1" t="s">
        <v>1144</v>
      </c>
      <c r="M1050" s="14">
        <v>1</v>
      </c>
      <c r="N1050" s="2">
        <v>85.03</v>
      </c>
      <c r="O1050" s="16">
        <v>121</v>
      </c>
      <c r="P1050" s="14">
        <v>8.34</v>
      </c>
      <c r="Q1050" s="14">
        <f t="shared" si="16"/>
        <v>112.66</v>
      </c>
      <c r="R1050" s="1">
        <v>9</v>
      </c>
      <c r="S1050" s="1">
        <v>200010006086</v>
      </c>
      <c r="T1050" s="1">
        <v>50</v>
      </c>
      <c r="U1050" s="1">
        <v>1</v>
      </c>
      <c r="V1050" s="1">
        <v>2</v>
      </c>
    </row>
    <row r="1051" spans="1:22" x14ac:dyDescent="0.25">
      <c r="A1051" s="3">
        <v>44778</v>
      </c>
      <c r="B1051" s="4">
        <v>0.54952546296296301</v>
      </c>
      <c r="C1051" s="1">
        <v>1842</v>
      </c>
      <c r="D1051" s="1">
        <v>13002616</v>
      </c>
      <c r="E1051" s="1">
        <v>13</v>
      </c>
      <c r="F1051" s="1">
        <v>22589</v>
      </c>
      <c r="G1051" s="1" t="s">
        <v>21</v>
      </c>
      <c r="H1051" s="1">
        <v>15</v>
      </c>
      <c r="I1051" s="1">
        <v>434796</v>
      </c>
      <c r="J1051" s="14" t="s">
        <v>1143</v>
      </c>
      <c r="K1051" s="1" t="s">
        <v>141</v>
      </c>
      <c r="L1051" s="1" t="s">
        <v>1144</v>
      </c>
      <c r="M1051" s="14">
        <v>2</v>
      </c>
      <c r="N1051" s="2">
        <v>85.03</v>
      </c>
      <c r="O1051" s="16">
        <v>121</v>
      </c>
      <c r="P1051" s="14">
        <v>16.66</v>
      </c>
      <c r="Q1051" s="14">
        <f t="shared" si="16"/>
        <v>225.34</v>
      </c>
      <c r="R1051" s="1">
        <v>9</v>
      </c>
      <c r="S1051" s="1">
        <v>200010006086</v>
      </c>
      <c r="T1051" s="1">
        <v>50</v>
      </c>
      <c r="U1051" s="1">
        <v>1</v>
      </c>
      <c r="V1051" s="1">
        <v>3</v>
      </c>
    </row>
    <row r="1052" spans="1:22" x14ac:dyDescent="0.25">
      <c r="A1052" s="3">
        <v>44778</v>
      </c>
      <c r="B1052" s="4">
        <v>0.54952546296296301</v>
      </c>
      <c r="C1052" s="1">
        <v>1842</v>
      </c>
      <c r="D1052" s="1">
        <v>13002616</v>
      </c>
      <c r="E1052" s="1">
        <v>13</v>
      </c>
      <c r="F1052" s="1">
        <v>22589</v>
      </c>
      <c r="G1052" s="1" t="s">
        <v>21</v>
      </c>
      <c r="H1052" s="1">
        <v>15</v>
      </c>
      <c r="I1052" s="1">
        <v>434796</v>
      </c>
      <c r="J1052" s="14" t="s">
        <v>1143</v>
      </c>
      <c r="K1052" s="1" t="s">
        <v>64</v>
      </c>
      <c r="L1052" s="1" t="s">
        <v>1145</v>
      </c>
      <c r="M1052" s="14">
        <v>10</v>
      </c>
      <c r="N1052" s="2">
        <v>91.63</v>
      </c>
      <c r="O1052" s="16">
        <v>131</v>
      </c>
      <c r="P1052" s="14">
        <v>91</v>
      </c>
      <c r="Q1052" s="14">
        <f t="shared" si="16"/>
        <v>1219</v>
      </c>
      <c r="R1052" s="1">
        <v>9</v>
      </c>
      <c r="S1052" s="1">
        <v>200010006086</v>
      </c>
      <c r="T1052" s="1">
        <v>50</v>
      </c>
      <c r="U1052" s="1">
        <v>1</v>
      </c>
      <c r="V1052" s="1">
        <v>4</v>
      </c>
    </row>
    <row r="1053" spans="1:22" x14ac:dyDescent="0.25">
      <c r="A1053" s="3">
        <v>44778</v>
      </c>
      <c r="B1053" s="4">
        <v>0.41627314814814814</v>
      </c>
      <c r="C1053" s="1">
        <v>1809</v>
      </c>
      <c r="D1053" s="1">
        <v>13002616</v>
      </c>
      <c r="E1053" s="1">
        <v>13</v>
      </c>
      <c r="F1053" s="1">
        <v>22589</v>
      </c>
      <c r="G1053" s="1" t="s">
        <v>21</v>
      </c>
      <c r="H1053" s="1">
        <v>15</v>
      </c>
      <c r="I1053" s="1">
        <v>18199</v>
      </c>
      <c r="J1053" s="14" t="s">
        <v>1101</v>
      </c>
      <c r="K1053" s="1" t="s">
        <v>34</v>
      </c>
      <c r="L1053" s="1" t="s">
        <v>1102</v>
      </c>
      <c r="M1053" s="14">
        <v>1</v>
      </c>
      <c r="N1053" s="2">
        <v>118.71</v>
      </c>
      <c r="O1053" s="16">
        <v>173</v>
      </c>
      <c r="P1053" s="14">
        <v>0</v>
      </c>
      <c r="Q1053" s="14">
        <f t="shared" si="16"/>
        <v>173</v>
      </c>
      <c r="R1053" s="1" t="s">
        <v>25</v>
      </c>
      <c r="S1053" s="1" t="s">
        <v>25</v>
      </c>
      <c r="T1053" s="1">
        <v>50</v>
      </c>
      <c r="U1053" s="1">
        <v>1</v>
      </c>
      <c r="V1053" s="1">
        <v>2</v>
      </c>
    </row>
    <row r="1054" spans="1:22" x14ac:dyDescent="0.25">
      <c r="A1054" s="3">
        <v>44778</v>
      </c>
      <c r="B1054" s="4">
        <v>0.64531249999999996</v>
      </c>
      <c r="C1054" s="1">
        <v>1864</v>
      </c>
      <c r="D1054" s="1">
        <v>13002616</v>
      </c>
      <c r="E1054" s="1">
        <v>13</v>
      </c>
      <c r="F1054" s="1">
        <v>22589</v>
      </c>
      <c r="G1054" s="1" t="s">
        <v>21</v>
      </c>
      <c r="H1054" s="1">
        <v>18</v>
      </c>
      <c r="I1054" s="1">
        <v>18199</v>
      </c>
      <c r="J1054" s="14" t="s">
        <v>1101</v>
      </c>
      <c r="K1054" s="1" t="s">
        <v>34</v>
      </c>
      <c r="L1054" s="1" t="s">
        <v>1102</v>
      </c>
      <c r="M1054" s="14">
        <v>1</v>
      </c>
      <c r="N1054" s="2">
        <v>118.7</v>
      </c>
      <c r="O1054" s="16">
        <v>163</v>
      </c>
      <c r="P1054" s="14">
        <v>0</v>
      </c>
      <c r="Q1054" s="14">
        <f t="shared" si="16"/>
        <v>163</v>
      </c>
      <c r="R1054" s="1" t="s">
        <v>25</v>
      </c>
      <c r="S1054" s="1" t="s">
        <v>25</v>
      </c>
      <c r="T1054" s="1">
        <v>50</v>
      </c>
      <c r="U1054" s="1">
        <v>1</v>
      </c>
      <c r="V1054" s="1">
        <v>3</v>
      </c>
    </row>
    <row r="1055" spans="1:22" x14ac:dyDescent="0.25">
      <c r="A1055" s="3">
        <v>44774</v>
      </c>
      <c r="B1055" s="4">
        <v>0.46287037037037038</v>
      </c>
      <c r="C1055" s="1">
        <v>1301</v>
      </c>
      <c r="D1055" s="1">
        <v>13002561</v>
      </c>
      <c r="E1055" s="1">
        <v>13</v>
      </c>
      <c r="F1055" s="1">
        <v>22589</v>
      </c>
      <c r="G1055" s="1" t="s">
        <v>21</v>
      </c>
      <c r="H1055" s="1">
        <v>18</v>
      </c>
      <c r="I1055" s="1">
        <v>26900</v>
      </c>
      <c r="J1055" s="14" t="s">
        <v>164</v>
      </c>
      <c r="K1055" s="1" t="s">
        <v>117</v>
      </c>
      <c r="L1055" s="1" t="s">
        <v>165</v>
      </c>
      <c r="M1055" s="14">
        <v>1</v>
      </c>
      <c r="N1055" s="2">
        <v>190</v>
      </c>
      <c r="O1055" s="16">
        <v>295</v>
      </c>
      <c r="P1055" s="14">
        <v>8.7899999999999991</v>
      </c>
      <c r="Q1055" s="14">
        <f t="shared" si="16"/>
        <v>286.20999999999998</v>
      </c>
      <c r="R1055" s="1">
        <v>925</v>
      </c>
      <c r="S1055" s="1">
        <v>200000000492</v>
      </c>
      <c r="T1055" s="1">
        <v>29</v>
      </c>
      <c r="U1055" s="1">
        <v>1</v>
      </c>
      <c r="V1055" s="1">
        <v>2</v>
      </c>
    </row>
    <row r="1056" spans="1:22" x14ac:dyDescent="0.25">
      <c r="A1056" s="3">
        <v>44776</v>
      </c>
      <c r="B1056" s="4">
        <v>0.68222222222222217</v>
      </c>
      <c r="C1056" s="1">
        <v>1626</v>
      </c>
      <c r="D1056" s="1">
        <v>13002595</v>
      </c>
      <c r="E1056" s="1">
        <v>13</v>
      </c>
      <c r="F1056" s="1">
        <v>22589</v>
      </c>
      <c r="G1056" s="1" t="s">
        <v>21</v>
      </c>
      <c r="H1056" s="1">
        <v>18</v>
      </c>
      <c r="I1056" s="1">
        <v>4399</v>
      </c>
      <c r="J1056" s="14" t="s">
        <v>879</v>
      </c>
      <c r="K1056" s="1" t="s">
        <v>23</v>
      </c>
      <c r="L1056" s="1" t="s">
        <v>880</v>
      </c>
      <c r="M1056" s="14">
        <v>0.1</v>
      </c>
      <c r="N1056" s="2">
        <v>689.28</v>
      </c>
      <c r="O1056" s="16">
        <v>759</v>
      </c>
      <c r="P1056" s="14">
        <v>0</v>
      </c>
      <c r="Q1056" s="14">
        <f t="shared" si="16"/>
        <v>75.900000000000006</v>
      </c>
      <c r="R1056" s="1" t="s">
        <v>25</v>
      </c>
      <c r="S1056" s="1" t="s">
        <v>25</v>
      </c>
      <c r="T1056" s="1">
        <v>29</v>
      </c>
      <c r="U1056" s="1">
        <v>1</v>
      </c>
      <c r="V1056" s="1">
        <v>1</v>
      </c>
    </row>
    <row r="1057" spans="1:22" x14ac:dyDescent="0.25">
      <c r="A1057" s="3">
        <v>44778</v>
      </c>
      <c r="B1057" s="4">
        <v>0.35546296296296298</v>
      </c>
      <c r="C1057" s="1">
        <v>1787</v>
      </c>
      <c r="D1057" s="1">
        <v>13002616</v>
      </c>
      <c r="E1057" s="1">
        <v>13</v>
      </c>
      <c r="F1057" s="1">
        <v>22589</v>
      </c>
      <c r="G1057" s="1" t="s">
        <v>21</v>
      </c>
      <c r="H1057" s="1">
        <v>18</v>
      </c>
      <c r="I1057" s="1">
        <v>6596</v>
      </c>
      <c r="J1057" s="14" t="s">
        <v>1085</v>
      </c>
      <c r="K1057" s="1" t="s">
        <v>23</v>
      </c>
      <c r="L1057" s="1" t="s">
        <v>895</v>
      </c>
      <c r="M1057" s="14">
        <v>0.33333332999999998</v>
      </c>
      <c r="N1057" s="2">
        <v>1622.46</v>
      </c>
      <c r="O1057" s="16">
        <v>2029</v>
      </c>
      <c r="P1057" s="14">
        <v>0</v>
      </c>
      <c r="Q1057" s="14">
        <f t="shared" si="16"/>
        <v>676.33332656999994</v>
      </c>
      <c r="R1057" s="1" t="s">
        <v>25</v>
      </c>
      <c r="S1057" s="1" t="s">
        <v>25</v>
      </c>
      <c r="T1057" s="1">
        <v>50</v>
      </c>
      <c r="U1057" s="1">
        <v>1</v>
      </c>
      <c r="V1057" s="1">
        <v>5</v>
      </c>
    </row>
    <row r="1058" spans="1:22" x14ac:dyDescent="0.25">
      <c r="A1058" s="3">
        <v>44776</v>
      </c>
      <c r="B1058" s="4">
        <v>0.73282407407407413</v>
      </c>
      <c r="C1058" s="1">
        <v>1635</v>
      </c>
      <c r="D1058" s="1">
        <v>13002595</v>
      </c>
      <c r="E1058" s="1">
        <v>13</v>
      </c>
      <c r="F1058" s="1">
        <v>22589</v>
      </c>
      <c r="G1058" s="1" t="s">
        <v>21</v>
      </c>
      <c r="H1058" s="1">
        <v>15</v>
      </c>
      <c r="I1058" s="1">
        <v>589914</v>
      </c>
      <c r="J1058" s="14" t="s">
        <v>892</v>
      </c>
      <c r="K1058" s="1" t="s">
        <v>117</v>
      </c>
      <c r="L1058" s="1" t="s">
        <v>893</v>
      </c>
      <c r="M1058" s="14">
        <v>1</v>
      </c>
      <c r="N1058" s="2">
        <v>498.08</v>
      </c>
      <c r="O1058" s="16">
        <v>658</v>
      </c>
      <c r="P1058" s="14">
        <v>0</v>
      </c>
      <c r="Q1058" s="14">
        <f t="shared" si="16"/>
        <v>658</v>
      </c>
      <c r="R1058" s="1" t="s">
        <v>25</v>
      </c>
      <c r="S1058" s="1" t="s">
        <v>25</v>
      </c>
      <c r="T1058" s="1">
        <v>29</v>
      </c>
      <c r="U1058" s="1">
        <v>1</v>
      </c>
      <c r="V1058" s="1">
        <v>3</v>
      </c>
    </row>
    <row r="1059" spans="1:22" x14ac:dyDescent="0.25">
      <c r="A1059" s="3">
        <v>44778</v>
      </c>
      <c r="B1059" s="4">
        <v>0.59873842592592597</v>
      </c>
      <c r="C1059" s="1">
        <v>1854</v>
      </c>
      <c r="D1059" s="1">
        <v>13002616</v>
      </c>
      <c r="E1059" s="1">
        <v>13</v>
      </c>
      <c r="F1059" s="1">
        <v>22589</v>
      </c>
      <c r="G1059" s="1" t="s">
        <v>21</v>
      </c>
      <c r="H1059" s="1">
        <v>18</v>
      </c>
      <c r="I1059" s="1">
        <v>586516</v>
      </c>
      <c r="J1059" s="14" t="s">
        <v>1175</v>
      </c>
      <c r="K1059" s="1" t="s">
        <v>23</v>
      </c>
      <c r="L1059" s="1" t="s">
        <v>1176</v>
      </c>
      <c r="M1059" s="14">
        <v>1</v>
      </c>
      <c r="N1059" s="2">
        <v>683.72</v>
      </c>
      <c r="O1059" s="16">
        <v>882</v>
      </c>
      <c r="P1059" s="14">
        <v>0</v>
      </c>
      <c r="Q1059" s="14">
        <f t="shared" si="16"/>
        <v>882</v>
      </c>
      <c r="R1059" s="1" t="s">
        <v>25</v>
      </c>
      <c r="S1059" s="1" t="s">
        <v>25</v>
      </c>
      <c r="T1059" s="1">
        <v>50</v>
      </c>
      <c r="U1059" s="1">
        <v>1</v>
      </c>
      <c r="V1059" s="1">
        <v>2</v>
      </c>
    </row>
    <row r="1060" spans="1:22" x14ac:dyDescent="0.25">
      <c r="A1060" s="3">
        <v>44778</v>
      </c>
      <c r="B1060" s="4">
        <v>0.70296296296296301</v>
      </c>
      <c r="C1060" s="1">
        <v>1877</v>
      </c>
      <c r="D1060" s="1">
        <v>13002616</v>
      </c>
      <c r="E1060" s="1">
        <v>13</v>
      </c>
      <c r="F1060" s="1">
        <v>22589</v>
      </c>
      <c r="G1060" s="1" t="s">
        <v>21</v>
      </c>
      <c r="H1060" s="1">
        <v>18</v>
      </c>
      <c r="I1060" s="1">
        <v>586516</v>
      </c>
      <c r="J1060" s="14" t="s">
        <v>1175</v>
      </c>
      <c r="K1060" s="1" t="s">
        <v>23</v>
      </c>
      <c r="L1060" s="1" t="s">
        <v>1176</v>
      </c>
      <c r="M1060" s="14">
        <v>1</v>
      </c>
      <c r="N1060" s="2">
        <v>683.72</v>
      </c>
      <c r="O1060" s="16">
        <v>882</v>
      </c>
      <c r="P1060" s="14">
        <v>0</v>
      </c>
      <c r="Q1060" s="14">
        <f t="shared" si="16"/>
        <v>882</v>
      </c>
      <c r="R1060" s="1" t="s">
        <v>25</v>
      </c>
      <c r="S1060" s="1" t="s">
        <v>25</v>
      </c>
      <c r="T1060" s="1">
        <v>50</v>
      </c>
      <c r="U1060" s="1">
        <v>1</v>
      </c>
      <c r="V1060" s="1">
        <v>1</v>
      </c>
    </row>
    <row r="1061" spans="1:22" x14ac:dyDescent="0.25">
      <c r="A1061" s="3">
        <v>44774</v>
      </c>
      <c r="B1061" s="4">
        <v>0.73609953703703701</v>
      </c>
      <c r="C1061" s="1">
        <v>1390</v>
      </c>
      <c r="D1061" s="1">
        <v>13002561</v>
      </c>
      <c r="E1061" s="1">
        <v>13</v>
      </c>
      <c r="F1061" s="1">
        <v>22589</v>
      </c>
      <c r="G1061" s="1" t="s">
        <v>21</v>
      </c>
      <c r="H1061" s="1">
        <v>15</v>
      </c>
      <c r="I1061" s="1">
        <v>51314</v>
      </c>
      <c r="J1061" s="14" t="s">
        <v>412</v>
      </c>
      <c r="K1061" s="1" t="s">
        <v>51</v>
      </c>
      <c r="L1061" s="1" t="s">
        <v>413</v>
      </c>
      <c r="M1061" s="14">
        <v>1</v>
      </c>
      <c r="N1061" s="2">
        <v>587.62</v>
      </c>
      <c r="O1061" s="16">
        <v>759</v>
      </c>
      <c r="P1061" s="14">
        <v>0</v>
      </c>
      <c r="Q1061" s="14">
        <f t="shared" si="16"/>
        <v>759</v>
      </c>
      <c r="R1061" s="1" t="s">
        <v>25</v>
      </c>
      <c r="S1061" s="1" t="s">
        <v>25</v>
      </c>
      <c r="T1061" s="1">
        <v>29</v>
      </c>
      <c r="U1061" s="1">
        <v>1</v>
      </c>
      <c r="V1061" s="1">
        <v>1</v>
      </c>
    </row>
    <row r="1062" spans="1:22" x14ac:dyDescent="0.25">
      <c r="A1062" s="3">
        <v>44778</v>
      </c>
      <c r="B1062" s="4">
        <v>0.5245023148148148</v>
      </c>
      <c r="C1062" s="1">
        <v>1837</v>
      </c>
      <c r="D1062" s="1">
        <v>13002616</v>
      </c>
      <c r="E1062" s="1">
        <v>13</v>
      </c>
      <c r="F1062" s="1">
        <v>22589</v>
      </c>
      <c r="G1062" s="1" t="s">
        <v>21</v>
      </c>
      <c r="H1062" s="1">
        <v>18</v>
      </c>
      <c r="I1062" s="1">
        <v>290510</v>
      </c>
      <c r="J1062" s="14" t="s">
        <v>1132</v>
      </c>
      <c r="K1062" s="1" t="s">
        <v>23</v>
      </c>
      <c r="L1062" s="1" t="s">
        <v>487</v>
      </c>
      <c r="M1062" s="14">
        <v>1</v>
      </c>
      <c r="N1062" s="2">
        <v>203.95</v>
      </c>
      <c r="O1062" s="16">
        <v>276</v>
      </c>
      <c r="P1062" s="14">
        <v>19</v>
      </c>
      <c r="Q1062" s="14">
        <f t="shared" si="16"/>
        <v>257</v>
      </c>
      <c r="R1062" s="1">
        <v>9</v>
      </c>
      <c r="S1062" s="1">
        <v>200010015470</v>
      </c>
      <c r="T1062" s="1">
        <v>50</v>
      </c>
      <c r="U1062" s="1">
        <v>1</v>
      </c>
      <c r="V1062" s="1">
        <v>3</v>
      </c>
    </row>
    <row r="1063" spans="1:22" x14ac:dyDescent="0.25">
      <c r="A1063" s="3">
        <v>44775</v>
      </c>
      <c r="B1063" s="4">
        <v>0.64778935185185182</v>
      </c>
      <c r="C1063" s="1">
        <v>1490</v>
      </c>
      <c r="D1063" s="1">
        <v>13002581</v>
      </c>
      <c r="E1063" s="1">
        <v>13</v>
      </c>
      <c r="F1063" s="1">
        <v>22589</v>
      </c>
      <c r="G1063" s="1" t="s">
        <v>21</v>
      </c>
      <c r="H1063" s="1">
        <v>18</v>
      </c>
      <c r="I1063" s="1">
        <v>20621</v>
      </c>
      <c r="J1063" s="14" t="s">
        <v>630</v>
      </c>
      <c r="K1063" s="1" t="s">
        <v>34</v>
      </c>
      <c r="L1063" s="1" t="s">
        <v>631</v>
      </c>
      <c r="M1063" s="14">
        <v>1</v>
      </c>
      <c r="N1063" s="2">
        <v>337.84</v>
      </c>
      <c r="O1063" s="16">
        <v>446</v>
      </c>
      <c r="P1063" s="14">
        <v>25</v>
      </c>
      <c r="Q1063" s="14">
        <f t="shared" si="16"/>
        <v>421</v>
      </c>
      <c r="R1063" s="1">
        <v>925</v>
      </c>
      <c r="S1063" s="1">
        <v>200000000492</v>
      </c>
      <c r="T1063" s="1">
        <v>29</v>
      </c>
      <c r="U1063" s="1">
        <v>1</v>
      </c>
      <c r="V1063" s="1">
        <v>1</v>
      </c>
    </row>
    <row r="1064" spans="1:22" x14ac:dyDescent="0.25">
      <c r="A1064" s="3">
        <v>44778</v>
      </c>
      <c r="B1064" s="4">
        <v>0.76914351851851848</v>
      </c>
      <c r="C1064" s="1">
        <v>1889</v>
      </c>
      <c r="D1064" s="1">
        <v>13002616</v>
      </c>
      <c r="E1064" s="1">
        <v>13</v>
      </c>
      <c r="F1064" s="1">
        <v>22589</v>
      </c>
      <c r="G1064" s="1" t="s">
        <v>21</v>
      </c>
      <c r="H1064" s="1">
        <v>18</v>
      </c>
      <c r="I1064" s="1">
        <v>5702</v>
      </c>
      <c r="J1064" s="14" t="s">
        <v>1209</v>
      </c>
      <c r="K1064" s="1" t="s">
        <v>29</v>
      </c>
      <c r="L1064" s="1" t="s">
        <v>1210</v>
      </c>
      <c r="M1064" s="14">
        <v>1</v>
      </c>
      <c r="N1064" s="2">
        <v>320.79000000000002</v>
      </c>
      <c r="O1064" s="16">
        <v>472</v>
      </c>
      <c r="P1064" s="14">
        <v>0</v>
      </c>
      <c r="Q1064" s="14">
        <f t="shared" si="16"/>
        <v>472</v>
      </c>
      <c r="R1064" s="1" t="s">
        <v>25</v>
      </c>
      <c r="S1064" s="1" t="s">
        <v>25</v>
      </c>
      <c r="T1064" s="1">
        <v>50</v>
      </c>
      <c r="U1064" s="1">
        <v>1</v>
      </c>
      <c r="V1064" s="1">
        <v>3</v>
      </c>
    </row>
    <row r="1065" spans="1:22" x14ac:dyDescent="0.25">
      <c r="A1065" s="3">
        <v>44775</v>
      </c>
      <c r="B1065" s="4">
        <v>0.54645833333333338</v>
      </c>
      <c r="C1065" s="1">
        <v>1471</v>
      </c>
      <c r="D1065" s="1">
        <v>13002581</v>
      </c>
      <c r="E1065" s="1">
        <v>13</v>
      </c>
      <c r="F1065" s="1">
        <v>22589</v>
      </c>
      <c r="G1065" s="1" t="s">
        <v>21</v>
      </c>
      <c r="H1065" s="1">
        <v>15</v>
      </c>
      <c r="I1065" s="1">
        <v>532019</v>
      </c>
      <c r="J1065" s="14" t="s">
        <v>590</v>
      </c>
      <c r="K1065" s="1" t="s">
        <v>23</v>
      </c>
      <c r="L1065" s="1" t="s">
        <v>591</v>
      </c>
      <c r="M1065" s="14">
        <v>1</v>
      </c>
      <c r="N1065" s="2">
        <v>25.63</v>
      </c>
      <c r="O1065" s="16">
        <v>31</v>
      </c>
      <c r="P1065" s="14">
        <v>0</v>
      </c>
      <c r="Q1065" s="14">
        <f t="shared" si="16"/>
        <v>31</v>
      </c>
      <c r="R1065" s="1" t="s">
        <v>25</v>
      </c>
      <c r="S1065" s="1" t="s">
        <v>25</v>
      </c>
      <c r="T1065" s="1">
        <v>29</v>
      </c>
      <c r="U1065" s="1">
        <v>1</v>
      </c>
      <c r="V1065" s="1">
        <v>1</v>
      </c>
    </row>
    <row r="1066" spans="1:22" x14ac:dyDescent="0.25">
      <c r="A1066" s="3">
        <v>44775</v>
      </c>
      <c r="B1066" s="4">
        <v>0.54645833333333338</v>
      </c>
      <c r="C1066" s="1">
        <v>1471</v>
      </c>
      <c r="D1066" s="1">
        <v>13002581</v>
      </c>
      <c r="E1066" s="1">
        <v>13</v>
      </c>
      <c r="F1066" s="1">
        <v>22589</v>
      </c>
      <c r="G1066" s="1" t="s">
        <v>21</v>
      </c>
      <c r="H1066" s="1">
        <v>15</v>
      </c>
      <c r="I1066" s="1">
        <v>532019</v>
      </c>
      <c r="J1066" s="14" t="s">
        <v>590</v>
      </c>
      <c r="K1066" s="1" t="s">
        <v>23</v>
      </c>
      <c r="L1066" s="1" t="s">
        <v>591</v>
      </c>
      <c r="M1066" s="14">
        <v>1</v>
      </c>
      <c r="N1066" s="2">
        <v>25.63</v>
      </c>
      <c r="O1066" s="16">
        <v>31</v>
      </c>
      <c r="P1066" s="14">
        <v>0</v>
      </c>
      <c r="Q1066" s="14">
        <f t="shared" si="16"/>
        <v>31</v>
      </c>
      <c r="R1066" s="1" t="s">
        <v>25</v>
      </c>
      <c r="S1066" s="1" t="s">
        <v>25</v>
      </c>
      <c r="T1066" s="1">
        <v>29</v>
      </c>
      <c r="U1066" s="1">
        <v>1</v>
      </c>
      <c r="V1066" s="1">
        <v>2</v>
      </c>
    </row>
    <row r="1067" spans="1:22" x14ac:dyDescent="0.25">
      <c r="A1067" s="3">
        <v>44775</v>
      </c>
      <c r="B1067" s="4">
        <v>0.54645833333333338</v>
      </c>
      <c r="C1067" s="1">
        <v>1471</v>
      </c>
      <c r="D1067" s="1">
        <v>13002581</v>
      </c>
      <c r="E1067" s="1">
        <v>13</v>
      </c>
      <c r="F1067" s="1">
        <v>22589</v>
      </c>
      <c r="G1067" s="1" t="s">
        <v>21</v>
      </c>
      <c r="H1067" s="1">
        <v>15</v>
      </c>
      <c r="I1067" s="1">
        <v>532019</v>
      </c>
      <c r="J1067" s="14" t="s">
        <v>590</v>
      </c>
      <c r="K1067" s="1" t="s">
        <v>23</v>
      </c>
      <c r="L1067" s="1" t="s">
        <v>591</v>
      </c>
      <c r="M1067" s="14">
        <v>1</v>
      </c>
      <c r="N1067" s="2">
        <v>25.63</v>
      </c>
      <c r="O1067" s="16">
        <v>31</v>
      </c>
      <c r="P1067" s="14">
        <v>0</v>
      </c>
      <c r="Q1067" s="14">
        <f t="shared" si="16"/>
        <v>31</v>
      </c>
      <c r="R1067" s="1" t="s">
        <v>25</v>
      </c>
      <c r="S1067" s="1" t="s">
        <v>25</v>
      </c>
      <c r="T1067" s="1">
        <v>29</v>
      </c>
      <c r="U1067" s="1">
        <v>1</v>
      </c>
      <c r="V1067" s="1">
        <v>3</v>
      </c>
    </row>
    <row r="1068" spans="1:22" x14ac:dyDescent="0.25">
      <c r="A1068" s="3">
        <v>44777</v>
      </c>
      <c r="B1068" s="4">
        <v>0.60069444444444442</v>
      </c>
      <c r="C1068" s="1">
        <v>1728</v>
      </c>
      <c r="D1068" s="1">
        <v>13002606</v>
      </c>
      <c r="E1068" s="1">
        <v>13</v>
      </c>
      <c r="F1068" s="1">
        <v>22589</v>
      </c>
      <c r="G1068" s="1" t="s">
        <v>21</v>
      </c>
      <c r="H1068" s="1">
        <v>18</v>
      </c>
      <c r="I1068" s="1">
        <v>308835</v>
      </c>
      <c r="J1068" s="14" t="s">
        <v>1020</v>
      </c>
      <c r="K1068" s="1" t="s">
        <v>117</v>
      </c>
      <c r="L1068" s="1" t="s">
        <v>306</v>
      </c>
      <c r="M1068" s="14">
        <v>1</v>
      </c>
      <c r="N1068" s="2">
        <v>67.510000000000005</v>
      </c>
      <c r="O1068" s="16">
        <v>96</v>
      </c>
      <c r="P1068" s="14">
        <v>6</v>
      </c>
      <c r="Q1068" s="14">
        <f t="shared" si="16"/>
        <v>90</v>
      </c>
      <c r="R1068" s="1">
        <v>9</v>
      </c>
      <c r="S1068" s="1">
        <v>200010022567</v>
      </c>
      <c r="T1068" s="1">
        <v>50</v>
      </c>
      <c r="U1068" s="1">
        <v>1</v>
      </c>
      <c r="V1068" s="1">
        <v>3</v>
      </c>
    </row>
    <row r="1069" spans="1:22" x14ac:dyDescent="0.25">
      <c r="A1069" s="3">
        <v>44777</v>
      </c>
      <c r="B1069" s="4">
        <v>0.60799768518518515</v>
      </c>
      <c r="C1069" s="1">
        <v>1732</v>
      </c>
      <c r="D1069" s="1">
        <v>13002606</v>
      </c>
      <c r="E1069" s="1">
        <v>13</v>
      </c>
      <c r="F1069" s="1">
        <v>22589</v>
      </c>
      <c r="G1069" s="1" t="s">
        <v>21</v>
      </c>
      <c r="H1069" s="1">
        <v>15</v>
      </c>
      <c r="I1069" s="1">
        <v>308835</v>
      </c>
      <c r="J1069" s="14" t="s">
        <v>1020</v>
      </c>
      <c r="K1069" s="1" t="s">
        <v>117</v>
      </c>
      <c r="L1069" s="1" t="s">
        <v>306</v>
      </c>
      <c r="M1069" s="14">
        <v>1</v>
      </c>
      <c r="N1069" s="2">
        <v>67.510000000000005</v>
      </c>
      <c r="O1069" s="16">
        <v>96</v>
      </c>
      <c r="P1069" s="14">
        <v>6</v>
      </c>
      <c r="Q1069" s="14">
        <f t="shared" si="16"/>
        <v>90</v>
      </c>
      <c r="R1069" s="1">
        <v>9</v>
      </c>
      <c r="S1069" s="1">
        <v>200010004094</v>
      </c>
      <c r="T1069" s="1">
        <v>50</v>
      </c>
      <c r="U1069" s="1">
        <v>1</v>
      </c>
      <c r="V1069" s="1">
        <v>3</v>
      </c>
    </row>
    <row r="1070" spans="1:22" x14ac:dyDescent="0.25">
      <c r="A1070" s="3">
        <v>44776</v>
      </c>
      <c r="B1070" s="4">
        <v>0.47420138888888891</v>
      </c>
      <c r="C1070" s="1">
        <v>1565</v>
      </c>
      <c r="D1070" s="1">
        <v>13002595</v>
      </c>
      <c r="E1070" s="1">
        <v>13</v>
      </c>
      <c r="F1070" s="1">
        <v>22589</v>
      </c>
      <c r="G1070" s="1" t="s">
        <v>21</v>
      </c>
      <c r="H1070" s="1">
        <v>18</v>
      </c>
      <c r="I1070" s="1">
        <v>22338</v>
      </c>
      <c r="J1070" s="14" t="s">
        <v>763</v>
      </c>
      <c r="K1070" s="1" t="s">
        <v>34</v>
      </c>
      <c r="L1070" s="1" t="s">
        <v>244</v>
      </c>
      <c r="M1070" s="14">
        <v>0.66666667000000002</v>
      </c>
      <c r="N1070" s="2">
        <v>877.54</v>
      </c>
      <c r="O1070" s="16">
        <v>1133</v>
      </c>
      <c r="P1070" s="14">
        <v>0</v>
      </c>
      <c r="Q1070" s="14">
        <f t="shared" si="16"/>
        <v>755.33333711</v>
      </c>
      <c r="R1070" s="1" t="s">
        <v>25</v>
      </c>
      <c r="S1070" s="1" t="s">
        <v>25</v>
      </c>
      <c r="T1070" s="1">
        <v>29</v>
      </c>
      <c r="U1070" s="1">
        <v>1</v>
      </c>
      <c r="V1070" s="1">
        <v>3</v>
      </c>
    </row>
    <row r="1071" spans="1:22" x14ac:dyDescent="0.25">
      <c r="A1071" s="3">
        <v>44777</v>
      </c>
      <c r="B1071" s="4">
        <v>0.51480324074074069</v>
      </c>
      <c r="C1071" s="1">
        <v>1698</v>
      </c>
      <c r="D1071" s="1">
        <v>13002606</v>
      </c>
      <c r="E1071" s="1">
        <v>13</v>
      </c>
      <c r="F1071" s="1">
        <v>22589</v>
      </c>
      <c r="G1071" s="1" t="s">
        <v>21</v>
      </c>
      <c r="H1071" s="1">
        <v>15</v>
      </c>
      <c r="I1071" s="1">
        <v>22338</v>
      </c>
      <c r="J1071" s="14" t="s">
        <v>763</v>
      </c>
      <c r="K1071" s="1" t="s">
        <v>64</v>
      </c>
      <c r="L1071" s="1" t="s">
        <v>717</v>
      </c>
      <c r="M1071" s="14">
        <v>0.33333332999999998</v>
      </c>
      <c r="N1071" s="2">
        <v>826.66</v>
      </c>
      <c r="O1071" s="16">
        <v>1067</v>
      </c>
      <c r="P1071" s="14">
        <v>24.67</v>
      </c>
      <c r="Q1071" s="14">
        <f t="shared" si="16"/>
        <v>330.99666310999999</v>
      </c>
      <c r="R1071" s="1">
        <v>9</v>
      </c>
      <c r="S1071" s="1">
        <v>200010016190</v>
      </c>
      <c r="T1071" s="1">
        <v>50</v>
      </c>
      <c r="U1071" s="1">
        <v>1</v>
      </c>
      <c r="V1071" s="1">
        <v>1</v>
      </c>
    </row>
    <row r="1072" spans="1:22" x14ac:dyDescent="0.25">
      <c r="A1072" s="3">
        <v>44778</v>
      </c>
      <c r="B1072" s="4">
        <v>0.40243055555555557</v>
      </c>
      <c r="C1072" s="1">
        <v>1803</v>
      </c>
      <c r="D1072" s="1">
        <v>13002616</v>
      </c>
      <c r="E1072" s="1">
        <v>13</v>
      </c>
      <c r="F1072" s="1">
        <v>22589</v>
      </c>
      <c r="G1072" s="1" t="s">
        <v>21</v>
      </c>
      <c r="H1072" s="1">
        <v>15</v>
      </c>
      <c r="I1072" s="1">
        <v>275527</v>
      </c>
      <c r="J1072" s="14" t="s">
        <v>1094</v>
      </c>
      <c r="K1072" s="1" t="s">
        <v>51</v>
      </c>
      <c r="L1072" s="1" t="s">
        <v>236</v>
      </c>
      <c r="M1072" s="14">
        <v>1</v>
      </c>
      <c r="N1072" s="2">
        <v>71.02</v>
      </c>
      <c r="O1072" s="16">
        <v>101</v>
      </c>
      <c r="P1072" s="14">
        <v>7</v>
      </c>
      <c r="Q1072" s="14">
        <f t="shared" si="16"/>
        <v>94</v>
      </c>
      <c r="R1072" s="1">
        <v>9</v>
      </c>
      <c r="S1072" s="1">
        <v>200010000522</v>
      </c>
      <c r="T1072" s="1">
        <v>50</v>
      </c>
      <c r="U1072" s="1">
        <v>1</v>
      </c>
      <c r="V1072" s="1">
        <v>2</v>
      </c>
    </row>
    <row r="1073" spans="1:22" x14ac:dyDescent="0.25">
      <c r="A1073" s="3">
        <v>44775</v>
      </c>
      <c r="B1073" s="4">
        <v>0.78853009259259255</v>
      </c>
      <c r="C1073" s="1">
        <v>1528</v>
      </c>
      <c r="D1073" s="1">
        <v>13002581</v>
      </c>
      <c r="E1073" s="1">
        <v>13</v>
      </c>
      <c r="F1073" s="1">
        <v>22589</v>
      </c>
      <c r="G1073" s="1" t="s">
        <v>21</v>
      </c>
      <c r="H1073" s="1">
        <v>15</v>
      </c>
      <c r="I1073" s="1">
        <v>25638</v>
      </c>
      <c r="J1073" s="14" t="s">
        <v>695</v>
      </c>
      <c r="K1073" s="1" t="s">
        <v>51</v>
      </c>
      <c r="L1073" s="1" t="s">
        <v>612</v>
      </c>
      <c r="M1073" s="14">
        <v>1</v>
      </c>
      <c r="N1073" s="2">
        <v>284.52999999999997</v>
      </c>
      <c r="O1073" s="16">
        <v>385</v>
      </c>
      <c r="P1073" s="14">
        <v>26</v>
      </c>
      <c r="Q1073" s="14">
        <f t="shared" si="16"/>
        <v>359</v>
      </c>
      <c r="R1073" s="1">
        <v>9</v>
      </c>
      <c r="S1073" s="1">
        <v>200010023916</v>
      </c>
      <c r="T1073" s="1">
        <v>29</v>
      </c>
      <c r="U1073" s="1">
        <v>1</v>
      </c>
      <c r="V1073" s="1">
        <v>1</v>
      </c>
    </row>
    <row r="1074" spans="1:22" x14ac:dyDescent="0.25">
      <c r="A1074" s="3">
        <v>44774</v>
      </c>
      <c r="B1074" s="4">
        <v>0.39586805555555554</v>
      </c>
      <c r="C1074" s="1">
        <v>1280</v>
      </c>
      <c r="D1074" s="1">
        <v>13002561</v>
      </c>
      <c r="E1074" s="1">
        <v>13</v>
      </c>
      <c r="F1074" s="1">
        <v>22589</v>
      </c>
      <c r="G1074" s="1" t="s">
        <v>21</v>
      </c>
      <c r="H1074" s="1">
        <v>15</v>
      </c>
      <c r="I1074" s="1">
        <v>365627</v>
      </c>
      <c r="J1074" s="14" t="s">
        <v>55</v>
      </c>
      <c r="K1074" s="1" t="s">
        <v>29</v>
      </c>
      <c r="L1074" s="1" t="s">
        <v>56</v>
      </c>
      <c r="M1074" s="14">
        <v>1</v>
      </c>
      <c r="N1074" s="2">
        <v>78.239999999999995</v>
      </c>
      <c r="O1074" s="16">
        <v>96</v>
      </c>
      <c r="P1074" s="14">
        <v>0</v>
      </c>
      <c r="Q1074" s="14">
        <f t="shared" si="16"/>
        <v>96</v>
      </c>
      <c r="R1074" s="1" t="s">
        <v>25</v>
      </c>
      <c r="S1074" s="1" t="s">
        <v>25</v>
      </c>
      <c r="T1074" s="1">
        <v>29</v>
      </c>
      <c r="U1074" s="1">
        <v>1</v>
      </c>
      <c r="V1074" s="1">
        <v>2</v>
      </c>
    </row>
    <row r="1075" spans="1:22" x14ac:dyDescent="0.25">
      <c r="A1075" s="3">
        <v>44774</v>
      </c>
      <c r="B1075" s="4">
        <v>0.68071759259259257</v>
      </c>
      <c r="C1075" s="1">
        <v>1373</v>
      </c>
      <c r="D1075" s="1">
        <v>13002561</v>
      </c>
      <c r="E1075" s="1">
        <v>13</v>
      </c>
      <c r="F1075" s="1">
        <v>22589</v>
      </c>
      <c r="G1075" s="1" t="s">
        <v>21</v>
      </c>
      <c r="H1075" s="1">
        <v>18</v>
      </c>
      <c r="I1075" s="1">
        <v>365627</v>
      </c>
      <c r="J1075" s="14" t="s">
        <v>55</v>
      </c>
      <c r="K1075" s="1" t="s">
        <v>29</v>
      </c>
      <c r="L1075" s="1" t="s">
        <v>56</v>
      </c>
      <c r="M1075" s="14">
        <v>1</v>
      </c>
      <c r="N1075" s="2">
        <v>78.239999999999995</v>
      </c>
      <c r="O1075" s="16">
        <v>96</v>
      </c>
      <c r="P1075" s="14">
        <v>0</v>
      </c>
      <c r="Q1075" s="14">
        <f t="shared" si="16"/>
        <v>96</v>
      </c>
      <c r="R1075" s="1" t="s">
        <v>25</v>
      </c>
      <c r="S1075" s="1" t="s">
        <v>25</v>
      </c>
      <c r="T1075" s="1">
        <v>29</v>
      </c>
      <c r="U1075" s="1">
        <v>1</v>
      </c>
      <c r="V1075" s="1">
        <v>1</v>
      </c>
    </row>
    <row r="1076" spans="1:22" x14ac:dyDescent="0.25">
      <c r="A1076" s="3">
        <v>44775</v>
      </c>
      <c r="B1076" s="4">
        <v>0.70005787037037037</v>
      </c>
      <c r="C1076" s="1">
        <v>1499</v>
      </c>
      <c r="D1076" s="1">
        <v>13002581</v>
      </c>
      <c r="E1076" s="1">
        <v>13</v>
      </c>
      <c r="F1076" s="1">
        <v>22589</v>
      </c>
      <c r="G1076" s="1" t="s">
        <v>21</v>
      </c>
      <c r="H1076" s="1">
        <v>18</v>
      </c>
      <c r="I1076" s="1">
        <v>365627</v>
      </c>
      <c r="J1076" s="14" t="s">
        <v>55</v>
      </c>
      <c r="K1076" s="1" t="s">
        <v>29</v>
      </c>
      <c r="L1076" s="1" t="s">
        <v>56</v>
      </c>
      <c r="M1076" s="14">
        <v>1</v>
      </c>
      <c r="N1076" s="2">
        <v>78.239999999999995</v>
      </c>
      <c r="O1076" s="16">
        <v>96</v>
      </c>
      <c r="P1076" s="14">
        <v>24.63</v>
      </c>
      <c r="Q1076" s="14">
        <f t="shared" si="16"/>
        <v>71.37</v>
      </c>
      <c r="R1076" s="1">
        <v>925</v>
      </c>
      <c r="S1076" s="1">
        <v>200000000492</v>
      </c>
      <c r="T1076" s="1">
        <v>29</v>
      </c>
      <c r="U1076" s="1">
        <v>1</v>
      </c>
      <c r="V1076" s="1">
        <v>2</v>
      </c>
    </row>
    <row r="1077" spans="1:22" x14ac:dyDescent="0.25">
      <c r="A1077" s="3">
        <v>44775</v>
      </c>
      <c r="B1077" s="4">
        <v>0.6083912037037037</v>
      </c>
      <c r="C1077" s="1">
        <v>1481</v>
      </c>
      <c r="D1077" s="1">
        <v>13002581</v>
      </c>
      <c r="E1077" s="1">
        <v>13</v>
      </c>
      <c r="F1077" s="1">
        <v>22589</v>
      </c>
      <c r="G1077" s="1" t="s">
        <v>21</v>
      </c>
      <c r="H1077" s="1">
        <v>15</v>
      </c>
      <c r="I1077" s="1">
        <v>57712</v>
      </c>
      <c r="J1077" s="14" t="s">
        <v>617</v>
      </c>
      <c r="K1077" s="1" t="s">
        <v>34</v>
      </c>
      <c r="L1077" s="1" t="s">
        <v>415</v>
      </c>
      <c r="M1077" s="14">
        <v>1</v>
      </c>
      <c r="N1077" s="2">
        <v>20.23</v>
      </c>
      <c r="O1077" s="16">
        <v>25</v>
      </c>
      <c r="P1077" s="14">
        <v>0</v>
      </c>
      <c r="Q1077" s="14">
        <f t="shared" si="16"/>
        <v>25</v>
      </c>
      <c r="R1077" s="1" t="s">
        <v>25</v>
      </c>
      <c r="S1077" s="1" t="s">
        <v>25</v>
      </c>
      <c r="T1077" s="1">
        <v>29</v>
      </c>
      <c r="U1077" s="1">
        <v>1</v>
      </c>
      <c r="V1077" s="1">
        <v>8</v>
      </c>
    </row>
    <row r="1078" spans="1:22" x14ac:dyDescent="0.25">
      <c r="A1078" s="3">
        <v>44775</v>
      </c>
      <c r="B1078" s="4">
        <v>0.6083912037037037</v>
      </c>
      <c r="C1078" s="1">
        <v>1481</v>
      </c>
      <c r="D1078" s="1">
        <v>13002581</v>
      </c>
      <c r="E1078" s="1">
        <v>13</v>
      </c>
      <c r="F1078" s="1">
        <v>22589</v>
      </c>
      <c r="G1078" s="1" t="s">
        <v>21</v>
      </c>
      <c r="H1078" s="1">
        <v>15</v>
      </c>
      <c r="I1078" s="1">
        <v>57712</v>
      </c>
      <c r="J1078" s="14" t="s">
        <v>617</v>
      </c>
      <c r="K1078" s="1" t="s">
        <v>34</v>
      </c>
      <c r="L1078" s="1" t="s">
        <v>415</v>
      </c>
      <c r="M1078" s="14">
        <v>1</v>
      </c>
      <c r="N1078" s="2">
        <v>20.23</v>
      </c>
      <c r="O1078" s="16">
        <v>25</v>
      </c>
      <c r="P1078" s="14">
        <v>0</v>
      </c>
      <c r="Q1078" s="14">
        <f t="shared" si="16"/>
        <v>25</v>
      </c>
      <c r="R1078" s="1" t="s">
        <v>25</v>
      </c>
      <c r="S1078" s="1" t="s">
        <v>25</v>
      </c>
      <c r="T1078" s="1">
        <v>29</v>
      </c>
      <c r="U1078" s="1">
        <v>1</v>
      </c>
      <c r="V1078" s="1">
        <v>9</v>
      </c>
    </row>
    <row r="1079" spans="1:22" x14ac:dyDescent="0.25">
      <c r="A1079" s="3">
        <v>44778</v>
      </c>
      <c r="B1079" s="4">
        <v>0.34738425925925925</v>
      </c>
      <c r="C1079" s="1">
        <v>1786</v>
      </c>
      <c r="D1079" s="1">
        <v>13002616</v>
      </c>
      <c r="E1079" s="1">
        <v>13</v>
      </c>
      <c r="F1079" s="1">
        <v>22589</v>
      </c>
      <c r="G1079" s="1" t="s">
        <v>21</v>
      </c>
      <c r="H1079" s="1">
        <v>15</v>
      </c>
      <c r="I1079" s="1">
        <v>57712</v>
      </c>
      <c r="J1079" s="14" t="s">
        <v>617</v>
      </c>
      <c r="K1079" s="1" t="s">
        <v>34</v>
      </c>
      <c r="L1079" s="1" t="s">
        <v>415</v>
      </c>
      <c r="M1079" s="14">
        <v>1</v>
      </c>
      <c r="N1079" s="2">
        <v>20.23</v>
      </c>
      <c r="O1079" s="16">
        <v>25</v>
      </c>
      <c r="P1079" s="14">
        <v>0</v>
      </c>
      <c r="Q1079" s="14">
        <f t="shared" si="16"/>
        <v>25</v>
      </c>
      <c r="R1079" s="1" t="s">
        <v>25</v>
      </c>
      <c r="S1079" s="1" t="s">
        <v>25</v>
      </c>
      <c r="T1079" s="1">
        <v>50</v>
      </c>
      <c r="U1079" s="1">
        <v>1</v>
      </c>
      <c r="V1079" s="1">
        <v>1</v>
      </c>
    </row>
    <row r="1080" spans="1:22" x14ac:dyDescent="0.25">
      <c r="A1080" s="3">
        <v>44776</v>
      </c>
      <c r="B1080" s="4">
        <v>0.67218750000000005</v>
      </c>
      <c r="C1080" s="1">
        <v>1624</v>
      </c>
      <c r="D1080" s="1">
        <v>13002595</v>
      </c>
      <c r="E1080" s="1">
        <v>13</v>
      </c>
      <c r="F1080" s="1">
        <v>22589</v>
      </c>
      <c r="G1080" s="1" t="s">
        <v>21</v>
      </c>
      <c r="H1080" s="1">
        <v>15</v>
      </c>
      <c r="I1080" s="1">
        <v>141344</v>
      </c>
      <c r="J1080" s="14" t="s">
        <v>878</v>
      </c>
      <c r="K1080" s="1" t="s">
        <v>23</v>
      </c>
      <c r="L1080" s="1" t="s">
        <v>415</v>
      </c>
      <c r="M1080" s="14">
        <v>1</v>
      </c>
      <c r="N1080" s="2">
        <v>82.24</v>
      </c>
      <c r="O1080" s="16">
        <v>101</v>
      </c>
      <c r="P1080" s="14">
        <v>0</v>
      </c>
      <c r="Q1080" s="14">
        <f t="shared" si="16"/>
        <v>101</v>
      </c>
      <c r="R1080" s="1" t="s">
        <v>25</v>
      </c>
      <c r="S1080" s="1" t="s">
        <v>25</v>
      </c>
      <c r="T1080" s="1">
        <v>29</v>
      </c>
      <c r="U1080" s="1">
        <v>1</v>
      </c>
      <c r="V1080" s="1">
        <v>1</v>
      </c>
    </row>
    <row r="1081" spans="1:22" x14ac:dyDescent="0.25">
      <c r="A1081" s="3">
        <v>44775</v>
      </c>
      <c r="B1081" s="4">
        <v>0.74813657407407408</v>
      </c>
      <c r="C1081" s="1">
        <v>1520</v>
      </c>
      <c r="D1081" s="1">
        <v>13002581</v>
      </c>
      <c r="E1081" s="1">
        <v>13</v>
      </c>
      <c r="F1081" s="1">
        <v>22589</v>
      </c>
      <c r="G1081" s="1" t="s">
        <v>21</v>
      </c>
      <c r="H1081" s="1">
        <v>15</v>
      </c>
      <c r="I1081" s="1">
        <v>19546</v>
      </c>
      <c r="J1081" s="14" t="s">
        <v>676</v>
      </c>
      <c r="K1081" s="1" t="s">
        <v>51</v>
      </c>
      <c r="L1081" s="1" t="s">
        <v>32</v>
      </c>
      <c r="M1081" s="14">
        <v>1</v>
      </c>
      <c r="N1081" s="2">
        <v>25.81</v>
      </c>
      <c r="O1081" s="16">
        <v>32</v>
      </c>
      <c r="P1081" s="14">
        <v>0</v>
      </c>
      <c r="Q1081" s="14">
        <f t="shared" si="16"/>
        <v>32</v>
      </c>
      <c r="R1081" s="1" t="s">
        <v>25</v>
      </c>
      <c r="S1081" s="1" t="s">
        <v>25</v>
      </c>
      <c r="T1081" s="1">
        <v>29</v>
      </c>
      <c r="U1081" s="1">
        <v>1</v>
      </c>
      <c r="V1081" s="1">
        <v>2</v>
      </c>
    </row>
    <row r="1082" spans="1:22" x14ac:dyDescent="0.25">
      <c r="A1082" s="3">
        <v>44776</v>
      </c>
      <c r="B1082" s="4">
        <v>0.82079861111111108</v>
      </c>
      <c r="C1082" s="1">
        <v>1657</v>
      </c>
      <c r="D1082" s="1">
        <v>13002595</v>
      </c>
      <c r="E1082" s="1">
        <v>13</v>
      </c>
      <c r="F1082" s="1">
        <v>22589</v>
      </c>
      <c r="G1082" s="1" t="s">
        <v>21</v>
      </c>
      <c r="H1082" s="1">
        <v>18</v>
      </c>
      <c r="I1082" s="1">
        <v>19546</v>
      </c>
      <c r="J1082" s="14" t="s">
        <v>676</v>
      </c>
      <c r="K1082" s="1" t="s">
        <v>51</v>
      </c>
      <c r="L1082" s="1" t="s">
        <v>32</v>
      </c>
      <c r="M1082" s="14">
        <v>1</v>
      </c>
      <c r="N1082" s="2">
        <v>25.81</v>
      </c>
      <c r="O1082" s="16">
        <v>32</v>
      </c>
      <c r="P1082" s="14">
        <v>4.22</v>
      </c>
      <c r="Q1082" s="14">
        <f t="shared" si="16"/>
        <v>27.78</v>
      </c>
      <c r="R1082" s="1">
        <v>925</v>
      </c>
      <c r="S1082" s="1">
        <v>200000000492</v>
      </c>
      <c r="T1082" s="1">
        <v>29</v>
      </c>
      <c r="U1082" s="1">
        <v>1</v>
      </c>
      <c r="V1082" s="1">
        <v>2</v>
      </c>
    </row>
    <row r="1083" spans="1:22" x14ac:dyDescent="0.25">
      <c r="A1083" s="3">
        <v>44776</v>
      </c>
      <c r="B1083" s="4">
        <v>0.82079861111111108</v>
      </c>
      <c r="C1083" s="1">
        <v>1657</v>
      </c>
      <c r="D1083" s="1">
        <v>13002595</v>
      </c>
      <c r="E1083" s="1">
        <v>13</v>
      </c>
      <c r="F1083" s="1">
        <v>22589</v>
      </c>
      <c r="G1083" s="1" t="s">
        <v>21</v>
      </c>
      <c r="H1083" s="1">
        <v>18</v>
      </c>
      <c r="I1083" s="1">
        <v>19546</v>
      </c>
      <c r="J1083" s="14" t="s">
        <v>676</v>
      </c>
      <c r="K1083" s="1" t="s">
        <v>51</v>
      </c>
      <c r="L1083" s="1" t="s">
        <v>32</v>
      </c>
      <c r="M1083" s="14">
        <v>1</v>
      </c>
      <c r="N1083" s="2">
        <v>25.81</v>
      </c>
      <c r="O1083" s="16">
        <v>32</v>
      </c>
      <c r="P1083" s="14">
        <v>4.22</v>
      </c>
      <c r="Q1083" s="14">
        <f t="shared" si="16"/>
        <v>27.78</v>
      </c>
      <c r="R1083" s="1">
        <v>925</v>
      </c>
      <c r="S1083" s="1">
        <v>200000000492</v>
      </c>
      <c r="T1083" s="1">
        <v>29</v>
      </c>
      <c r="U1083" s="1">
        <v>1</v>
      </c>
      <c r="V1083" s="1">
        <v>3</v>
      </c>
    </row>
    <row r="1084" spans="1:22" x14ac:dyDescent="0.25">
      <c r="A1084" s="3">
        <v>44774</v>
      </c>
      <c r="B1084" s="4">
        <v>0.55306712962962967</v>
      </c>
      <c r="C1084" s="1">
        <v>1338</v>
      </c>
      <c r="D1084" s="1">
        <v>13002561</v>
      </c>
      <c r="E1084" s="1">
        <v>13</v>
      </c>
      <c r="F1084" s="1">
        <v>22589</v>
      </c>
      <c r="G1084" s="1" t="s">
        <v>21</v>
      </c>
      <c r="H1084" s="1">
        <v>15</v>
      </c>
      <c r="I1084" s="1">
        <v>196444</v>
      </c>
      <c r="J1084" s="14" t="s">
        <v>281</v>
      </c>
      <c r="K1084" s="1" t="s">
        <v>51</v>
      </c>
      <c r="L1084" s="1" t="s">
        <v>32</v>
      </c>
      <c r="M1084" s="14">
        <v>1</v>
      </c>
      <c r="N1084" s="2">
        <v>79.930000000000007</v>
      </c>
      <c r="O1084" s="16">
        <v>100</v>
      </c>
      <c r="P1084" s="14">
        <v>5</v>
      </c>
      <c r="Q1084" s="14">
        <f t="shared" si="16"/>
        <v>95</v>
      </c>
      <c r="R1084" s="1">
        <v>9</v>
      </c>
      <c r="S1084" s="1">
        <v>200010018363</v>
      </c>
      <c r="T1084" s="1">
        <v>29</v>
      </c>
      <c r="U1084" s="1">
        <v>1</v>
      </c>
      <c r="V1084" s="1">
        <v>1</v>
      </c>
    </row>
    <row r="1085" spans="1:22" x14ac:dyDescent="0.25">
      <c r="A1085" s="3">
        <v>44777</v>
      </c>
      <c r="B1085" s="4">
        <v>0.43846064814814817</v>
      </c>
      <c r="C1085" s="1">
        <v>1672</v>
      </c>
      <c r="D1085" s="1">
        <v>13002606</v>
      </c>
      <c r="E1085" s="1">
        <v>13</v>
      </c>
      <c r="F1085" s="1">
        <v>22589</v>
      </c>
      <c r="G1085" s="1" t="s">
        <v>21</v>
      </c>
      <c r="H1085" s="1">
        <v>18</v>
      </c>
      <c r="I1085" s="1">
        <v>196444</v>
      </c>
      <c r="J1085" s="14" t="s">
        <v>281</v>
      </c>
      <c r="K1085" s="1" t="s">
        <v>51</v>
      </c>
      <c r="L1085" s="1" t="s">
        <v>32</v>
      </c>
      <c r="M1085" s="14">
        <v>1</v>
      </c>
      <c r="N1085" s="2">
        <v>79.930000000000007</v>
      </c>
      <c r="O1085" s="16">
        <v>100</v>
      </c>
      <c r="P1085" s="14">
        <v>0</v>
      </c>
      <c r="Q1085" s="14">
        <f t="shared" si="16"/>
        <v>100</v>
      </c>
      <c r="R1085" s="1" t="s">
        <v>25</v>
      </c>
      <c r="S1085" s="1" t="s">
        <v>25</v>
      </c>
      <c r="T1085" s="1">
        <v>50</v>
      </c>
      <c r="U1085" s="1">
        <v>1</v>
      </c>
      <c r="V1085" s="1">
        <v>1</v>
      </c>
    </row>
    <row r="1086" spans="1:22" x14ac:dyDescent="0.25">
      <c r="A1086" s="3">
        <v>44778</v>
      </c>
      <c r="B1086" s="4">
        <v>0.49047453703703703</v>
      </c>
      <c r="C1086" s="1">
        <v>1825</v>
      </c>
      <c r="D1086" s="1">
        <v>13002616</v>
      </c>
      <c r="E1086" s="1">
        <v>13</v>
      </c>
      <c r="F1086" s="1">
        <v>22589</v>
      </c>
      <c r="G1086" s="1" t="s">
        <v>21</v>
      </c>
      <c r="H1086" s="1">
        <v>18</v>
      </c>
      <c r="I1086" s="1">
        <v>196444</v>
      </c>
      <c r="J1086" s="14" t="s">
        <v>281</v>
      </c>
      <c r="K1086" s="1" t="s">
        <v>51</v>
      </c>
      <c r="L1086" s="1" t="s">
        <v>32</v>
      </c>
      <c r="M1086" s="14">
        <v>1</v>
      </c>
      <c r="N1086" s="2">
        <v>79.930000000000007</v>
      </c>
      <c r="O1086" s="16">
        <v>100</v>
      </c>
      <c r="P1086" s="14">
        <v>5</v>
      </c>
      <c r="Q1086" s="14">
        <f t="shared" si="16"/>
        <v>95</v>
      </c>
      <c r="R1086" s="1">
        <v>9</v>
      </c>
      <c r="S1086" s="1">
        <v>200010001143</v>
      </c>
      <c r="T1086" s="1">
        <v>50</v>
      </c>
      <c r="U1086" s="1">
        <v>1</v>
      </c>
      <c r="V1086" s="1">
        <v>1</v>
      </c>
    </row>
    <row r="1087" spans="1:22" x14ac:dyDescent="0.25">
      <c r="A1087" s="3">
        <v>44774</v>
      </c>
      <c r="B1087" s="4">
        <v>0.44861111111111113</v>
      </c>
      <c r="C1087" s="1">
        <v>1297</v>
      </c>
      <c r="D1087" s="1">
        <v>13002561</v>
      </c>
      <c r="E1087" s="1">
        <v>13</v>
      </c>
      <c r="F1087" s="1">
        <v>22589</v>
      </c>
      <c r="G1087" s="1" t="s">
        <v>21</v>
      </c>
      <c r="H1087" s="1">
        <v>15</v>
      </c>
      <c r="I1087" s="1">
        <v>8529</v>
      </c>
      <c r="J1087" s="14" t="s">
        <v>134</v>
      </c>
      <c r="K1087" s="1" t="s">
        <v>23</v>
      </c>
      <c r="L1087" s="1" t="s">
        <v>135</v>
      </c>
      <c r="M1087" s="14">
        <v>1</v>
      </c>
      <c r="N1087" s="2">
        <v>299.66000000000003</v>
      </c>
      <c r="O1087" s="16">
        <v>405</v>
      </c>
      <c r="P1087" s="14">
        <v>0</v>
      </c>
      <c r="Q1087" s="14">
        <f t="shared" si="16"/>
        <v>405</v>
      </c>
      <c r="R1087" s="1" t="s">
        <v>25</v>
      </c>
      <c r="S1087" s="1" t="s">
        <v>25</v>
      </c>
      <c r="T1087" s="1">
        <v>29</v>
      </c>
      <c r="U1087" s="1">
        <v>1</v>
      </c>
      <c r="V1087" s="1">
        <v>5</v>
      </c>
    </row>
    <row r="1088" spans="1:22" x14ac:dyDescent="0.25">
      <c r="A1088" s="3">
        <v>44778</v>
      </c>
      <c r="B1088" s="4">
        <v>0.799224537037037</v>
      </c>
      <c r="C1088" s="1">
        <v>1897</v>
      </c>
      <c r="D1088" s="1">
        <v>13002616</v>
      </c>
      <c r="E1088" s="1">
        <v>13</v>
      </c>
      <c r="F1088" s="1">
        <v>22589</v>
      </c>
      <c r="G1088" s="1" t="s">
        <v>21</v>
      </c>
      <c r="H1088" s="1">
        <v>18</v>
      </c>
      <c r="I1088" s="1">
        <v>197399</v>
      </c>
      <c r="J1088" s="14" t="s">
        <v>1220</v>
      </c>
      <c r="K1088" s="1" t="s">
        <v>29</v>
      </c>
      <c r="L1088" s="1" t="s">
        <v>1221</v>
      </c>
      <c r="M1088" s="14">
        <v>0.33333333999999998</v>
      </c>
      <c r="N1088" s="2">
        <v>1632.4</v>
      </c>
      <c r="O1088" s="16">
        <v>2041</v>
      </c>
      <c r="P1088" s="14">
        <v>0</v>
      </c>
      <c r="Q1088" s="14">
        <f t="shared" si="16"/>
        <v>680.33334693999996</v>
      </c>
      <c r="R1088" s="1" t="s">
        <v>25</v>
      </c>
      <c r="S1088" s="1" t="s">
        <v>25</v>
      </c>
      <c r="T1088" s="1">
        <v>50</v>
      </c>
      <c r="U1088" s="1">
        <v>1</v>
      </c>
      <c r="V1088" s="1">
        <v>1</v>
      </c>
    </row>
    <row r="1089" spans="1:22" x14ac:dyDescent="0.25">
      <c r="A1089" s="3">
        <v>44776</v>
      </c>
      <c r="B1089" s="4">
        <v>0.53520833333333329</v>
      </c>
      <c r="C1089" s="1">
        <v>1588</v>
      </c>
      <c r="D1089" s="1">
        <v>13002595</v>
      </c>
      <c r="E1089" s="1">
        <v>13</v>
      </c>
      <c r="F1089" s="1">
        <v>22589</v>
      </c>
      <c r="G1089" s="1" t="s">
        <v>21</v>
      </c>
      <c r="H1089" s="1">
        <v>18</v>
      </c>
      <c r="I1089" s="1">
        <v>339209</v>
      </c>
      <c r="J1089" s="14" t="s">
        <v>816</v>
      </c>
      <c r="K1089" s="1" t="s">
        <v>45</v>
      </c>
      <c r="L1089" s="1" t="s">
        <v>37</v>
      </c>
      <c r="M1089" s="14">
        <v>1</v>
      </c>
      <c r="N1089" s="2">
        <v>309.10000000000002</v>
      </c>
      <c r="O1089" s="16">
        <v>409</v>
      </c>
      <c r="P1089" s="14">
        <v>0</v>
      </c>
      <c r="Q1089" s="14">
        <f t="shared" si="16"/>
        <v>409</v>
      </c>
      <c r="R1089" s="1" t="s">
        <v>25</v>
      </c>
      <c r="S1089" s="1" t="s">
        <v>25</v>
      </c>
      <c r="T1089" s="1">
        <v>29</v>
      </c>
      <c r="U1089" s="1">
        <v>1</v>
      </c>
      <c r="V1089" s="1">
        <v>1</v>
      </c>
    </row>
    <row r="1090" spans="1:22" x14ac:dyDescent="0.25">
      <c r="A1090" s="3">
        <v>44778</v>
      </c>
      <c r="B1090" s="4">
        <v>0.39695601851851853</v>
      </c>
      <c r="C1090" s="1">
        <v>1798</v>
      </c>
      <c r="D1090" s="1">
        <v>13002616</v>
      </c>
      <c r="E1090" s="1">
        <v>13</v>
      </c>
      <c r="F1090" s="1">
        <v>22589</v>
      </c>
      <c r="G1090" s="1" t="s">
        <v>21</v>
      </c>
      <c r="H1090" s="1">
        <v>15</v>
      </c>
      <c r="I1090" s="1">
        <v>128772</v>
      </c>
      <c r="J1090" s="14" t="s">
        <v>1092</v>
      </c>
      <c r="K1090" s="1" t="s">
        <v>61</v>
      </c>
      <c r="L1090" s="1" t="s">
        <v>1093</v>
      </c>
      <c r="M1090" s="14">
        <v>1</v>
      </c>
      <c r="N1090" s="2">
        <v>176.46</v>
      </c>
      <c r="O1090" s="16">
        <v>274</v>
      </c>
      <c r="P1090" s="14">
        <v>27</v>
      </c>
      <c r="Q1090" s="14">
        <f t="shared" ref="Q1090:Q1153" si="17">M1090*O1090-P1090</f>
        <v>247</v>
      </c>
      <c r="R1090" s="1">
        <v>9</v>
      </c>
      <c r="S1090" s="1">
        <v>200010022565</v>
      </c>
      <c r="T1090" s="1">
        <v>50</v>
      </c>
      <c r="U1090" s="1">
        <v>1</v>
      </c>
      <c r="V1090" s="1">
        <v>3</v>
      </c>
    </row>
    <row r="1091" spans="1:22" x14ac:dyDescent="0.25">
      <c r="A1091" s="3">
        <v>44774</v>
      </c>
      <c r="B1091" s="4">
        <v>0.45111111111111113</v>
      </c>
      <c r="C1091" s="1">
        <v>1298</v>
      </c>
      <c r="D1091" s="1">
        <v>13002561</v>
      </c>
      <c r="E1091" s="1">
        <v>13</v>
      </c>
      <c r="F1091" s="1">
        <v>22589</v>
      </c>
      <c r="G1091" s="1" t="s">
        <v>21</v>
      </c>
      <c r="H1091" s="1">
        <v>18</v>
      </c>
      <c r="I1091" s="1">
        <v>46046</v>
      </c>
      <c r="J1091" s="14" t="s">
        <v>149</v>
      </c>
      <c r="K1091" s="1" t="s">
        <v>48</v>
      </c>
      <c r="L1091" s="1" t="s">
        <v>118</v>
      </c>
      <c r="M1091" s="14">
        <v>1</v>
      </c>
      <c r="N1091" s="2">
        <v>71.849999999999994</v>
      </c>
      <c r="O1091" s="16">
        <v>103</v>
      </c>
      <c r="P1091" s="14">
        <v>0</v>
      </c>
      <c r="Q1091" s="14">
        <f t="shared" si="17"/>
        <v>103</v>
      </c>
      <c r="R1091" s="1" t="s">
        <v>25</v>
      </c>
      <c r="S1091" s="1" t="s">
        <v>25</v>
      </c>
      <c r="T1091" s="1">
        <v>29</v>
      </c>
      <c r="U1091" s="1">
        <v>1</v>
      </c>
      <c r="V1091" s="1">
        <v>5</v>
      </c>
    </row>
    <row r="1092" spans="1:22" x14ac:dyDescent="0.25">
      <c r="A1092" s="3">
        <v>44774</v>
      </c>
      <c r="B1092" s="4">
        <v>0.57680555555555557</v>
      </c>
      <c r="C1092" s="1">
        <v>1348</v>
      </c>
      <c r="D1092" s="1">
        <v>13002561</v>
      </c>
      <c r="E1092" s="1">
        <v>13</v>
      </c>
      <c r="F1092" s="1">
        <v>22589</v>
      </c>
      <c r="G1092" s="1" t="s">
        <v>21</v>
      </c>
      <c r="H1092" s="1">
        <v>15</v>
      </c>
      <c r="I1092" s="1">
        <v>46046</v>
      </c>
      <c r="J1092" s="14" t="s">
        <v>149</v>
      </c>
      <c r="K1092" s="1" t="s">
        <v>48</v>
      </c>
      <c r="L1092" s="1" t="s">
        <v>118</v>
      </c>
      <c r="M1092" s="14">
        <v>1</v>
      </c>
      <c r="N1092" s="2">
        <v>71.849999999999994</v>
      </c>
      <c r="O1092" s="16">
        <v>103</v>
      </c>
      <c r="P1092" s="14">
        <v>7</v>
      </c>
      <c r="Q1092" s="14">
        <f t="shared" si="17"/>
        <v>96</v>
      </c>
      <c r="R1092" s="1">
        <v>9</v>
      </c>
      <c r="S1092" s="1">
        <v>200010021953</v>
      </c>
      <c r="T1092" s="1">
        <v>29</v>
      </c>
      <c r="U1092" s="1">
        <v>1</v>
      </c>
      <c r="V1092" s="1">
        <v>6</v>
      </c>
    </row>
    <row r="1093" spans="1:22" x14ac:dyDescent="0.25">
      <c r="A1093" s="3">
        <v>44777</v>
      </c>
      <c r="B1093" s="4">
        <v>0.67237268518518523</v>
      </c>
      <c r="C1093" s="1">
        <v>1743</v>
      </c>
      <c r="D1093" s="1">
        <v>13002606</v>
      </c>
      <c r="E1093" s="1">
        <v>13</v>
      </c>
      <c r="F1093" s="1">
        <v>22589</v>
      </c>
      <c r="G1093" s="1" t="s">
        <v>21</v>
      </c>
      <c r="H1093" s="1">
        <v>18</v>
      </c>
      <c r="I1093" s="1">
        <v>46046</v>
      </c>
      <c r="J1093" s="14" t="s">
        <v>149</v>
      </c>
      <c r="K1093" s="1" t="s">
        <v>48</v>
      </c>
      <c r="L1093" s="1" t="s">
        <v>118</v>
      </c>
      <c r="M1093" s="14">
        <v>1</v>
      </c>
      <c r="N1093" s="2">
        <v>71.849999999999994</v>
      </c>
      <c r="O1093" s="16">
        <v>103</v>
      </c>
      <c r="P1093" s="14">
        <v>7</v>
      </c>
      <c r="Q1093" s="14">
        <f t="shared" si="17"/>
        <v>96</v>
      </c>
      <c r="R1093" s="1">
        <v>9</v>
      </c>
      <c r="S1093" s="1">
        <v>200010021345</v>
      </c>
      <c r="T1093" s="1">
        <v>50</v>
      </c>
      <c r="U1093" s="1">
        <v>1</v>
      </c>
      <c r="V1093" s="1">
        <v>4</v>
      </c>
    </row>
    <row r="1094" spans="1:22" x14ac:dyDescent="0.25">
      <c r="A1094" s="3">
        <v>44777</v>
      </c>
      <c r="B1094" s="4">
        <v>0.5683449074074074</v>
      </c>
      <c r="C1094" s="1">
        <v>1720</v>
      </c>
      <c r="D1094" s="1">
        <v>13002606</v>
      </c>
      <c r="E1094" s="1">
        <v>13</v>
      </c>
      <c r="F1094" s="1">
        <v>22589</v>
      </c>
      <c r="G1094" s="1" t="s">
        <v>21</v>
      </c>
      <c r="H1094" s="1">
        <v>18</v>
      </c>
      <c r="I1094" s="1">
        <v>435891</v>
      </c>
      <c r="J1094" s="14" t="s">
        <v>1010</v>
      </c>
      <c r="K1094" s="1" t="s">
        <v>23</v>
      </c>
      <c r="L1094" s="1" t="s">
        <v>802</v>
      </c>
      <c r="M1094" s="14">
        <v>1</v>
      </c>
      <c r="N1094" s="2">
        <v>52.8</v>
      </c>
      <c r="O1094" s="16">
        <v>81</v>
      </c>
      <c r="P1094" s="14">
        <v>5</v>
      </c>
      <c r="Q1094" s="14">
        <f t="shared" si="17"/>
        <v>76</v>
      </c>
      <c r="R1094" s="1">
        <v>9</v>
      </c>
      <c r="S1094" s="1">
        <v>200010013117</v>
      </c>
      <c r="T1094" s="1">
        <v>50</v>
      </c>
      <c r="U1094" s="1">
        <v>1</v>
      </c>
      <c r="V1094" s="1">
        <v>1</v>
      </c>
    </row>
    <row r="1095" spans="1:22" x14ac:dyDescent="0.25">
      <c r="A1095" s="3">
        <v>44774</v>
      </c>
      <c r="B1095" s="4">
        <v>0.53487268518518516</v>
      </c>
      <c r="C1095" s="1">
        <v>1334</v>
      </c>
      <c r="D1095" s="1">
        <v>13002561</v>
      </c>
      <c r="E1095" s="1">
        <v>13</v>
      </c>
      <c r="F1095" s="1">
        <v>22589</v>
      </c>
      <c r="G1095" s="1" t="s">
        <v>21</v>
      </c>
      <c r="H1095" s="1">
        <v>15</v>
      </c>
      <c r="I1095" s="1">
        <v>12278</v>
      </c>
      <c r="J1095" s="14" t="s">
        <v>271</v>
      </c>
      <c r="K1095" s="1" t="s">
        <v>51</v>
      </c>
      <c r="L1095" s="1" t="s">
        <v>272</v>
      </c>
      <c r="M1095" s="14">
        <v>1</v>
      </c>
      <c r="N1095" s="2">
        <v>211.21</v>
      </c>
      <c r="O1095" s="16">
        <v>286</v>
      </c>
      <c r="P1095" s="14">
        <v>20</v>
      </c>
      <c r="Q1095" s="14">
        <f t="shared" si="17"/>
        <v>266</v>
      </c>
      <c r="R1095" s="1">
        <v>9</v>
      </c>
      <c r="S1095" s="1">
        <v>200010005104</v>
      </c>
      <c r="T1095" s="1">
        <v>29</v>
      </c>
      <c r="U1095" s="1">
        <v>1</v>
      </c>
      <c r="V1095" s="1">
        <v>2</v>
      </c>
    </row>
    <row r="1096" spans="1:22" x14ac:dyDescent="0.25">
      <c r="A1096" s="3">
        <v>44774</v>
      </c>
      <c r="B1096" s="4">
        <v>0.57680555555555557</v>
      </c>
      <c r="C1096" s="1">
        <v>1348</v>
      </c>
      <c r="D1096" s="1">
        <v>13002561</v>
      </c>
      <c r="E1096" s="1">
        <v>13</v>
      </c>
      <c r="F1096" s="1">
        <v>22589</v>
      </c>
      <c r="G1096" s="1" t="s">
        <v>21</v>
      </c>
      <c r="H1096" s="1">
        <v>15</v>
      </c>
      <c r="I1096" s="1">
        <v>13441</v>
      </c>
      <c r="J1096" s="14" t="s">
        <v>304</v>
      </c>
      <c r="K1096" s="1" t="s">
        <v>61</v>
      </c>
      <c r="L1096" s="1" t="s">
        <v>269</v>
      </c>
      <c r="M1096" s="14">
        <v>1</v>
      </c>
      <c r="N1096" s="2">
        <v>42.68</v>
      </c>
      <c r="O1096" s="16">
        <v>70</v>
      </c>
      <c r="P1096" s="14">
        <v>7</v>
      </c>
      <c r="Q1096" s="14">
        <f t="shared" si="17"/>
        <v>63</v>
      </c>
      <c r="R1096" s="1">
        <v>9</v>
      </c>
      <c r="S1096" s="1">
        <v>200010021953</v>
      </c>
      <c r="T1096" s="1">
        <v>29</v>
      </c>
      <c r="U1096" s="1">
        <v>1</v>
      </c>
      <c r="V1096" s="1">
        <v>7</v>
      </c>
    </row>
    <row r="1097" spans="1:22" x14ac:dyDescent="0.25">
      <c r="A1097" s="3">
        <v>44778</v>
      </c>
      <c r="B1097" s="4">
        <v>0.72395833333333337</v>
      </c>
      <c r="C1097" s="1">
        <v>1879</v>
      </c>
      <c r="D1097" s="1">
        <v>13002616</v>
      </c>
      <c r="E1097" s="1">
        <v>13</v>
      </c>
      <c r="F1097" s="1">
        <v>22589</v>
      </c>
      <c r="G1097" s="1" t="s">
        <v>21</v>
      </c>
      <c r="H1097" s="1">
        <v>18</v>
      </c>
      <c r="I1097" s="1">
        <v>13441</v>
      </c>
      <c r="J1097" s="14" t="s">
        <v>304</v>
      </c>
      <c r="K1097" s="1" t="s">
        <v>61</v>
      </c>
      <c r="L1097" s="1" t="s">
        <v>269</v>
      </c>
      <c r="M1097" s="14">
        <v>2</v>
      </c>
      <c r="N1097" s="2">
        <v>42.68</v>
      </c>
      <c r="O1097" s="16">
        <v>70</v>
      </c>
      <c r="P1097" s="14">
        <v>0</v>
      </c>
      <c r="Q1097" s="14">
        <f t="shared" si="17"/>
        <v>140</v>
      </c>
      <c r="R1097" s="1" t="s">
        <v>25</v>
      </c>
      <c r="S1097" s="1" t="s">
        <v>25</v>
      </c>
      <c r="T1097" s="1">
        <v>50</v>
      </c>
      <c r="U1097" s="1">
        <v>1</v>
      </c>
      <c r="V1097" s="1">
        <v>1</v>
      </c>
    </row>
    <row r="1098" spans="1:22" x14ac:dyDescent="0.25">
      <c r="A1098" s="3">
        <v>44777</v>
      </c>
      <c r="B1098" s="4">
        <v>0.50612268518518522</v>
      </c>
      <c r="C1098" s="1">
        <v>1693</v>
      </c>
      <c r="D1098" s="1">
        <v>13002606</v>
      </c>
      <c r="E1098" s="1">
        <v>13</v>
      </c>
      <c r="F1098" s="1">
        <v>22589</v>
      </c>
      <c r="G1098" s="1" t="s">
        <v>21</v>
      </c>
      <c r="H1098" s="1">
        <v>18</v>
      </c>
      <c r="I1098" s="1">
        <v>345530</v>
      </c>
      <c r="J1098" s="14" t="s">
        <v>968</v>
      </c>
      <c r="K1098" s="1" t="s">
        <v>51</v>
      </c>
      <c r="L1098" s="1" t="s">
        <v>383</v>
      </c>
      <c r="M1098" s="14">
        <v>1</v>
      </c>
      <c r="N1098" s="2">
        <v>20.88</v>
      </c>
      <c r="O1098" s="16">
        <v>25</v>
      </c>
      <c r="P1098" s="14">
        <v>0</v>
      </c>
      <c r="Q1098" s="14">
        <f t="shared" si="17"/>
        <v>25</v>
      </c>
      <c r="R1098" s="1" t="s">
        <v>25</v>
      </c>
      <c r="S1098" s="1" t="s">
        <v>25</v>
      </c>
      <c r="T1098" s="1">
        <v>50</v>
      </c>
      <c r="U1098" s="1">
        <v>1</v>
      </c>
      <c r="V1098" s="1">
        <v>2</v>
      </c>
    </row>
    <row r="1099" spans="1:22" x14ac:dyDescent="0.25">
      <c r="A1099" s="3">
        <v>44774</v>
      </c>
      <c r="B1099" s="4">
        <v>0.51331018518518523</v>
      </c>
      <c r="C1099" s="1">
        <v>1324</v>
      </c>
      <c r="D1099" s="1">
        <v>13002561</v>
      </c>
      <c r="E1099" s="1">
        <v>13</v>
      </c>
      <c r="F1099" s="1">
        <v>22589</v>
      </c>
      <c r="G1099" s="1" t="s">
        <v>21</v>
      </c>
      <c r="H1099" s="1">
        <v>15</v>
      </c>
      <c r="I1099" s="1">
        <v>345540</v>
      </c>
      <c r="J1099" s="14" t="s">
        <v>237</v>
      </c>
      <c r="K1099" s="1" t="s">
        <v>51</v>
      </c>
      <c r="L1099" s="1" t="s">
        <v>238</v>
      </c>
      <c r="M1099" s="14">
        <v>1</v>
      </c>
      <c r="N1099" s="2">
        <v>17.72</v>
      </c>
      <c r="O1099" s="16">
        <v>22</v>
      </c>
      <c r="P1099" s="14">
        <v>0</v>
      </c>
      <c r="Q1099" s="14">
        <f t="shared" si="17"/>
        <v>22</v>
      </c>
      <c r="R1099" s="1" t="s">
        <v>25</v>
      </c>
      <c r="S1099" s="1" t="s">
        <v>25</v>
      </c>
      <c r="T1099" s="1">
        <v>29</v>
      </c>
      <c r="U1099" s="1">
        <v>1</v>
      </c>
      <c r="V1099" s="1">
        <v>3</v>
      </c>
    </row>
    <row r="1100" spans="1:22" x14ac:dyDescent="0.25">
      <c r="A1100" s="3">
        <v>44774</v>
      </c>
      <c r="B1100" s="4">
        <v>0.51331018518518523</v>
      </c>
      <c r="C1100" s="1">
        <v>1324</v>
      </c>
      <c r="D1100" s="1">
        <v>13002561</v>
      </c>
      <c r="E1100" s="1">
        <v>13</v>
      </c>
      <c r="F1100" s="1">
        <v>22589</v>
      </c>
      <c r="G1100" s="1" t="s">
        <v>21</v>
      </c>
      <c r="H1100" s="1">
        <v>15</v>
      </c>
      <c r="I1100" s="1">
        <v>345540</v>
      </c>
      <c r="J1100" s="14" t="s">
        <v>237</v>
      </c>
      <c r="K1100" s="1" t="s">
        <v>51</v>
      </c>
      <c r="L1100" s="1" t="s">
        <v>238</v>
      </c>
      <c r="M1100" s="14">
        <v>1</v>
      </c>
      <c r="N1100" s="2">
        <v>17.72</v>
      </c>
      <c r="O1100" s="16">
        <v>22</v>
      </c>
      <c r="P1100" s="14">
        <v>0</v>
      </c>
      <c r="Q1100" s="14">
        <f t="shared" si="17"/>
        <v>22</v>
      </c>
      <c r="R1100" s="1" t="s">
        <v>25</v>
      </c>
      <c r="S1100" s="1" t="s">
        <v>25</v>
      </c>
      <c r="T1100" s="1">
        <v>29</v>
      </c>
      <c r="U1100" s="1">
        <v>1</v>
      </c>
      <c r="V1100" s="1">
        <v>4</v>
      </c>
    </row>
    <row r="1101" spans="1:22" x14ac:dyDescent="0.25">
      <c r="A1101" s="3">
        <v>44778</v>
      </c>
      <c r="B1101" s="4">
        <v>0.49533564814814812</v>
      </c>
      <c r="C1101" s="1">
        <v>1827</v>
      </c>
      <c r="D1101" s="1">
        <v>13002616</v>
      </c>
      <c r="E1101" s="1">
        <v>13</v>
      </c>
      <c r="F1101" s="1">
        <v>22589</v>
      </c>
      <c r="G1101" s="1" t="s">
        <v>21</v>
      </c>
      <c r="H1101" s="1">
        <v>15</v>
      </c>
      <c r="I1101" s="1">
        <v>345540</v>
      </c>
      <c r="J1101" s="14" t="s">
        <v>237</v>
      </c>
      <c r="K1101" s="1" t="s">
        <v>51</v>
      </c>
      <c r="L1101" s="1" t="s">
        <v>238</v>
      </c>
      <c r="M1101" s="14">
        <v>1</v>
      </c>
      <c r="N1101" s="2">
        <v>17.72</v>
      </c>
      <c r="O1101" s="16">
        <v>22</v>
      </c>
      <c r="P1101" s="14">
        <v>1</v>
      </c>
      <c r="Q1101" s="14">
        <f t="shared" si="17"/>
        <v>21</v>
      </c>
      <c r="R1101" s="1">
        <v>9</v>
      </c>
      <c r="S1101" s="1">
        <v>200010008406</v>
      </c>
      <c r="T1101" s="1">
        <v>50</v>
      </c>
      <c r="U1101" s="1">
        <v>1</v>
      </c>
      <c r="V1101" s="1">
        <v>3</v>
      </c>
    </row>
    <row r="1102" spans="1:22" x14ac:dyDescent="0.25">
      <c r="A1102" s="3">
        <v>44774</v>
      </c>
      <c r="B1102" s="4">
        <v>0.53337962962962959</v>
      </c>
      <c r="C1102" s="1">
        <v>1332</v>
      </c>
      <c r="D1102" s="1">
        <v>13002561</v>
      </c>
      <c r="E1102" s="1">
        <v>13</v>
      </c>
      <c r="F1102" s="1">
        <v>22589</v>
      </c>
      <c r="G1102" s="1" t="s">
        <v>21</v>
      </c>
      <c r="H1102" s="1">
        <v>15</v>
      </c>
      <c r="I1102" s="1">
        <v>375726</v>
      </c>
      <c r="J1102" s="14" t="s">
        <v>267</v>
      </c>
      <c r="K1102" s="1" t="s">
        <v>29</v>
      </c>
      <c r="L1102" s="1" t="s">
        <v>266</v>
      </c>
      <c r="M1102" s="14">
        <v>2</v>
      </c>
      <c r="N1102" s="2">
        <v>47.58</v>
      </c>
      <c r="O1102" s="16">
        <v>78</v>
      </c>
      <c r="P1102" s="14">
        <v>15</v>
      </c>
      <c r="Q1102" s="14">
        <f t="shared" si="17"/>
        <v>141</v>
      </c>
      <c r="R1102" s="1">
        <v>9</v>
      </c>
      <c r="S1102" s="1">
        <v>200010023521</v>
      </c>
      <c r="T1102" s="1">
        <v>29</v>
      </c>
      <c r="U1102" s="1">
        <v>1</v>
      </c>
      <c r="V1102" s="1">
        <v>1</v>
      </c>
    </row>
    <row r="1103" spans="1:22" x14ac:dyDescent="0.25">
      <c r="A1103" s="3">
        <v>44777</v>
      </c>
      <c r="B1103" s="4">
        <v>0.54090277777777773</v>
      </c>
      <c r="C1103" s="1">
        <v>1711</v>
      </c>
      <c r="D1103" s="1">
        <v>13002606</v>
      </c>
      <c r="E1103" s="1">
        <v>13</v>
      </c>
      <c r="F1103" s="1">
        <v>22589</v>
      </c>
      <c r="G1103" s="1" t="s">
        <v>21</v>
      </c>
      <c r="H1103" s="1">
        <v>15</v>
      </c>
      <c r="I1103" s="1">
        <v>378577</v>
      </c>
      <c r="J1103" s="14" t="s">
        <v>997</v>
      </c>
      <c r="K1103" s="1" t="s">
        <v>51</v>
      </c>
      <c r="L1103" s="1" t="s">
        <v>266</v>
      </c>
      <c r="M1103" s="14">
        <v>2</v>
      </c>
      <c r="N1103" s="2">
        <v>26.19</v>
      </c>
      <c r="O1103" s="16">
        <v>43</v>
      </c>
      <c r="P1103" s="14">
        <v>8</v>
      </c>
      <c r="Q1103" s="14">
        <f t="shared" si="17"/>
        <v>78</v>
      </c>
      <c r="R1103" s="1">
        <v>9</v>
      </c>
      <c r="S1103" s="1">
        <v>200010021933</v>
      </c>
      <c r="T1103" s="1">
        <v>50</v>
      </c>
      <c r="U1103" s="1">
        <v>1</v>
      </c>
      <c r="V1103" s="1">
        <v>1</v>
      </c>
    </row>
    <row r="1104" spans="1:22" x14ac:dyDescent="0.25">
      <c r="A1104" s="3">
        <v>44774</v>
      </c>
      <c r="B1104" s="4">
        <v>0.72908564814814814</v>
      </c>
      <c r="C1104" s="1">
        <v>1387</v>
      </c>
      <c r="D1104" s="1">
        <v>13002561</v>
      </c>
      <c r="E1104" s="1">
        <v>13</v>
      </c>
      <c r="F1104" s="1">
        <v>22589</v>
      </c>
      <c r="G1104" s="1" t="s">
        <v>21</v>
      </c>
      <c r="H1104" s="1">
        <v>18</v>
      </c>
      <c r="I1104" s="1">
        <v>36124</v>
      </c>
      <c r="J1104" s="14" t="s">
        <v>406</v>
      </c>
      <c r="K1104" s="1" t="s">
        <v>117</v>
      </c>
      <c r="L1104" s="1" t="s">
        <v>407</v>
      </c>
      <c r="M1104" s="14">
        <v>1</v>
      </c>
      <c r="N1104" s="2">
        <v>9.83</v>
      </c>
      <c r="O1104" s="16">
        <v>17</v>
      </c>
      <c r="P1104" s="14">
        <v>1</v>
      </c>
      <c r="Q1104" s="14">
        <f t="shared" si="17"/>
        <v>16</v>
      </c>
      <c r="R1104" s="1">
        <v>9</v>
      </c>
      <c r="S1104" s="1">
        <v>200010023529</v>
      </c>
      <c r="T1104" s="1">
        <v>29</v>
      </c>
      <c r="U1104" s="1">
        <v>1</v>
      </c>
      <c r="V1104" s="1">
        <v>1</v>
      </c>
    </row>
    <row r="1105" spans="1:22" x14ac:dyDescent="0.25">
      <c r="A1105" s="3">
        <v>44775</v>
      </c>
      <c r="B1105" s="4">
        <v>0.67931712962962965</v>
      </c>
      <c r="C1105" s="1">
        <v>1495</v>
      </c>
      <c r="D1105" s="1">
        <v>13002581</v>
      </c>
      <c r="E1105" s="1">
        <v>13</v>
      </c>
      <c r="F1105" s="1">
        <v>22589</v>
      </c>
      <c r="G1105" s="1" t="s">
        <v>21</v>
      </c>
      <c r="H1105" s="1">
        <v>15</v>
      </c>
      <c r="I1105" s="1">
        <v>37948</v>
      </c>
      <c r="J1105" s="14" t="s">
        <v>641</v>
      </c>
      <c r="K1105" s="1" t="s">
        <v>117</v>
      </c>
      <c r="L1105" s="1" t="s">
        <v>266</v>
      </c>
      <c r="M1105" s="14">
        <v>1</v>
      </c>
      <c r="N1105" s="2">
        <v>37.270000000000003</v>
      </c>
      <c r="O1105" s="16">
        <v>61</v>
      </c>
      <c r="P1105" s="14">
        <v>0</v>
      </c>
      <c r="Q1105" s="14">
        <f t="shared" si="17"/>
        <v>61</v>
      </c>
      <c r="R1105" s="1" t="s">
        <v>25</v>
      </c>
      <c r="S1105" s="1" t="s">
        <v>25</v>
      </c>
      <c r="T1105" s="1">
        <v>29</v>
      </c>
      <c r="U1105" s="1">
        <v>1</v>
      </c>
      <c r="V1105" s="1">
        <v>2</v>
      </c>
    </row>
    <row r="1106" spans="1:22" x14ac:dyDescent="0.25">
      <c r="A1106" s="3">
        <v>44775</v>
      </c>
      <c r="B1106" s="4">
        <v>0.67931712962962965</v>
      </c>
      <c r="C1106" s="1">
        <v>1495</v>
      </c>
      <c r="D1106" s="1">
        <v>13002581</v>
      </c>
      <c r="E1106" s="1">
        <v>13</v>
      </c>
      <c r="F1106" s="1">
        <v>22589</v>
      </c>
      <c r="G1106" s="1" t="s">
        <v>21</v>
      </c>
      <c r="H1106" s="1">
        <v>15</v>
      </c>
      <c r="I1106" s="1">
        <v>37948</v>
      </c>
      <c r="J1106" s="14" t="s">
        <v>641</v>
      </c>
      <c r="K1106" s="1" t="s">
        <v>45</v>
      </c>
      <c r="L1106" s="1" t="s">
        <v>266</v>
      </c>
      <c r="M1106" s="14">
        <v>2</v>
      </c>
      <c r="N1106" s="2">
        <v>33.97</v>
      </c>
      <c r="O1106" s="16">
        <v>56</v>
      </c>
      <c r="P1106" s="14">
        <v>0</v>
      </c>
      <c r="Q1106" s="14">
        <f t="shared" si="17"/>
        <v>112</v>
      </c>
      <c r="R1106" s="1" t="s">
        <v>25</v>
      </c>
      <c r="S1106" s="1" t="s">
        <v>25</v>
      </c>
      <c r="T1106" s="1">
        <v>29</v>
      </c>
      <c r="U1106" s="1">
        <v>1</v>
      </c>
      <c r="V1106" s="1">
        <v>3</v>
      </c>
    </row>
    <row r="1107" spans="1:22" x14ac:dyDescent="0.25">
      <c r="A1107" s="3">
        <v>44774</v>
      </c>
      <c r="B1107" s="4">
        <v>0.53337962962962959</v>
      </c>
      <c r="C1107" s="1">
        <v>1332</v>
      </c>
      <c r="D1107" s="1">
        <v>13002561</v>
      </c>
      <c r="E1107" s="1">
        <v>13</v>
      </c>
      <c r="F1107" s="1">
        <v>22589</v>
      </c>
      <c r="G1107" s="1" t="s">
        <v>21</v>
      </c>
      <c r="H1107" s="1">
        <v>15</v>
      </c>
      <c r="I1107" s="1">
        <v>7951</v>
      </c>
      <c r="J1107" s="14" t="s">
        <v>265</v>
      </c>
      <c r="K1107" s="1" t="s">
        <v>61</v>
      </c>
      <c r="L1107" s="1" t="s">
        <v>266</v>
      </c>
      <c r="M1107" s="14">
        <v>1</v>
      </c>
      <c r="N1107" s="2">
        <v>41.58</v>
      </c>
      <c r="O1107" s="16">
        <v>68</v>
      </c>
      <c r="P1107" s="14">
        <v>6</v>
      </c>
      <c r="Q1107" s="14">
        <f t="shared" si="17"/>
        <v>62</v>
      </c>
      <c r="R1107" s="1">
        <v>9</v>
      </c>
      <c r="S1107" s="1">
        <v>200010023521</v>
      </c>
      <c r="T1107" s="1">
        <v>29</v>
      </c>
      <c r="U1107" s="1">
        <v>1</v>
      </c>
      <c r="V1107" s="1">
        <v>2</v>
      </c>
    </row>
    <row r="1108" spans="1:22" x14ac:dyDescent="0.25">
      <c r="A1108" s="3">
        <v>44775</v>
      </c>
      <c r="B1108" s="4">
        <v>0.39520833333333333</v>
      </c>
      <c r="C1108" s="1">
        <v>1428</v>
      </c>
      <c r="D1108" s="1">
        <v>13002581</v>
      </c>
      <c r="E1108" s="1">
        <v>13</v>
      </c>
      <c r="F1108" s="1">
        <v>22589</v>
      </c>
      <c r="G1108" s="1" t="s">
        <v>21</v>
      </c>
      <c r="H1108" s="1">
        <v>15</v>
      </c>
      <c r="I1108" s="1">
        <v>195924</v>
      </c>
      <c r="J1108" s="14" t="s">
        <v>503</v>
      </c>
      <c r="K1108" s="1" t="s">
        <v>110</v>
      </c>
      <c r="L1108" s="1" t="s">
        <v>504</v>
      </c>
      <c r="M1108" s="14">
        <v>1</v>
      </c>
      <c r="N1108" s="2">
        <v>76.319999999999993</v>
      </c>
      <c r="O1108" s="16">
        <v>120</v>
      </c>
      <c r="P1108" s="14">
        <v>12</v>
      </c>
      <c r="Q1108" s="14">
        <f t="shared" si="17"/>
        <v>108</v>
      </c>
      <c r="R1108" s="1">
        <v>9</v>
      </c>
      <c r="S1108" s="1">
        <v>200010021941</v>
      </c>
      <c r="T1108" s="1">
        <v>29</v>
      </c>
      <c r="U1108" s="1">
        <v>1</v>
      </c>
      <c r="V1108" s="1">
        <v>4</v>
      </c>
    </row>
    <row r="1109" spans="1:22" x14ac:dyDescent="0.25">
      <c r="A1109" s="3">
        <v>44774</v>
      </c>
      <c r="B1109" s="4">
        <v>0.72802083333333334</v>
      </c>
      <c r="C1109" s="1">
        <v>1386</v>
      </c>
      <c r="D1109" s="1">
        <v>13002561</v>
      </c>
      <c r="E1109" s="1">
        <v>13</v>
      </c>
      <c r="F1109" s="1">
        <v>22589</v>
      </c>
      <c r="G1109" s="1" t="s">
        <v>21</v>
      </c>
      <c r="H1109" s="1">
        <v>18</v>
      </c>
      <c r="I1109" s="1">
        <v>45389</v>
      </c>
      <c r="J1109" s="14" t="s">
        <v>403</v>
      </c>
      <c r="K1109" s="1" t="s">
        <v>51</v>
      </c>
      <c r="L1109" s="1" t="s">
        <v>133</v>
      </c>
      <c r="M1109" s="14">
        <v>1</v>
      </c>
      <c r="N1109" s="2">
        <v>108.46</v>
      </c>
      <c r="O1109" s="16">
        <v>149</v>
      </c>
      <c r="P1109" s="14">
        <v>0</v>
      </c>
      <c r="Q1109" s="14">
        <f t="shared" si="17"/>
        <v>149</v>
      </c>
      <c r="R1109" s="1" t="s">
        <v>25</v>
      </c>
      <c r="S1109" s="1" t="s">
        <v>25</v>
      </c>
      <c r="T1109" s="1">
        <v>29</v>
      </c>
      <c r="U1109" s="1">
        <v>1</v>
      </c>
      <c r="V1109" s="1">
        <v>3</v>
      </c>
    </row>
    <row r="1110" spans="1:22" x14ac:dyDescent="0.25">
      <c r="A1110" s="3">
        <v>44774</v>
      </c>
      <c r="B1110" s="4">
        <v>0.76312500000000005</v>
      </c>
      <c r="C1110" s="1">
        <v>1396</v>
      </c>
      <c r="D1110" s="1">
        <v>13002561</v>
      </c>
      <c r="E1110" s="1">
        <v>13</v>
      </c>
      <c r="F1110" s="1">
        <v>22589</v>
      </c>
      <c r="G1110" s="1" t="s">
        <v>21</v>
      </c>
      <c r="H1110" s="1">
        <v>15</v>
      </c>
      <c r="I1110" s="1">
        <v>120285</v>
      </c>
      <c r="J1110" s="14" t="s">
        <v>430</v>
      </c>
      <c r="K1110" s="1" t="s">
        <v>51</v>
      </c>
      <c r="L1110" s="1" t="s">
        <v>431</v>
      </c>
      <c r="M1110" s="14">
        <v>1</v>
      </c>
      <c r="N1110" s="2">
        <v>467.69</v>
      </c>
      <c r="O1110" s="16">
        <v>585</v>
      </c>
      <c r="P1110" s="14">
        <v>0</v>
      </c>
      <c r="Q1110" s="14">
        <f t="shared" si="17"/>
        <v>585</v>
      </c>
      <c r="R1110" s="1" t="s">
        <v>25</v>
      </c>
      <c r="S1110" s="1" t="s">
        <v>25</v>
      </c>
      <c r="T1110" s="1">
        <v>29</v>
      </c>
      <c r="U1110" s="1">
        <v>1</v>
      </c>
      <c r="V1110" s="1">
        <v>1</v>
      </c>
    </row>
    <row r="1111" spans="1:22" x14ac:dyDescent="0.25">
      <c r="A1111" s="3">
        <v>44774</v>
      </c>
      <c r="B1111" s="4">
        <v>0.77285879629629628</v>
      </c>
      <c r="C1111" s="1">
        <v>1399</v>
      </c>
      <c r="D1111" s="1">
        <v>13002561</v>
      </c>
      <c r="E1111" s="1">
        <v>13</v>
      </c>
      <c r="F1111" s="1">
        <v>22589</v>
      </c>
      <c r="G1111" s="1" t="s">
        <v>21</v>
      </c>
      <c r="H1111" s="1">
        <v>18</v>
      </c>
      <c r="I1111" s="1">
        <v>3970</v>
      </c>
      <c r="J1111" s="14" t="s">
        <v>434</v>
      </c>
      <c r="K1111" s="1" t="s">
        <v>117</v>
      </c>
      <c r="L1111" s="1" t="s">
        <v>118</v>
      </c>
      <c r="M1111" s="14">
        <v>1</v>
      </c>
      <c r="N1111" s="2">
        <v>120.94</v>
      </c>
      <c r="O1111" s="16">
        <v>166</v>
      </c>
      <c r="P1111" s="14">
        <v>11</v>
      </c>
      <c r="Q1111" s="14">
        <f t="shared" si="17"/>
        <v>155</v>
      </c>
      <c r="R1111" s="1">
        <v>9</v>
      </c>
      <c r="S1111" s="1">
        <v>200010012028</v>
      </c>
      <c r="T1111" s="1">
        <v>29</v>
      </c>
      <c r="U1111" s="1">
        <v>1</v>
      </c>
      <c r="V1111" s="1">
        <v>2</v>
      </c>
    </row>
    <row r="1112" spans="1:22" x14ac:dyDescent="0.25">
      <c r="A1112" s="3">
        <v>44774</v>
      </c>
      <c r="B1112" s="4">
        <v>0.77285879629629628</v>
      </c>
      <c r="C1112" s="1">
        <v>1399</v>
      </c>
      <c r="D1112" s="1">
        <v>13002561</v>
      </c>
      <c r="E1112" s="1">
        <v>13</v>
      </c>
      <c r="F1112" s="1">
        <v>22589</v>
      </c>
      <c r="G1112" s="1" t="s">
        <v>21</v>
      </c>
      <c r="H1112" s="1">
        <v>18</v>
      </c>
      <c r="I1112" s="1">
        <v>3970</v>
      </c>
      <c r="J1112" s="14" t="s">
        <v>434</v>
      </c>
      <c r="K1112" s="1" t="s">
        <v>117</v>
      </c>
      <c r="L1112" s="1" t="s">
        <v>118</v>
      </c>
      <c r="M1112" s="14">
        <v>1</v>
      </c>
      <c r="N1112" s="2">
        <v>120.94</v>
      </c>
      <c r="O1112" s="16">
        <v>166</v>
      </c>
      <c r="P1112" s="14">
        <v>11</v>
      </c>
      <c r="Q1112" s="14">
        <f t="shared" si="17"/>
        <v>155</v>
      </c>
      <c r="R1112" s="1">
        <v>9</v>
      </c>
      <c r="S1112" s="1">
        <v>200010012028</v>
      </c>
      <c r="T1112" s="1">
        <v>29</v>
      </c>
      <c r="U1112" s="1">
        <v>1</v>
      </c>
      <c r="V1112" s="1">
        <v>3</v>
      </c>
    </row>
    <row r="1113" spans="1:22" x14ac:dyDescent="0.25">
      <c r="A1113" s="3">
        <v>44774</v>
      </c>
      <c r="B1113" s="4">
        <v>0.77285879629629628</v>
      </c>
      <c r="C1113" s="1">
        <v>1399</v>
      </c>
      <c r="D1113" s="1">
        <v>13002561</v>
      </c>
      <c r="E1113" s="1">
        <v>13</v>
      </c>
      <c r="F1113" s="1">
        <v>22589</v>
      </c>
      <c r="G1113" s="1" t="s">
        <v>21</v>
      </c>
      <c r="H1113" s="1">
        <v>18</v>
      </c>
      <c r="I1113" s="1">
        <v>3970</v>
      </c>
      <c r="J1113" s="14" t="s">
        <v>434</v>
      </c>
      <c r="K1113" s="1" t="s">
        <v>117</v>
      </c>
      <c r="L1113" s="1" t="s">
        <v>118</v>
      </c>
      <c r="M1113" s="14">
        <v>1</v>
      </c>
      <c r="N1113" s="2">
        <v>120.94</v>
      </c>
      <c r="O1113" s="16">
        <v>166</v>
      </c>
      <c r="P1113" s="14">
        <v>11</v>
      </c>
      <c r="Q1113" s="14">
        <f t="shared" si="17"/>
        <v>155</v>
      </c>
      <c r="R1113" s="1">
        <v>9</v>
      </c>
      <c r="S1113" s="1">
        <v>200010012028</v>
      </c>
      <c r="T1113" s="1">
        <v>29</v>
      </c>
      <c r="U1113" s="1">
        <v>1</v>
      </c>
      <c r="V1113" s="1">
        <v>4</v>
      </c>
    </row>
    <row r="1114" spans="1:22" x14ac:dyDescent="0.25">
      <c r="A1114" s="3">
        <v>44774</v>
      </c>
      <c r="B1114" s="4">
        <v>0.47605324074074074</v>
      </c>
      <c r="C1114" s="1">
        <v>1306</v>
      </c>
      <c r="D1114" s="1">
        <v>13002561</v>
      </c>
      <c r="E1114" s="1">
        <v>13</v>
      </c>
      <c r="F1114" s="1">
        <v>22589</v>
      </c>
      <c r="G1114" s="1" t="s">
        <v>21</v>
      </c>
      <c r="H1114" s="1">
        <v>15</v>
      </c>
      <c r="I1114" s="1">
        <v>48192</v>
      </c>
      <c r="J1114" s="14" t="s">
        <v>176</v>
      </c>
      <c r="K1114" s="1" t="s">
        <v>58</v>
      </c>
      <c r="L1114" s="1" t="s">
        <v>177</v>
      </c>
      <c r="M1114" s="14">
        <v>1</v>
      </c>
      <c r="N1114" s="2">
        <v>22.43</v>
      </c>
      <c r="O1114" s="16">
        <v>37</v>
      </c>
      <c r="P1114" s="14">
        <v>0</v>
      </c>
      <c r="Q1114" s="14">
        <f t="shared" si="17"/>
        <v>37</v>
      </c>
      <c r="R1114" s="1" t="s">
        <v>25</v>
      </c>
      <c r="S1114" s="1" t="s">
        <v>25</v>
      </c>
      <c r="T1114" s="1">
        <v>29</v>
      </c>
      <c r="U1114" s="1">
        <v>1</v>
      </c>
      <c r="V1114" s="1">
        <v>1</v>
      </c>
    </row>
    <row r="1115" spans="1:22" x14ac:dyDescent="0.25">
      <c r="A1115" s="3">
        <v>44776</v>
      </c>
      <c r="B1115" s="4">
        <v>0.45681712962962961</v>
      </c>
      <c r="C1115" s="1">
        <v>1561</v>
      </c>
      <c r="D1115" s="1">
        <v>13002595</v>
      </c>
      <c r="E1115" s="1">
        <v>13</v>
      </c>
      <c r="F1115" s="1">
        <v>22589</v>
      </c>
      <c r="G1115" s="1" t="s">
        <v>21</v>
      </c>
      <c r="H1115" s="1">
        <v>18</v>
      </c>
      <c r="I1115" s="1">
        <v>48192</v>
      </c>
      <c r="J1115" s="14" t="s">
        <v>176</v>
      </c>
      <c r="K1115" s="1" t="s">
        <v>58</v>
      </c>
      <c r="L1115" s="1" t="s">
        <v>177</v>
      </c>
      <c r="M1115" s="14">
        <v>1</v>
      </c>
      <c r="N1115" s="2">
        <v>22.43</v>
      </c>
      <c r="O1115" s="16">
        <v>37</v>
      </c>
      <c r="P1115" s="14">
        <v>4.74</v>
      </c>
      <c r="Q1115" s="14">
        <f t="shared" si="17"/>
        <v>32.26</v>
      </c>
      <c r="R1115" s="1">
        <v>925</v>
      </c>
      <c r="S1115" s="1">
        <v>200000000492</v>
      </c>
      <c r="T1115" s="1">
        <v>29</v>
      </c>
      <c r="U1115" s="1">
        <v>1</v>
      </c>
      <c r="V1115" s="1">
        <v>2</v>
      </c>
    </row>
    <row r="1116" spans="1:22" x14ac:dyDescent="0.25">
      <c r="A1116" s="3">
        <v>44776</v>
      </c>
      <c r="B1116" s="4">
        <v>0.56975694444444447</v>
      </c>
      <c r="C1116" s="1">
        <v>1601</v>
      </c>
      <c r="D1116" s="1">
        <v>13002595</v>
      </c>
      <c r="E1116" s="1">
        <v>13</v>
      </c>
      <c r="F1116" s="1">
        <v>22589</v>
      </c>
      <c r="G1116" s="1" t="s">
        <v>21</v>
      </c>
      <c r="H1116" s="1">
        <v>15</v>
      </c>
      <c r="I1116" s="1">
        <v>48192</v>
      </c>
      <c r="J1116" s="14" t="s">
        <v>176</v>
      </c>
      <c r="K1116" s="1" t="s">
        <v>58</v>
      </c>
      <c r="L1116" s="1" t="s">
        <v>177</v>
      </c>
      <c r="M1116" s="14">
        <v>1</v>
      </c>
      <c r="N1116" s="2">
        <v>22.43</v>
      </c>
      <c r="O1116" s="16">
        <v>37</v>
      </c>
      <c r="P1116" s="14">
        <v>0</v>
      </c>
      <c r="Q1116" s="14">
        <f t="shared" si="17"/>
        <v>37</v>
      </c>
      <c r="R1116" s="1" t="s">
        <v>25</v>
      </c>
      <c r="S1116" s="1" t="s">
        <v>25</v>
      </c>
      <c r="T1116" s="1">
        <v>29</v>
      </c>
      <c r="U1116" s="1">
        <v>1</v>
      </c>
      <c r="V1116" s="1">
        <v>2</v>
      </c>
    </row>
    <row r="1117" spans="1:22" x14ac:dyDescent="0.25">
      <c r="A1117" s="3">
        <v>44776</v>
      </c>
      <c r="B1117" s="4">
        <v>0.82486111111111116</v>
      </c>
      <c r="C1117" s="1">
        <v>1659</v>
      </c>
      <c r="D1117" s="1">
        <v>13002595</v>
      </c>
      <c r="E1117" s="1">
        <v>13</v>
      </c>
      <c r="F1117" s="1">
        <v>22589</v>
      </c>
      <c r="G1117" s="1" t="s">
        <v>21</v>
      </c>
      <c r="H1117" s="1">
        <v>15</v>
      </c>
      <c r="I1117" s="1">
        <v>48192</v>
      </c>
      <c r="J1117" s="14" t="s">
        <v>176</v>
      </c>
      <c r="K1117" s="1" t="s">
        <v>58</v>
      </c>
      <c r="L1117" s="1" t="s">
        <v>177</v>
      </c>
      <c r="M1117" s="14">
        <v>1</v>
      </c>
      <c r="N1117" s="2">
        <v>22.43</v>
      </c>
      <c r="O1117" s="16">
        <v>37</v>
      </c>
      <c r="P1117" s="14">
        <v>0</v>
      </c>
      <c r="Q1117" s="14">
        <f t="shared" si="17"/>
        <v>37</v>
      </c>
      <c r="R1117" s="1" t="s">
        <v>25</v>
      </c>
      <c r="S1117" s="1" t="s">
        <v>25</v>
      </c>
      <c r="T1117" s="1">
        <v>29</v>
      </c>
      <c r="U1117" s="1">
        <v>1</v>
      </c>
      <c r="V1117" s="1">
        <v>2</v>
      </c>
    </row>
    <row r="1118" spans="1:22" x14ac:dyDescent="0.25">
      <c r="A1118" s="3">
        <v>44778</v>
      </c>
      <c r="B1118" s="4">
        <v>0.34179398148148149</v>
      </c>
      <c r="C1118" s="1">
        <v>1783</v>
      </c>
      <c r="D1118" s="1">
        <v>13002616</v>
      </c>
      <c r="E1118" s="1">
        <v>13</v>
      </c>
      <c r="F1118" s="1">
        <v>22589</v>
      </c>
      <c r="G1118" s="1" t="s">
        <v>21</v>
      </c>
      <c r="H1118" s="1">
        <v>18</v>
      </c>
      <c r="I1118" s="1">
        <v>48192</v>
      </c>
      <c r="J1118" s="14" t="s">
        <v>176</v>
      </c>
      <c r="K1118" s="1" t="s">
        <v>58</v>
      </c>
      <c r="L1118" s="1" t="s">
        <v>177</v>
      </c>
      <c r="M1118" s="14">
        <v>1</v>
      </c>
      <c r="N1118" s="2">
        <v>22.43</v>
      </c>
      <c r="O1118" s="16">
        <v>37</v>
      </c>
      <c r="P1118" s="14">
        <v>2.29</v>
      </c>
      <c r="Q1118" s="14">
        <f t="shared" si="17"/>
        <v>34.71</v>
      </c>
      <c r="R1118" s="1">
        <v>925</v>
      </c>
      <c r="S1118" s="1">
        <v>200000000492</v>
      </c>
      <c r="T1118" s="1">
        <v>50</v>
      </c>
      <c r="U1118" s="1">
        <v>1</v>
      </c>
      <c r="V1118" s="1">
        <v>4</v>
      </c>
    </row>
    <row r="1119" spans="1:22" x14ac:dyDescent="0.25">
      <c r="A1119" s="3">
        <v>44778</v>
      </c>
      <c r="B1119" s="4">
        <v>0.52067129629629627</v>
      </c>
      <c r="C1119" s="1">
        <v>1835</v>
      </c>
      <c r="D1119" s="1">
        <v>13002616</v>
      </c>
      <c r="E1119" s="1">
        <v>13</v>
      </c>
      <c r="F1119" s="1">
        <v>22589</v>
      </c>
      <c r="G1119" s="1" t="s">
        <v>21</v>
      </c>
      <c r="H1119" s="1">
        <v>18</v>
      </c>
      <c r="I1119" s="1">
        <v>48192</v>
      </c>
      <c r="J1119" s="14" t="s">
        <v>176</v>
      </c>
      <c r="K1119" s="1" t="s">
        <v>58</v>
      </c>
      <c r="L1119" s="1" t="s">
        <v>177</v>
      </c>
      <c r="M1119" s="14">
        <v>1</v>
      </c>
      <c r="N1119" s="2">
        <v>22.43</v>
      </c>
      <c r="O1119" s="16">
        <v>37</v>
      </c>
      <c r="P1119" s="14">
        <v>0</v>
      </c>
      <c r="Q1119" s="14">
        <f t="shared" si="17"/>
        <v>37</v>
      </c>
      <c r="R1119" s="1" t="s">
        <v>25</v>
      </c>
      <c r="S1119" s="1" t="s">
        <v>25</v>
      </c>
      <c r="T1119" s="1">
        <v>50</v>
      </c>
      <c r="U1119" s="1">
        <v>1</v>
      </c>
      <c r="V1119" s="1">
        <v>2</v>
      </c>
    </row>
    <row r="1120" spans="1:22" x14ac:dyDescent="0.25">
      <c r="A1120" s="3">
        <v>44776</v>
      </c>
      <c r="B1120" s="4">
        <v>0.61731481481481476</v>
      </c>
      <c r="C1120" s="1">
        <v>1612</v>
      </c>
      <c r="D1120" s="1">
        <v>13002595</v>
      </c>
      <c r="E1120" s="1">
        <v>13</v>
      </c>
      <c r="F1120" s="1">
        <v>22589</v>
      </c>
      <c r="G1120" s="1" t="s">
        <v>21</v>
      </c>
      <c r="H1120" s="1">
        <v>15</v>
      </c>
      <c r="I1120" s="1">
        <v>28310</v>
      </c>
      <c r="J1120" s="14" t="s">
        <v>859</v>
      </c>
      <c r="K1120" s="1" t="s">
        <v>51</v>
      </c>
      <c r="L1120" s="1" t="s">
        <v>80</v>
      </c>
      <c r="M1120" s="14">
        <v>1</v>
      </c>
      <c r="N1120" s="2">
        <v>26.97</v>
      </c>
      <c r="O1120" s="16">
        <v>44</v>
      </c>
      <c r="P1120" s="14">
        <v>0</v>
      </c>
      <c r="Q1120" s="14">
        <f t="shared" si="17"/>
        <v>44</v>
      </c>
      <c r="R1120" s="1" t="s">
        <v>25</v>
      </c>
      <c r="S1120" s="1" t="s">
        <v>25</v>
      </c>
      <c r="T1120" s="1">
        <v>29</v>
      </c>
      <c r="U1120" s="1">
        <v>1</v>
      </c>
      <c r="V1120" s="1">
        <v>1</v>
      </c>
    </row>
    <row r="1121" spans="1:22" x14ac:dyDescent="0.25">
      <c r="A1121" s="3">
        <v>44777</v>
      </c>
      <c r="B1121" s="4">
        <v>0.47797453703703702</v>
      </c>
      <c r="C1121" s="1">
        <v>1683</v>
      </c>
      <c r="D1121" s="1">
        <v>13002606</v>
      </c>
      <c r="E1121" s="1">
        <v>13</v>
      </c>
      <c r="F1121" s="1">
        <v>22589</v>
      </c>
      <c r="G1121" s="1" t="s">
        <v>21</v>
      </c>
      <c r="H1121" s="1">
        <v>15</v>
      </c>
      <c r="I1121" s="1">
        <v>1106</v>
      </c>
      <c r="J1121" s="14" t="s">
        <v>960</v>
      </c>
      <c r="K1121" s="1" t="s">
        <v>34</v>
      </c>
      <c r="L1121" s="1" t="s">
        <v>961</v>
      </c>
      <c r="M1121" s="14">
        <v>0.12</v>
      </c>
      <c r="N1121" s="2">
        <v>492.1</v>
      </c>
      <c r="O1121" s="16">
        <v>593</v>
      </c>
      <c r="P1121" s="14">
        <v>1.1599999999999999</v>
      </c>
      <c r="Q1121" s="14">
        <f t="shared" si="17"/>
        <v>70</v>
      </c>
      <c r="R1121" s="1">
        <v>9</v>
      </c>
      <c r="S1121" s="1">
        <v>200010014077</v>
      </c>
      <c r="T1121" s="1">
        <v>50</v>
      </c>
      <c r="U1121" s="1">
        <v>1</v>
      </c>
      <c r="V1121" s="1">
        <v>1</v>
      </c>
    </row>
    <row r="1122" spans="1:22" x14ac:dyDescent="0.25">
      <c r="A1122" s="3">
        <v>44777</v>
      </c>
      <c r="B1122" s="4">
        <v>0.5683449074074074</v>
      </c>
      <c r="C1122" s="1">
        <v>1720</v>
      </c>
      <c r="D1122" s="1">
        <v>13002606</v>
      </c>
      <c r="E1122" s="1">
        <v>13</v>
      </c>
      <c r="F1122" s="1">
        <v>22589</v>
      </c>
      <c r="G1122" s="1" t="s">
        <v>21</v>
      </c>
      <c r="H1122" s="1">
        <v>18</v>
      </c>
      <c r="I1122" s="1">
        <v>1106</v>
      </c>
      <c r="J1122" s="14" t="s">
        <v>960</v>
      </c>
      <c r="K1122" s="1" t="s">
        <v>34</v>
      </c>
      <c r="L1122" s="1" t="s">
        <v>961</v>
      </c>
      <c r="M1122" s="14">
        <v>0.16</v>
      </c>
      <c r="N1122" s="2">
        <v>492.1</v>
      </c>
      <c r="O1122" s="16">
        <v>593</v>
      </c>
      <c r="P1122" s="14">
        <v>1.88</v>
      </c>
      <c r="Q1122" s="14">
        <f t="shared" si="17"/>
        <v>93</v>
      </c>
      <c r="R1122" s="1">
        <v>9</v>
      </c>
      <c r="S1122" s="1">
        <v>200010013117</v>
      </c>
      <c r="T1122" s="1">
        <v>50</v>
      </c>
      <c r="U1122" s="1">
        <v>1</v>
      </c>
      <c r="V1122" s="1">
        <v>2</v>
      </c>
    </row>
    <row r="1123" spans="1:22" x14ac:dyDescent="0.25">
      <c r="A1123" s="3">
        <v>44778</v>
      </c>
      <c r="B1123" s="4">
        <v>0.7950694444444445</v>
      </c>
      <c r="C1123" s="1">
        <v>1896</v>
      </c>
      <c r="D1123" s="1">
        <v>13002616</v>
      </c>
      <c r="E1123" s="1">
        <v>13</v>
      </c>
      <c r="F1123" s="1">
        <v>22589</v>
      </c>
      <c r="G1123" s="1" t="s">
        <v>21</v>
      </c>
      <c r="H1123" s="1">
        <v>18</v>
      </c>
      <c r="I1123" s="1">
        <v>84715</v>
      </c>
      <c r="J1123" s="14" t="s">
        <v>1218</v>
      </c>
      <c r="K1123" s="1" t="s">
        <v>252</v>
      </c>
      <c r="L1123" s="1" t="s">
        <v>1219</v>
      </c>
      <c r="M1123" s="14">
        <v>0.33333332999999998</v>
      </c>
      <c r="N1123" s="2">
        <v>2237.48</v>
      </c>
      <c r="O1123" s="16">
        <v>3066</v>
      </c>
      <c r="P1123" s="14">
        <v>102</v>
      </c>
      <c r="Q1123" s="14">
        <f t="shared" si="17"/>
        <v>919.99998977999996</v>
      </c>
      <c r="R1123" s="1">
        <v>9</v>
      </c>
      <c r="S1123" s="1">
        <v>200010023600</v>
      </c>
      <c r="T1123" s="1">
        <v>50</v>
      </c>
      <c r="U1123" s="1">
        <v>1</v>
      </c>
      <c r="V1123" s="1">
        <v>2</v>
      </c>
    </row>
    <row r="1124" spans="1:22" x14ac:dyDescent="0.25">
      <c r="A1124" s="3">
        <v>44776</v>
      </c>
      <c r="B1124" s="4">
        <v>0.79931712962962964</v>
      </c>
      <c r="C1124" s="1">
        <v>1653</v>
      </c>
      <c r="D1124" s="1">
        <v>13002595</v>
      </c>
      <c r="E1124" s="1">
        <v>13</v>
      </c>
      <c r="F1124" s="1">
        <v>22589</v>
      </c>
      <c r="G1124" s="1" t="s">
        <v>21</v>
      </c>
      <c r="H1124" s="1">
        <v>15</v>
      </c>
      <c r="I1124" s="1">
        <v>57761</v>
      </c>
      <c r="J1124" s="14" t="s">
        <v>921</v>
      </c>
      <c r="K1124" s="1" t="s">
        <v>58</v>
      </c>
      <c r="L1124" s="1" t="s">
        <v>922</v>
      </c>
      <c r="M1124" s="14">
        <v>0.33333332999999998</v>
      </c>
      <c r="N1124" s="2">
        <v>2346.54</v>
      </c>
      <c r="O1124" s="16">
        <v>3215</v>
      </c>
      <c r="P1124" s="14">
        <v>106.67</v>
      </c>
      <c r="Q1124" s="14">
        <f t="shared" si="17"/>
        <v>964.99665594999999</v>
      </c>
      <c r="R1124" s="1">
        <v>9</v>
      </c>
      <c r="S1124" s="1">
        <v>200010023008</v>
      </c>
      <c r="T1124" s="1">
        <v>29</v>
      </c>
      <c r="U1124" s="1">
        <v>1</v>
      </c>
      <c r="V1124" s="1">
        <v>1</v>
      </c>
    </row>
    <row r="1125" spans="1:22" x14ac:dyDescent="0.25">
      <c r="A1125" s="3">
        <v>44777</v>
      </c>
      <c r="B1125" s="4">
        <v>0.68287037037037035</v>
      </c>
      <c r="C1125" s="1">
        <v>1746</v>
      </c>
      <c r="D1125" s="1">
        <v>13002606</v>
      </c>
      <c r="E1125" s="1">
        <v>13</v>
      </c>
      <c r="F1125" s="1">
        <v>22589</v>
      </c>
      <c r="G1125" s="1" t="s">
        <v>21</v>
      </c>
      <c r="H1125" s="1">
        <v>18</v>
      </c>
      <c r="I1125" s="1">
        <v>195563</v>
      </c>
      <c r="J1125" s="14" t="s">
        <v>1041</v>
      </c>
      <c r="K1125" s="1" t="s">
        <v>58</v>
      </c>
      <c r="L1125" s="1" t="s">
        <v>922</v>
      </c>
      <c r="M1125" s="14">
        <v>1</v>
      </c>
      <c r="N1125" s="2">
        <v>807.75</v>
      </c>
      <c r="O1125" s="16">
        <v>1147</v>
      </c>
      <c r="P1125" s="14">
        <v>114</v>
      </c>
      <c r="Q1125" s="14">
        <f t="shared" si="17"/>
        <v>1033</v>
      </c>
      <c r="R1125" s="1">
        <v>9</v>
      </c>
      <c r="S1125" s="1">
        <v>200010016107</v>
      </c>
      <c r="T1125" s="1">
        <v>50</v>
      </c>
      <c r="U1125" s="1">
        <v>1</v>
      </c>
      <c r="V1125" s="1">
        <v>1</v>
      </c>
    </row>
    <row r="1126" spans="1:22" x14ac:dyDescent="0.25">
      <c r="A1126" s="3">
        <v>44778</v>
      </c>
      <c r="B1126" s="4">
        <v>0.38469907407407405</v>
      </c>
      <c r="C1126" s="1">
        <v>1793</v>
      </c>
      <c r="D1126" s="1">
        <v>13002616</v>
      </c>
      <c r="E1126" s="1">
        <v>13</v>
      </c>
      <c r="F1126" s="1">
        <v>22589</v>
      </c>
      <c r="G1126" s="1" t="s">
        <v>21</v>
      </c>
      <c r="H1126" s="1">
        <v>15</v>
      </c>
      <c r="I1126" s="1">
        <v>449563</v>
      </c>
      <c r="J1126" s="14" t="s">
        <v>1089</v>
      </c>
      <c r="K1126" s="1" t="s">
        <v>61</v>
      </c>
      <c r="L1126" s="1" t="s">
        <v>1090</v>
      </c>
      <c r="M1126" s="14">
        <v>1</v>
      </c>
      <c r="N1126" s="2">
        <v>22.22</v>
      </c>
      <c r="O1126" s="16">
        <v>36</v>
      </c>
      <c r="P1126" s="14">
        <v>0</v>
      </c>
      <c r="Q1126" s="14">
        <f t="shared" si="17"/>
        <v>36</v>
      </c>
      <c r="R1126" s="1" t="s">
        <v>25</v>
      </c>
      <c r="S1126" s="1" t="s">
        <v>25</v>
      </c>
      <c r="T1126" s="1">
        <v>50</v>
      </c>
      <c r="U1126" s="1">
        <v>1</v>
      </c>
      <c r="V1126" s="1">
        <v>1</v>
      </c>
    </row>
    <row r="1127" spans="1:22" x14ac:dyDescent="0.25">
      <c r="A1127" s="3">
        <v>44778</v>
      </c>
      <c r="B1127" s="4">
        <v>0.5577199074074074</v>
      </c>
      <c r="C1127" s="1">
        <v>1844</v>
      </c>
      <c r="D1127" s="1">
        <v>13002616</v>
      </c>
      <c r="E1127" s="1">
        <v>13</v>
      </c>
      <c r="F1127" s="1">
        <v>22589</v>
      </c>
      <c r="G1127" s="1" t="s">
        <v>21</v>
      </c>
      <c r="H1127" s="1">
        <v>18</v>
      </c>
      <c r="I1127" s="1">
        <v>449563</v>
      </c>
      <c r="J1127" s="14" t="s">
        <v>1089</v>
      </c>
      <c r="K1127" s="1" t="s">
        <v>61</v>
      </c>
      <c r="L1127" s="1" t="s">
        <v>1090</v>
      </c>
      <c r="M1127" s="14">
        <v>1</v>
      </c>
      <c r="N1127" s="2">
        <v>22.22</v>
      </c>
      <c r="O1127" s="16">
        <v>36</v>
      </c>
      <c r="P1127" s="14">
        <v>0</v>
      </c>
      <c r="Q1127" s="14">
        <f t="shared" si="17"/>
        <v>36</v>
      </c>
      <c r="R1127" s="1" t="s">
        <v>25</v>
      </c>
      <c r="S1127" s="1" t="s">
        <v>25</v>
      </c>
      <c r="T1127" s="1">
        <v>50</v>
      </c>
      <c r="U1127" s="1">
        <v>1</v>
      </c>
      <c r="V1127" s="1">
        <v>7</v>
      </c>
    </row>
    <row r="1128" spans="1:22" x14ac:dyDescent="0.25">
      <c r="A1128" s="3">
        <v>44774</v>
      </c>
      <c r="B1128" s="4">
        <v>0.62069444444444444</v>
      </c>
      <c r="C1128" s="1">
        <v>1361</v>
      </c>
      <c r="D1128" s="1">
        <v>13002561</v>
      </c>
      <c r="E1128" s="1">
        <v>13</v>
      </c>
      <c r="F1128" s="1">
        <v>22589</v>
      </c>
      <c r="G1128" s="1" t="s">
        <v>21</v>
      </c>
      <c r="H1128" s="1">
        <v>18</v>
      </c>
      <c r="I1128" s="1">
        <v>137134</v>
      </c>
      <c r="J1128" s="14" t="s">
        <v>340</v>
      </c>
      <c r="K1128" s="1" t="s">
        <v>23</v>
      </c>
      <c r="L1128" s="1" t="s">
        <v>341</v>
      </c>
      <c r="M1128" s="14">
        <v>1</v>
      </c>
      <c r="N1128" s="2">
        <v>185.31</v>
      </c>
      <c r="O1128" s="16">
        <v>223</v>
      </c>
      <c r="P1128" s="14">
        <v>11</v>
      </c>
      <c r="Q1128" s="14">
        <f t="shared" si="17"/>
        <v>212</v>
      </c>
      <c r="R1128" s="1">
        <v>9</v>
      </c>
      <c r="S1128" s="1">
        <v>200010020276</v>
      </c>
      <c r="T1128" s="1">
        <v>29</v>
      </c>
      <c r="U1128" s="1">
        <v>1</v>
      </c>
      <c r="V1128" s="1">
        <v>2</v>
      </c>
    </row>
    <row r="1129" spans="1:22" x14ac:dyDescent="0.25">
      <c r="A1129" s="3">
        <v>44777</v>
      </c>
      <c r="B1129" s="4">
        <v>0.52053240740740736</v>
      </c>
      <c r="C1129" s="1">
        <v>1699</v>
      </c>
      <c r="D1129" s="1">
        <v>13002606</v>
      </c>
      <c r="E1129" s="1">
        <v>13</v>
      </c>
      <c r="F1129" s="1">
        <v>22589</v>
      </c>
      <c r="G1129" s="1" t="s">
        <v>21</v>
      </c>
      <c r="H1129" s="1">
        <v>15</v>
      </c>
      <c r="I1129" s="1">
        <v>137134</v>
      </c>
      <c r="J1129" s="14" t="s">
        <v>340</v>
      </c>
      <c r="K1129" s="1" t="s">
        <v>51</v>
      </c>
      <c r="L1129" s="1" t="s">
        <v>341</v>
      </c>
      <c r="M1129" s="14">
        <v>1</v>
      </c>
      <c r="N1129" s="2">
        <v>178.18</v>
      </c>
      <c r="O1129" s="16">
        <v>216</v>
      </c>
      <c r="P1129" s="14">
        <v>10</v>
      </c>
      <c r="Q1129" s="14">
        <f t="shared" si="17"/>
        <v>206</v>
      </c>
      <c r="R1129" s="1">
        <v>9</v>
      </c>
      <c r="S1129" s="1">
        <v>200010001659</v>
      </c>
      <c r="T1129" s="1">
        <v>50</v>
      </c>
      <c r="U1129" s="1">
        <v>1</v>
      </c>
      <c r="V1129" s="1">
        <v>4</v>
      </c>
    </row>
    <row r="1130" spans="1:22" x14ac:dyDescent="0.25">
      <c r="A1130" s="3">
        <v>44774</v>
      </c>
      <c r="B1130" s="4">
        <v>0.51331018518518523</v>
      </c>
      <c r="C1130" s="1">
        <v>1324</v>
      </c>
      <c r="D1130" s="1">
        <v>13002561</v>
      </c>
      <c r="E1130" s="1">
        <v>13</v>
      </c>
      <c r="F1130" s="1">
        <v>22589</v>
      </c>
      <c r="G1130" s="1" t="s">
        <v>21</v>
      </c>
      <c r="H1130" s="1">
        <v>15</v>
      </c>
      <c r="I1130" s="1">
        <v>260992</v>
      </c>
      <c r="J1130" s="14" t="s">
        <v>240</v>
      </c>
      <c r="K1130" s="1" t="s">
        <v>117</v>
      </c>
      <c r="L1130" s="1" t="s">
        <v>37</v>
      </c>
      <c r="M1130" s="14">
        <v>1</v>
      </c>
      <c r="N1130" s="2">
        <v>340.5</v>
      </c>
      <c r="O1130" s="16">
        <v>450</v>
      </c>
      <c r="P1130" s="14">
        <v>0</v>
      </c>
      <c r="Q1130" s="14">
        <f t="shared" si="17"/>
        <v>450</v>
      </c>
      <c r="R1130" s="1" t="s">
        <v>25</v>
      </c>
      <c r="S1130" s="1" t="s">
        <v>25</v>
      </c>
      <c r="T1130" s="1">
        <v>29</v>
      </c>
      <c r="U1130" s="1">
        <v>1</v>
      </c>
      <c r="V1130" s="1">
        <v>5</v>
      </c>
    </row>
    <row r="1131" spans="1:22" x14ac:dyDescent="0.25">
      <c r="A1131" s="3">
        <v>44775</v>
      </c>
      <c r="B1131" s="4">
        <v>0.48201388888888891</v>
      </c>
      <c r="C1131" s="1">
        <v>1447</v>
      </c>
      <c r="D1131" s="1">
        <v>13002581</v>
      </c>
      <c r="E1131" s="1">
        <v>13</v>
      </c>
      <c r="F1131" s="1">
        <v>22589</v>
      </c>
      <c r="G1131" s="1" t="s">
        <v>21</v>
      </c>
      <c r="H1131" s="1">
        <v>18</v>
      </c>
      <c r="I1131" s="1">
        <v>312886</v>
      </c>
      <c r="J1131" s="14" t="s">
        <v>537</v>
      </c>
      <c r="K1131" s="1" t="s">
        <v>61</v>
      </c>
      <c r="L1131" s="1" t="s">
        <v>37</v>
      </c>
      <c r="M1131" s="14">
        <v>1</v>
      </c>
      <c r="N1131" s="2">
        <v>559.67999999999995</v>
      </c>
      <c r="O1131" s="16">
        <v>722</v>
      </c>
      <c r="P1131" s="14">
        <v>50</v>
      </c>
      <c r="Q1131" s="14">
        <f t="shared" si="17"/>
        <v>672</v>
      </c>
      <c r="R1131" s="1">
        <v>9</v>
      </c>
      <c r="S1131" s="1">
        <v>200010016190</v>
      </c>
      <c r="T1131" s="1">
        <v>29</v>
      </c>
      <c r="U1131" s="1">
        <v>1</v>
      </c>
      <c r="V1131" s="1">
        <v>1</v>
      </c>
    </row>
    <row r="1132" spans="1:22" x14ac:dyDescent="0.25">
      <c r="A1132" s="3">
        <v>44775</v>
      </c>
      <c r="B1132" s="4">
        <v>0.75964120370370369</v>
      </c>
      <c r="C1132" s="1">
        <v>1523</v>
      </c>
      <c r="D1132" s="1">
        <v>13002581</v>
      </c>
      <c r="E1132" s="1">
        <v>13</v>
      </c>
      <c r="F1132" s="1">
        <v>22589</v>
      </c>
      <c r="G1132" s="1" t="s">
        <v>21</v>
      </c>
      <c r="H1132" s="1">
        <v>15</v>
      </c>
      <c r="I1132" s="1">
        <v>313917</v>
      </c>
      <c r="J1132" s="14" t="s">
        <v>681</v>
      </c>
      <c r="K1132" s="1" t="s">
        <v>23</v>
      </c>
      <c r="L1132" s="1" t="s">
        <v>37</v>
      </c>
      <c r="M1132" s="14">
        <v>1</v>
      </c>
      <c r="N1132" s="2">
        <v>205.99</v>
      </c>
      <c r="O1132" s="16">
        <v>279</v>
      </c>
      <c r="P1132" s="14">
        <v>0</v>
      </c>
      <c r="Q1132" s="14">
        <f t="shared" si="17"/>
        <v>279</v>
      </c>
      <c r="R1132" s="1" t="s">
        <v>25</v>
      </c>
      <c r="S1132" s="1" t="s">
        <v>25</v>
      </c>
      <c r="T1132" s="1">
        <v>29</v>
      </c>
      <c r="U1132" s="1">
        <v>1</v>
      </c>
      <c r="V1132" s="1">
        <v>1</v>
      </c>
    </row>
    <row r="1133" spans="1:22" x14ac:dyDescent="0.25">
      <c r="A1133" s="3">
        <v>44774</v>
      </c>
      <c r="B1133" s="4">
        <v>0.81778935185185186</v>
      </c>
      <c r="C1133" s="1">
        <v>1411</v>
      </c>
      <c r="D1133" s="1">
        <v>13002561</v>
      </c>
      <c r="E1133" s="1">
        <v>13</v>
      </c>
      <c r="F1133" s="1">
        <v>22589</v>
      </c>
      <c r="G1133" s="1" t="s">
        <v>21</v>
      </c>
      <c r="H1133" s="1">
        <v>18</v>
      </c>
      <c r="I1133" s="1">
        <v>260993</v>
      </c>
      <c r="J1133" s="14" t="s">
        <v>471</v>
      </c>
      <c r="K1133" s="1" t="s">
        <v>34</v>
      </c>
      <c r="L1133" s="1" t="s">
        <v>37</v>
      </c>
      <c r="M1133" s="14">
        <v>1</v>
      </c>
      <c r="N1133" s="2">
        <v>144.94999999999999</v>
      </c>
      <c r="O1133" s="16">
        <v>199</v>
      </c>
      <c r="P1133" s="14">
        <v>0</v>
      </c>
      <c r="Q1133" s="14">
        <f t="shared" si="17"/>
        <v>199</v>
      </c>
      <c r="R1133" s="1" t="s">
        <v>25</v>
      </c>
      <c r="S1133" s="1" t="s">
        <v>25</v>
      </c>
      <c r="T1133" s="1">
        <v>29</v>
      </c>
      <c r="U1133" s="1">
        <v>1</v>
      </c>
      <c r="V1133" s="1">
        <v>1</v>
      </c>
    </row>
    <row r="1134" spans="1:22" x14ac:dyDescent="0.25">
      <c r="A1134" s="3">
        <v>44774</v>
      </c>
      <c r="B1134" s="4">
        <v>0.62164351851851851</v>
      </c>
      <c r="C1134" s="1">
        <v>1362</v>
      </c>
      <c r="D1134" s="1">
        <v>13002561</v>
      </c>
      <c r="E1134" s="1">
        <v>13</v>
      </c>
      <c r="F1134" s="1">
        <v>22589</v>
      </c>
      <c r="G1134" s="1" t="s">
        <v>21</v>
      </c>
      <c r="H1134" s="1">
        <v>18</v>
      </c>
      <c r="I1134" s="1">
        <v>5105</v>
      </c>
      <c r="J1134" s="14" t="s">
        <v>344</v>
      </c>
      <c r="K1134" s="1" t="s">
        <v>34</v>
      </c>
      <c r="L1134" s="1" t="s">
        <v>345</v>
      </c>
      <c r="M1134" s="14">
        <v>1</v>
      </c>
      <c r="N1134" s="2">
        <v>124.84</v>
      </c>
      <c r="O1134" s="16">
        <v>172</v>
      </c>
      <c r="P1134" s="14">
        <v>0</v>
      </c>
      <c r="Q1134" s="14">
        <f t="shared" si="17"/>
        <v>172</v>
      </c>
      <c r="R1134" s="1" t="s">
        <v>25</v>
      </c>
      <c r="S1134" s="1" t="s">
        <v>25</v>
      </c>
      <c r="T1134" s="1">
        <v>29</v>
      </c>
      <c r="U1134" s="1">
        <v>1</v>
      </c>
      <c r="V1134" s="1">
        <v>1</v>
      </c>
    </row>
    <row r="1135" spans="1:22" x14ac:dyDescent="0.25">
      <c r="A1135" s="3">
        <v>44774</v>
      </c>
      <c r="B1135" s="4">
        <v>0.52186342592592594</v>
      </c>
      <c r="C1135" s="1">
        <v>1326</v>
      </c>
      <c r="D1135" s="1">
        <v>13002561</v>
      </c>
      <c r="E1135" s="1">
        <v>13</v>
      </c>
      <c r="F1135" s="1">
        <v>22589</v>
      </c>
      <c r="G1135" s="1" t="s">
        <v>21</v>
      </c>
      <c r="H1135" s="1">
        <v>18</v>
      </c>
      <c r="I1135" s="1">
        <v>165170</v>
      </c>
      <c r="J1135" s="14" t="s">
        <v>243</v>
      </c>
      <c r="K1135" s="1" t="s">
        <v>34</v>
      </c>
      <c r="L1135" s="1" t="s">
        <v>244</v>
      </c>
      <c r="M1135" s="14">
        <v>1</v>
      </c>
      <c r="N1135" s="2">
        <v>691.53</v>
      </c>
      <c r="O1135" s="16">
        <v>948</v>
      </c>
      <c r="P1135" s="14">
        <v>142</v>
      </c>
      <c r="Q1135" s="14">
        <f t="shared" si="17"/>
        <v>806</v>
      </c>
      <c r="R1135" s="1">
        <v>11</v>
      </c>
      <c r="S1135" s="1">
        <v>200010002200</v>
      </c>
      <c r="T1135" s="1">
        <v>29</v>
      </c>
      <c r="U1135" s="1">
        <v>1</v>
      </c>
      <c r="V1135" s="1">
        <v>1</v>
      </c>
    </row>
    <row r="1136" spans="1:22" x14ac:dyDescent="0.25">
      <c r="A1136" s="3">
        <v>44776</v>
      </c>
      <c r="B1136" s="4">
        <v>0.47851851851851851</v>
      </c>
      <c r="C1136" s="1">
        <v>1567</v>
      </c>
      <c r="D1136" s="1">
        <v>13002595</v>
      </c>
      <c r="E1136" s="1">
        <v>13</v>
      </c>
      <c r="F1136" s="1">
        <v>22589</v>
      </c>
      <c r="G1136" s="1" t="s">
        <v>21</v>
      </c>
      <c r="H1136" s="1">
        <v>18</v>
      </c>
      <c r="I1136" s="1">
        <v>45314</v>
      </c>
      <c r="J1136" s="14" t="s">
        <v>767</v>
      </c>
      <c r="K1136" s="1" t="s">
        <v>252</v>
      </c>
      <c r="L1136" s="1" t="s">
        <v>360</v>
      </c>
      <c r="M1136" s="14">
        <v>1</v>
      </c>
      <c r="N1136" s="2">
        <v>20.3</v>
      </c>
      <c r="O1136" s="16">
        <v>33</v>
      </c>
      <c r="P1136" s="14">
        <v>0</v>
      </c>
      <c r="Q1136" s="14">
        <f t="shared" si="17"/>
        <v>33</v>
      </c>
      <c r="R1136" s="1" t="s">
        <v>25</v>
      </c>
      <c r="S1136" s="1" t="s">
        <v>25</v>
      </c>
      <c r="T1136" s="1">
        <v>29</v>
      </c>
      <c r="U1136" s="1">
        <v>1</v>
      </c>
      <c r="V1136" s="1">
        <v>3</v>
      </c>
    </row>
    <row r="1137" spans="1:22" x14ac:dyDescent="0.25">
      <c r="A1137" s="3">
        <v>44776</v>
      </c>
      <c r="B1137" s="4">
        <v>0.53388888888888886</v>
      </c>
      <c r="C1137" s="1">
        <v>1587</v>
      </c>
      <c r="D1137" s="1">
        <v>13002595</v>
      </c>
      <c r="E1137" s="1">
        <v>13</v>
      </c>
      <c r="F1137" s="1">
        <v>22589</v>
      </c>
      <c r="G1137" s="1" t="s">
        <v>21</v>
      </c>
      <c r="H1137" s="1">
        <v>15</v>
      </c>
      <c r="I1137" s="1">
        <v>45314</v>
      </c>
      <c r="J1137" s="14" t="s">
        <v>767</v>
      </c>
      <c r="K1137" s="1" t="s">
        <v>252</v>
      </c>
      <c r="L1137" s="1" t="s">
        <v>360</v>
      </c>
      <c r="M1137" s="14">
        <v>1</v>
      </c>
      <c r="N1137" s="2">
        <v>20.3</v>
      </c>
      <c r="O1137" s="16">
        <v>33</v>
      </c>
      <c r="P1137" s="14">
        <v>0</v>
      </c>
      <c r="Q1137" s="14">
        <f t="shared" si="17"/>
        <v>33</v>
      </c>
      <c r="R1137" s="1" t="s">
        <v>25</v>
      </c>
      <c r="S1137" s="1" t="s">
        <v>25</v>
      </c>
      <c r="T1137" s="1">
        <v>29</v>
      </c>
      <c r="U1137" s="1">
        <v>1</v>
      </c>
      <c r="V1137" s="1">
        <v>6</v>
      </c>
    </row>
    <row r="1138" spans="1:22" x14ac:dyDescent="0.25">
      <c r="A1138" s="3">
        <v>44777</v>
      </c>
      <c r="B1138" s="4">
        <v>0.77209490740740738</v>
      </c>
      <c r="C1138" s="1">
        <v>1768</v>
      </c>
      <c r="D1138" s="1">
        <v>13002606</v>
      </c>
      <c r="E1138" s="1">
        <v>13</v>
      </c>
      <c r="F1138" s="1">
        <v>22589</v>
      </c>
      <c r="G1138" s="1" t="s">
        <v>21</v>
      </c>
      <c r="H1138" s="1">
        <v>15</v>
      </c>
      <c r="I1138" s="1">
        <v>45314</v>
      </c>
      <c r="J1138" s="14" t="s">
        <v>767</v>
      </c>
      <c r="K1138" s="1" t="s">
        <v>252</v>
      </c>
      <c r="L1138" s="1" t="s">
        <v>360</v>
      </c>
      <c r="M1138" s="14">
        <v>1</v>
      </c>
      <c r="N1138" s="2">
        <v>20.3</v>
      </c>
      <c r="O1138" s="16">
        <v>33</v>
      </c>
      <c r="P1138" s="14">
        <v>3</v>
      </c>
      <c r="Q1138" s="14">
        <f t="shared" si="17"/>
        <v>30</v>
      </c>
      <c r="R1138" s="1">
        <v>9</v>
      </c>
      <c r="S1138" s="1">
        <v>200010001749</v>
      </c>
      <c r="T1138" s="1">
        <v>50</v>
      </c>
      <c r="U1138" s="1">
        <v>1</v>
      </c>
      <c r="V1138" s="1">
        <v>6</v>
      </c>
    </row>
    <row r="1139" spans="1:22" x14ac:dyDescent="0.25">
      <c r="A1139" s="3">
        <v>44778</v>
      </c>
      <c r="B1139" s="4">
        <v>0.34179398148148149</v>
      </c>
      <c r="C1139" s="1">
        <v>1783</v>
      </c>
      <c r="D1139" s="1">
        <v>13002616</v>
      </c>
      <c r="E1139" s="1">
        <v>13</v>
      </c>
      <c r="F1139" s="1">
        <v>22589</v>
      </c>
      <c r="G1139" s="1" t="s">
        <v>21</v>
      </c>
      <c r="H1139" s="1">
        <v>18</v>
      </c>
      <c r="I1139" s="1">
        <v>45314</v>
      </c>
      <c r="J1139" s="14" t="s">
        <v>767</v>
      </c>
      <c r="K1139" s="1" t="s">
        <v>252</v>
      </c>
      <c r="L1139" s="1" t="s">
        <v>360</v>
      </c>
      <c r="M1139" s="14">
        <v>1</v>
      </c>
      <c r="N1139" s="2">
        <v>20.3</v>
      </c>
      <c r="O1139" s="16">
        <v>33</v>
      </c>
      <c r="P1139" s="14">
        <v>2.04</v>
      </c>
      <c r="Q1139" s="14">
        <f t="shared" si="17"/>
        <v>30.96</v>
      </c>
      <c r="R1139" s="1">
        <v>925</v>
      </c>
      <c r="S1139" s="1">
        <v>200000000492</v>
      </c>
      <c r="T1139" s="1">
        <v>50</v>
      </c>
      <c r="U1139" s="1">
        <v>1</v>
      </c>
      <c r="V1139" s="1">
        <v>5</v>
      </c>
    </row>
    <row r="1140" spans="1:22" x14ac:dyDescent="0.25">
      <c r="A1140" s="3">
        <v>44774</v>
      </c>
      <c r="B1140" s="4">
        <v>0.67701388888888892</v>
      </c>
      <c r="C1140" s="1">
        <v>1371</v>
      </c>
      <c r="D1140" s="1">
        <v>13002561</v>
      </c>
      <c r="E1140" s="1">
        <v>13</v>
      </c>
      <c r="F1140" s="1">
        <v>22589</v>
      </c>
      <c r="G1140" s="1" t="s">
        <v>21</v>
      </c>
      <c r="H1140" s="1">
        <v>15</v>
      </c>
      <c r="I1140" s="1">
        <v>16261</v>
      </c>
      <c r="J1140" s="14" t="s">
        <v>370</v>
      </c>
      <c r="K1140" s="1" t="s">
        <v>51</v>
      </c>
      <c r="L1140" s="1" t="s">
        <v>360</v>
      </c>
      <c r="M1140" s="14">
        <v>1</v>
      </c>
      <c r="N1140" s="2">
        <v>24.12</v>
      </c>
      <c r="O1140" s="16">
        <v>40</v>
      </c>
      <c r="P1140" s="14">
        <v>4</v>
      </c>
      <c r="Q1140" s="14">
        <f t="shared" si="17"/>
        <v>36</v>
      </c>
      <c r="R1140" s="1">
        <v>9</v>
      </c>
      <c r="S1140" s="1">
        <v>200010022477</v>
      </c>
      <c r="T1140" s="1">
        <v>29</v>
      </c>
      <c r="U1140" s="1">
        <v>1</v>
      </c>
      <c r="V1140" s="1">
        <v>2</v>
      </c>
    </row>
    <row r="1141" spans="1:22" x14ac:dyDescent="0.25">
      <c r="A1141" s="3">
        <v>44774</v>
      </c>
      <c r="B1141" s="4">
        <v>0.64307870370370368</v>
      </c>
      <c r="C1141" s="1">
        <v>1367</v>
      </c>
      <c r="D1141" s="1">
        <v>13002561</v>
      </c>
      <c r="E1141" s="1">
        <v>13</v>
      </c>
      <c r="F1141" s="1">
        <v>22589</v>
      </c>
      <c r="G1141" s="1" t="s">
        <v>21</v>
      </c>
      <c r="H1141" s="1">
        <v>18</v>
      </c>
      <c r="I1141" s="1">
        <v>45768</v>
      </c>
      <c r="J1141" s="14" t="s">
        <v>359</v>
      </c>
      <c r="K1141" s="1" t="s">
        <v>51</v>
      </c>
      <c r="L1141" s="1" t="s">
        <v>360</v>
      </c>
      <c r="M1141" s="14">
        <v>1</v>
      </c>
      <c r="N1141" s="2">
        <v>23.99</v>
      </c>
      <c r="O1141" s="16">
        <v>39</v>
      </c>
      <c r="P1141" s="14">
        <v>0</v>
      </c>
      <c r="Q1141" s="14">
        <f t="shared" si="17"/>
        <v>39</v>
      </c>
      <c r="R1141" s="1" t="s">
        <v>25</v>
      </c>
      <c r="S1141" s="1" t="s">
        <v>25</v>
      </c>
      <c r="T1141" s="1">
        <v>29</v>
      </c>
      <c r="U1141" s="1">
        <v>1</v>
      </c>
      <c r="V1141" s="1">
        <v>4</v>
      </c>
    </row>
    <row r="1142" spans="1:22" x14ac:dyDescent="0.25">
      <c r="A1142" s="3">
        <v>44774</v>
      </c>
      <c r="B1142" s="4">
        <v>0.64307870370370368</v>
      </c>
      <c r="C1142" s="1">
        <v>1367</v>
      </c>
      <c r="D1142" s="1">
        <v>13002561</v>
      </c>
      <c r="E1142" s="1">
        <v>13</v>
      </c>
      <c r="F1142" s="1">
        <v>22589</v>
      </c>
      <c r="G1142" s="1" t="s">
        <v>21</v>
      </c>
      <c r="H1142" s="1">
        <v>18</v>
      </c>
      <c r="I1142" s="1">
        <v>45768</v>
      </c>
      <c r="J1142" s="14" t="s">
        <v>359</v>
      </c>
      <c r="K1142" s="1" t="s">
        <v>51</v>
      </c>
      <c r="L1142" s="1" t="s">
        <v>360</v>
      </c>
      <c r="M1142" s="14">
        <v>1</v>
      </c>
      <c r="N1142" s="2">
        <v>22.86</v>
      </c>
      <c r="O1142" s="16">
        <v>38</v>
      </c>
      <c r="P1142" s="14">
        <v>0</v>
      </c>
      <c r="Q1142" s="14">
        <f t="shared" si="17"/>
        <v>38</v>
      </c>
      <c r="R1142" s="1" t="s">
        <v>25</v>
      </c>
      <c r="S1142" s="1" t="s">
        <v>25</v>
      </c>
      <c r="T1142" s="1">
        <v>29</v>
      </c>
      <c r="U1142" s="1">
        <v>1</v>
      </c>
      <c r="V1142" s="1">
        <v>5</v>
      </c>
    </row>
    <row r="1143" spans="1:22" x14ac:dyDescent="0.25">
      <c r="A1143" s="3">
        <v>44774</v>
      </c>
      <c r="B1143" s="4">
        <v>0.64307870370370368</v>
      </c>
      <c r="C1143" s="1">
        <v>1367</v>
      </c>
      <c r="D1143" s="1">
        <v>13002561</v>
      </c>
      <c r="E1143" s="1">
        <v>13</v>
      </c>
      <c r="F1143" s="1">
        <v>22589</v>
      </c>
      <c r="G1143" s="1" t="s">
        <v>21</v>
      </c>
      <c r="H1143" s="1">
        <v>18</v>
      </c>
      <c r="I1143" s="1">
        <v>436926</v>
      </c>
      <c r="J1143" s="14" t="s">
        <v>361</v>
      </c>
      <c r="K1143" s="1" t="s">
        <v>51</v>
      </c>
      <c r="L1143" s="1" t="s">
        <v>360</v>
      </c>
      <c r="M1143" s="14">
        <v>1</v>
      </c>
      <c r="N1143" s="2">
        <v>24.84</v>
      </c>
      <c r="O1143" s="16">
        <v>41</v>
      </c>
      <c r="P1143" s="14">
        <v>0</v>
      </c>
      <c r="Q1143" s="14">
        <f t="shared" si="17"/>
        <v>41</v>
      </c>
      <c r="R1143" s="1" t="s">
        <v>25</v>
      </c>
      <c r="S1143" s="1" t="s">
        <v>25</v>
      </c>
      <c r="T1143" s="1">
        <v>29</v>
      </c>
      <c r="U1143" s="1">
        <v>1</v>
      </c>
      <c r="V1143" s="1">
        <v>6</v>
      </c>
    </row>
    <row r="1144" spans="1:22" x14ac:dyDescent="0.25">
      <c r="A1144" s="3">
        <v>44776</v>
      </c>
      <c r="B1144" s="4">
        <v>0.6519328703703704</v>
      </c>
      <c r="C1144" s="1">
        <v>1618</v>
      </c>
      <c r="D1144" s="1">
        <v>13002595</v>
      </c>
      <c r="E1144" s="1">
        <v>13</v>
      </c>
      <c r="F1144" s="1">
        <v>22589</v>
      </c>
      <c r="G1144" s="1" t="s">
        <v>21</v>
      </c>
      <c r="H1144" s="1">
        <v>18</v>
      </c>
      <c r="I1144" s="1">
        <v>342435</v>
      </c>
      <c r="J1144" s="14" t="s">
        <v>866</v>
      </c>
      <c r="K1144" s="1" t="s">
        <v>23</v>
      </c>
      <c r="L1144" s="1" t="s">
        <v>228</v>
      </c>
      <c r="M1144" s="14">
        <v>1</v>
      </c>
      <c r="N1144" s="2">
        <v>34.32</v>
      </c>
      <c r="O1144" s="16">
        <v>53</v>
      </c>
      <c r="P1144" s="14">
        <v>3</v>
      </c>
      <c r="Q1144" s="14">
        <f t="shared" si="17"/>
        <v>50</v>
      </c>
      <c r="R1144" s="1">
        <v>9</v>
      </c>
      <c r="S1144" s="1">
        <v>200010004049</v>
      </c>
      <c r="T1144" s="1">
        <v>29</v>
      </c>
      <c r="U1144" s="1">
        <v>1</v>
      </c>
      <c r="V1144" s="1">
        <v>8</v>
      </c>
    </row>
    <row r="1145" spans="1:22" x14ac:dyDescent="0.25">
      <c r="A1145" s="3">
        <v>44776</v>
      </c>
      <c r="B1145" s="4">
        <v>0.6519328703703704</v>
      </c>
      <c r="C1145" s="1">
        <v>1618</v>
      </c>
      <c r="D1145" s="1">
        <v>13002595</v>
      </c>
      <c r="E1145" s="1">
        <v>13</v>
      </c>
      <c r="F1145" s="1">
        <v>22589</v>
      </c>
      <c r="G1145" s="1" t="s">
        <v>21</v>
      </c>
      <c r="H1145" s="1">
        <v>18</v>
      </c>
      <c r="I1145" s="1">
        <v>342435</v>
      </c>
      <c r="J1145" s="14" t="s">
        <v>866</v>
      </c>
      <c r="K1145" s="1" t="s">
        <v>51</v>
      </c>
      <c r="L1145" s="1" t="s">
        <v>228</v>
      </c>
      <c r="M1145" s="14">
        <v>1</v>
      </c>
      <c r="N1145" s="2">
        <v>34.4</v>
      </c>
      <c r="O1145" s="16">
        <v>53</v>
      </c>
      <c r="P1145" s="14">
        <v>3</v>
      </c>
      <c r="Q1145" s="14">
        <f t="shared" si="17"/>
        <v>50</v>
      </c>
      <c r="R1145" s="1">
        <v>9</v>
      </c>
      <c r="S1145" s="1">
        <v>200010004049</v>
      </c>
      <c r="T1145" s="1">
        <v>29</v>
      </c>
      <c r="U1145" s="1">
        <v>1</v>
      </c>
      <c r="V1145" s="1">
        <v>9</v>
      </c>
    </row>
    <row r="1146" spans="1:22" x14ac:dyDescent="0.25">
      <c r="A1146" s="3">
        <v>44776</v>
      </c>
      <c r="B1146" s="4">
        <v>0.6519328703703704</v>
      </c>
      <c r="C1146" s="1">
        <v>1618</v>
      </c>
      <c r="D1146" s="1">
        <v>13002595</v>
      </c>
      <c r="E1146" s="1">
        <v>13</v>
      </c>
      <c r="F1146" s="1">
        <v>22589</v>
      </c>
      <c r="G1146" s="1" t="s">
        <v>21</v>
      </c>
      <c r="H1146" s="1">
        <v>18</v>
      </c>
      <c r="I1146" s="1">
        <v>342435</v>
      </c>
      <c r="J1146" s="14" t="s">
        <v>866</v>
      </c>
      <c r="K1146" s="1" t="s">
        <v>51</v>
      </c>
      <c r="L1146" s="1" t="s">
        <v>228</v>
      </c>
      <c r="M1146" s="14">
        <v>1</v>
      </c>
      <c r="N1146" s="2">
        <v>34.4</v>
      </c>
      <c r="O1146" s="16">
        <v>53</v>
      </c>
      <c r="P1146" s="14">
        <v>3</v>
      </c>
      <c r="Q1146" s="14">
        <f t="shared" si="17"/>
        <v>50</v>
      </c>
      <c r="R1146" s="1">
        <v>9</v>
      </c>
      <c r="S1146" s="1">
        <v>200010004049</v>
      </c>
      <c r="T1146" s="1">
        <v>29</v>
      </c>
      <c r="U1146" s="1">
        <v>1</v>
      </c>
      <c r="V1146" s="1">
        <v>10</v>
      </c>
    </row>
    <row r="1147" spans="1:22" x14ac:dyDescent="0.25">
      <c r="A1147" s="3">
        <v>44778</v>
      </c>
      <c r="B1147" s="4">
        <v>0.71643518518518523</v>
      </c>
      <c r="C1147" s="1">
        <v>1878</v>
      </c>
      <c r="D1147" s="1">
        <v>13002616</v>
      </c>
      <c r="E1147" s="1">
        <v>13</v>
      </c>
      <c r="F1147" s="1">
        <v>22589</v>
      </c>
      <c r="G1147" s="1" t="s">
        <v>21</v>
      </c>
      <c r="H1147" s="1">
        <v>15</v>
      </c>
      <c r="I1147" s="1">
        <v>342435</v>
      </c>
      <c r="J1147" s="14" t="s">
        <v>866</v>
      </c>
      <c r="K1147" s="1" t="s">
        <v>23</v>
      </c>
      <c r="L1147" s="1" t="s">
        <v>228</v>
      </c>
      <c r="M1147" s="14">
        <v>1</v>
      </c>
      <c r="N1147" s="2">
        <v>34.32</v>
      </c>
      <c r="O1147" s="16">
        <v>53</v>
      </c>
      <c r="P1147" s="14">
        <v>0</v>
      </c>
      <c r="Q1147" s="14">
        <f t="shared" si="17"/>
        <v>53</v>
      </c>
      <c r="R1147" s="1" t="s">
        <v>25</v>
      </c>
      <c r="S1147" s="1" t="s">
        <v>25</v>
      </c>
      <c r="T1147" s="1">
        <v>50</v>
      </c>
      <c r="U1147" s="1">
        <v>1</v>
      </c>
      <c r="V1147" s="1">
        <v>5</v>
      </c>
    </row>
    <row r="1148" spans="1:22" x14ac:dyDescent="0.25">
      <c r="A1148" s="3">
        <v>44778</v>
      </c>
      <c r="B1148" s="4">
        <v>0.76478009259259261</v>
      </c>
      <c r="C1148" s="1">
        <v>1887</v>
      </c>
      <c r="D1148" s="1">
        <v>13002616</v>
      </c>
      <c r="E1148" s="1">
        <v>13</v>
      </c>
      <c r="F1148" s="1">
        <v>22589</v>
      </c>
      <c r="G1148" s="1" t="s">
        <v>21</v>
      </c>
      <c r="H1148" s="1">
        <v>18</v>
      </c>
      <c r="I1148" s="1">
        <v>342435</v>
      </c>
      <c r="J1148" s="14" t="s">
        <v>866</v>
      </c>
      <c r="K1148" s="1" t="s">
        <v>23</v>
      </c>
      <c r="L1148" s="1" t="s">
        <v>228</v>
      </c>
      <c r="M1148" s="14">
        <v>1</v>
      </c>
      <c r="N1148" s="2">
        <v>34.32</v>
      </c>
      <c r="O1148" s="16">
        <v>53</v>
      </c>
      <c r="P1148" s="14">
        <v>0</v>
      </c>
      <c r="Q1148" s="14">
        <f t="shared" si="17"/>
        <v>53</v>
      </c>
      <c r="R1148" s="1" t="s">
        <v>25</v>
      </c>
      <c r="S1148" s="1" t="s">
        <v>25</v>
      </c>
      <c r="T1148" s="1">
        <v>50</v>
      </c>
      <c r="U1148" s="1">
        <v>1</v>
      </c>
      <c r="V1148" s="1">
        <v>1</v>
      </c>
    </row>
    <row r="1149" spans="1:22" x14ac:dyDescent="0.25">
      <c r="A1149" s="3">
        <v>44777</v>
      </c>
      <c r="B1149" s="4">
        <v>0.8165162037037037</v>
      </c>
      <c r="C1149" s="1">
        <v>1776</v>
      </c>
      <c r="D1149" s="1">
        <v>13002606</v>
      </c>
      <c r="E1149" s="1">
        <v>13</v>
      </c>
      <c r="F1149" s="1">
        <v>22589</v>
      </c>
      <c r="G1149" s="1" t="s">
        <v>21</v>
      </c>
      <c r="H1149" s="1">
        <v>18</v>
      </c>
      <c r="I1149" s="1">
        <v>5326</v>
      </c>
      <c r="J1149" s="14" t="s">
        <v>1074</v>
      </c>
      <c r="K1149" s="1" t="s">
        <v>34</v>
      </c>
      <c r="L1149" s="1" t="s">
        <v>939</v>
      </c>
      <c r="M1149" s="14">
        <v>1</v>
      </c>
      <c r="N1149" s="2">
        <v>83.38</v>
      </c>
      <c r="O1149" s="16">
        <v>98.41</v>
      </c>
      <c r="P1149" s="14">
        <v>0</v>
      </c>
      <c r="Q1149" s="14">
        <f t="shared" si="17"/>
        <v>98.41</v>
      </c>
      <c r="R1149" s="1" t="s">
        <v>25</v>
      </c>
      <c r="S1149" s="1" t="s">
        <v>25</v>
      </c>
      <c r="T1149" s="1">
        <v>50</v>
      </c>
      <c r="U1149" s="1">
        <v>2</v>
      </c>
      <c r="V1149" s="1">
        <v>2</v>
      </c>
    </row>
    <row r="1150" spans="1:22" x14ac:dyDescent="0.25">
      <c r="A1150" s="3">
        <v>44777</v>
      </c>
      <c r="B1150" s="4">
        <v>0.8165162037037037</v>
      </c>
      <c r="C1150" s="1">
        <v>1776</v>
      </c>
      <c r="D1150" s="1">
        <v>13002606</v>
      </c>
      <c r="E1150" s="1">
        <v>13</v>
      </c>
      <c r="F1150" s="1">
        <v>22589</v>
      </c>
      <c r="G1150" s="1" t="s">
        <v>21</v>
      </c>
      <c r="H1150" s="1">
        <v>18</v>
      </c>
      <c r="I1150" s="1">
        <v>5326</v>
      </c>
      <c r="J1150" s="14" t="s">
        <v>1074</v>
      </c>
      <c r="K1150" s="1" t="s">
        <v>34</v>
      </c>
      <c r="L1150" s="1" t="s">
        <v>939</v>
      </c>
      <c r="M1150" s="14">
        <v>1</v>
      </c>
      <c r="N1150" s="2">
        <v>83.38</v>
      </c>
      <c r="O1150" s="16">
        <v>98.41</v>
      </c>
      <c r="P1150" s="14">
        <v>0</v>
      </c>
      <c r="Q1150" s="14">
        <f t="shared" si="17"/>
        <v>98.41</v>
      </c>
      <c r="R1150" s="1" t="s">
        <v>25</v>
      </c>
      <c r="S1150" s="1" t="s">
        <v>25</v>
      </c>
      <c r="T1150" s="1">
        <v>50</v>
      </c>
      <c r="U1150" s="1">
        <v>2</v>
      </c>
      <c r="V1150" s="1">
        <v>3</v>
      </c>
    </row>
    <row r="1151" spans="1:22" x14ac:dyDescent="0.25">
      <c r="A1151" s="3">
        <v>44777</v>
      </c>
      <c r="B1151" s="4">
        <v>0.8165162037037037</v>
      </c>
      <c r="C1151" s="1">
        <v>1776</v>
      </c>
      <c r="D1151" s="1">
        <v>13002606</v>
      </c>
      <c r="E1151" s="1">
        <v>13</v>
      </c>
      <c r="F1151" s="1">
        <v>22589</v>
      </c>
      <c r="G1151" s="1" t="s">
        <v>21</v>
      </c>
      <c r="H1151" s="1">
        <v>18</v>
      </c>
      <c r="I1151" s="1">
        <v>5326</v>
      </c>
      <c r="J1151" s="14" t="s">
        <v>1074</v>
      </c>
      <c r="K1151" s="1" t="s">
        <v>34</v>
      </c>
      <c r="L1151" s="1" t="s">
        <v>939</v>
      </c>
      <c r="M1151" s="14">
        <v>1</v>
      </c>
      <c r="N1151" s="2">
        <v>83.38</v>
      </c>
      <c r="O1151" s="16">
        <v>98.41</v>
      </c>
      <c r="P1151" s="14">
        <v>0</v>
      </c>
      <c r="Q1151" s="14">
        <f t="shared" si="17"/>
        <v>98.41</v>
      </c>
      <c r="R1151" s="1" t="s">
        <v>25</v>
      </c>
      <c r="S1151" s="1" t="s">
        <v>25</v>
      </c>
      <c r="T1151" s="1">
        <v>50</v>
      </c>
      <c r="U1151" s="1">
        <v>2</v>
      </c>
      <c r="V1151" s="1">
        <v>4</v>
      </c>
    </row>
    <row r="1152" spans="1:22" x14ac:dyDescent="0.25">
      <c r="A1152" s="3">
        <v>44778</v>
      </c>
      <c r="B1152" s="4">
        <v>0.82451388888888888</v>
      </c>
      <c r="C1152" s="1">
        <v>1900</v>
      </c>
      <c r="D1152" s="1">
        <v>13002616</v>
      </c>
      <c r="E1152" s="1">
        <v>13</v>
      </c>
      <c r="F1152" s="1">
        <v>22589</v>
      </c>
      <c r="G1152" s="1" t="s">
        <v>21</v>
      </c>
      <c r="H1152" s="1">
        <v>18</v>
      </c>
      <c r="I1152" s="1">
        <v>4139</v>
      </c>
      <c r="J1152" s="14" t="s">
        <v>1225</v>
      </c>
      <c r="K1152" s="1" t="s">
        <v>45</v>
      </c>
      <c r="L1152" s="1" t="s">
        <v>1226</v>
      </c>
      <c r="M1152" s="14">
        <v>1</v>
      </c>
      <c r="N1152" s="2">
        <v>266.99</v>
      </c>
      <c r="O1152" s="16">
        <v>322</v>
      </c>
      <c r="P1152" s="14">
        <v>0</v>
      </c>
      <c r="Q1152" s="14">
        <f t="shared" si="17"/>
        <v>322</v>
      </c>
      <c r="R1152" s="1" t="s">
        <v>25</v>
      </c>
      <c r="S1152" s="1" t="s">
        <v>25</v>
      </c>
      <c r="T1152" s="1">
        <v>50</v>
      </c>
      <c r="U1152" s="1">
        <v>1</v>
      </c>
      <c r="V1152" s="1">
        <v>2</v>
      </c>
    </row>
    <row r="1153" spans="1:22" x14ac:dyDescent="0.25">
      <c r="A1153" s="3">
        <v>44777</v>
      </c>
      <c r="B1153" s="4">
        <v>0.52184027777777775</v>
      </c>
      <c r="C1153" s="1">
        <v>1700</v>
      </c>
      <c r="D1153" s="1">
        <v>13002606</v>
      </c>
      <c r="E1153" s="1">
        <v>13</v>
      </c>
      <c r="F1153" s="1">
        <v>22589</v>
      </c>
      <c r="G1153" s="1" t="s">
        <v>21</v>
      </c>
      <c r="H1153" s="1">
        <v>15</v>
      </c>
      <c r="I1153" s="1">
        <v>118475</v>
      </c>
      <c r="J1153" s="14" t="s">
        <v>980</v>
      </c>
      <c r="K1153" s="1" t="s">
        <v>29</v>
      </c>
      <c r="L1153" s="1" t="s">
        <v>750</v>
      </c>
      <c r="M1153" s="14">
        <v>1</v>
      </c>
      <c r="N1153" s="2">
        <v>150.72999999999999</v>
      </c>
      <c r="O1153" s="16">
        <v>207</v>
      </c>
      <c r="P1153" s="14">
        <v>14</v>
      </c>
      <c r="Q1153" s="14">
        <f t="shared" si="17"/>
        <v>193</v>
      </c>
      <c r="R1153" s="1">
        <v>9</v>
      </c>
      <c r="S1153" s="1">
        <v>200010001659</v>
      </c>
      <c r="T1153" s="1">
        <v>50</v>
      </c>
      <c r="U1153" s="1">
        <v>1</v>
      </c>
      <c r="V1153" s="1">
        <v>1</v>
      </c>
    </row>
    <row r="1154" spans="1:22" x14ac:dyDescent="0.25">
      <c r="A1154" s="3">
        <v>44778</v>
      </c>
      <c r="B1154" s="4">
        <v>0.68244212962962958</v>
      </c>
      <c r="C1154" s="1">
        <v>1873</v>
      </c>
      <c r="D1154" s="1">
        <v>13002616</v>
      </c>
      <c r="E1154" s="1">
        <v>13</v>
      </c>
      <c r="F1154" s="1">
        <v>22589</v>
      </c>
      <c r="G1154" s="1" t="s">
        <v>21</v>
      </c>
      <c r="H1154" s="1">
        <v>15</v>
      </c>
      <c r="I1154" s="1">
        <v>276812</v>
      </c>
      <c r="J1154" s="14" t="s">
        <v>1196</v>
      </c>
      <c r="K1154" s="1" t="s">
        <v>45</v>
      </c>
      <c r="L1154" s="1" t="s">
        <v>269</v>
      </c>
      <c r="M1154" s="14">
        <v>1</v>
      </c>
      <c r="N1154" s="2">
        <v>210.89</v>
      </c>
      <c r="O1154" s="16">
        <v>285</v>
      </c>
      <c r="P1154" s="14">
        <v>19</v>
      </c>
      <c r="Q1154" s="14">
        <f t="shared" ref="Q1154:Q1217" si="18">M1154*O1154-P1154</f>
        <v>266</v>
      </c>
      <c r="R1154" s="1">
        <v>9</v>
      </c>
      <c r="S1154" s="1">
        <v>200010020479</v>
      </c>
      <c r="T1154" s="1">
        <v>50</v>
      </c>
      <c r="U1154" s="1">
        <v>1</v>
      </c>
      <c r="V1154" s="1">
        <v>1</v>
      </c>
    </row>
    <row r="1155" spans="1:22" x14ac:dyDescent="0.25">
      <c r="A1155" s="3">
        <v>44776</v>
      </c>
      <c r="B1155" s="4">
        <v>0.5118287037037037</v>
      </c>
      <c r="C1155" s="1">
        <v>1578</v>
      </c>
      <c r="D1155" s="1">
        <v>13002595</v>
      </c>
      <c r="E1155" s="1">
        <v>13</v>
      </c>
      <c r="F1155" s="1">
        <v>22589</v>
      </c>
      <c r="G1155" s="1" t="s">
        <v>21</v>
      </c>
      <c r="H1155" s="1">
        <v>15</v>
      </c>
      <c r="I1155" s="1">
        <v>588818</v>
      </c>
      <c r="J1155" s="14" t="s">
        <v>798</v>
      </c>
      <c r="K1155" s="1" t="s">
        <v>29</v>
      </c>
      <c r="L1155" s="1" t="s">
        <v>799</v>
      </c>
      <c r="M1155" s="14">
        <v>1</v>
      </c>
      <c r="N1155" s="2">
        <v>152.22</v>
      </c>
      <c r="O1155" s="16">
        <v>183</v>
      </c>
      <c r="P1155" s="14">
        <v>9</v>
      </c>
      <c r="Q1155" s="14">
        <f t="shared" si="18"/>
        <v>174</v>
      </c>
      <c r="R1155" s="1">
        <v>9</v>
      </c>
      <c r="S1155" s="1">
        <v>200010001782</v>
      </c>
      <c r="T1155" s="1">
        <v>29</v>
      </c>
      <c r="U1155" s="1">
        <v>1</v>
      </c>
      <c r="V1155" s="1">
        <v>3</v>
      </c>
    </row>
    <row r="1156" spans="1:22" x14ac:dyDescent="0.25">
      <c r="A1156" s="3">
        <v>44774</v>
      </c>
      <c r="B1156" s="4">
        <v>0.4528240740740741</v>
      </c>
      <c r="C1156" s="1">
        <v>1300</v>
      </c>
      <c r="D1156" s="1">
        <v>13002561</v>
      </c>
      <c r="E1156" s="1">
        <v>13</v>
      </c>
      <c r="F1156" s="1">
        <v>22589</v>
      </c>
      <c r="G1156" s="1" t="s">
        <v>21</v>
      </c>
      <c r="H1156" s="1">
        <v>18</v>
      </c>
      <c r="I1156" s="1">
        <v>72392</v>
      </c>
      <c r="J1156" s="14" t="s">
        <v>160</v>
      </c>
      <c r="K1156" s="1" t="s">
        <v>51</v>
      </c>
      <c r="L1156" s="1" t="s">
        <v>161</v>
      </c>
      <c r="M1156" s="14">
        <v>1</v>
      </c>
      <c r="N1156" s="2">
        <v>103.5</v>
      </c>
      <c r="O1156" s="16">
        <v>122</v>
      </c>
      <c r="P1156" s="14">
        <v>6</v>
      </c>
      <c r="Q1156" s="14">
        <f t="shared" si="18"/>
        <v>116</v>
      </c>
      <c r="R1156" s="1">
        <v>9</v>
      </c>
      <c r="S1156" s="1">
        <v>200010018337</v>
      </c>
      <c r="T1156" s="1">
        <v>29</v>
      </c>
      <c r="U1156" s="1">
        <v>1</v>
      </c>
      <c r="V1156" s="1">
        <v>1</v>
      </c>
    </row>
    <row r="1157" spans="1:22" x14ac:dyDescent="0.25">
      <c r="A1157" s="3">
        <v>44774</v>
      </c>
      <c r="B1157" s="4">
        <v>0.81680555555555556</v>
      </c>
      <c r="C1157" s="1">
        <v>1410</v>
      </c>
      <c r="D1157" s="1">
        <v>13002561</v>
      </c>
      <c r="E1157" s="1">
        <v>13</v>
      </c>
      <c r="F1157" s="1">
        <v>22589</v>
      </c>
      <c r="G1157" s="1" t="s">
        <v>21</v>
      </c>
      <c r="H1157" s="1">
        <v>18</v>
      </c>
      <c r="I1157" s="1">
        <v>72392</v>
      </c>
      <c r="J1157" s="14" t="s">
        <v>160</v>
      </c>
      <c r="K1157" s="1" t="s">
        <v>51</v>
      </c>
      <c r="L1157" s="1" t="s">
        <v>161</v>
      </c>
      <c r="M1157" s="14">
        <v>1</v>
      </c>
      <c r="N1157" s="2">
        <v>103.5</v>
      </c>
      <c r="O1157" s="16">
        <v>122</v>
      </c>
      <c r="P1157" s="14">
        <v>6</v>
      </c>
      <c r="Q1157" s="14">
        <f t="shared" si="18"/>
        <v>116</v>
      </c>
      <c r="R1157" s="1">
        <v>9</v>
      </c>
      <c r="S1157" s="1">
        <v>200010015192</v>
      </c>
      <c r="T1157" s="1">
        <v>29</v>
      </c>
      <c r="U1157" s="1">
        <v>1</v>
      </c>
      <c r="V1157" s="1">
        <v>2</v>
      </c>
    </row>
    <row r="1158" spans="1:22" x14ac:dyDescent="0.25">
      <c r="A1158" s="3">
        <v>44776</v>
      </c>
      <c r="B1158" s="4">
        <v>0.48194444444444445</v>
      </c>
      <c r="C1158" s="1">
        <v>1568</v>
      </c>
      <c r="D1158" s="1">
        <v>13002595</v>
      </c>
      <c r="E1158" s="1">
        <v>13</v>
      </c>
      <c r="F1158" s="1">
        <v>22589</v>
      </c>
      <c r="G1158" s="1" t="s">
        <v>21</v>
      </c>
      <c r="H1158" s="1">
        <v>18</v>
      </c>
      <c r="I1158" s="1">
        <v>72392</v>
      </c>
      <c r="J1158" s="14" t="s">
        <v>160</v>
      </c>
      <c r="K1158" s="1" t="s">
        <v>51</v>
      </c>
      <c r="L1158" s="1" t="s">
        <v>161</v>
      </c>
      <c r="M1158" s="14">
        <v>1</v>
      </c>
      <c r="N1158" s="2">
        <v>103.5</v>
      </c>
      <c r="O1158" s="16">
        <v>122</v>
      </c>
      <c r="P1158" s="14">
        <v>0</v>
      </c>
      <c r="Q1158" s="14">
        <f t="shared" si="18"/>
        <v>122</v>
      </c>
      <c r="R1158" s="1" t="s">
        <v>25</v>
      </c>
      <c r="S1158" s="1" t="s">
        <v>25</v>
      </c>
      <c r="T1158" s="1">
        <v>29</v>
      </c>
      <c r="U1158" s="1">
        <v>1</v>
      </c>
      <c r="V1158" s="1">
        <v>1</v>
      </c>
    </row>
    <row r="1159" spans="1:22" x14ac:dyDescent="0.25">
      <c r="A1159" s="3">
        <v>44776</v>
      </c>
      <c r="B1159" s="4">
        <v>0.72741898148148143</v>
      </c>
      <c r="C1159" s="1">
        <v>1633</v>
      </c>
      <c r="D1159" s="1">
        <v>13002595</v>
      </c>
      <c r="E1159" s="1">
        <v>13</v>
      </c>
      <c r="F1159" s="1">
        <v>22589</v>
      </c>
      <c r="G1159" s="1" t="s">
        <v>21</v>
      </c>
      <c r="H1159" s="1">
        <v>18</v>
      </c>
      <c r="I1159" s="1">
        <v>72392</v>
      </c>
      <c r="J1159" s="14" t="s">
        <v>160</v>
      </c>
      <c r="K1159" s="1" t="s">
        <v>51</v>
      </c>
      <c r="L1159" s="1" t="s">
        <v>161</v>
      </c>
      <c r="M1159" s="14">
        <v>1</v>
      </c>
      <c r="N1159" s="2">
        <v>103.5</v>
      </c>
      <c r="O1159" s="16">
        <v>122</v>
      </c>
      <c r="P1159" s="14">
        <v>0</v>
      </c>
      <c r="Q1159" s="14">
        <f t="shared" si="18"/>
        <v>122</v>
      </c>
      <c r="R1159" s="1" t="s">
        <v>25</v>
      </c>
      <c r="S1159" s="1" t="s">
        <v>25</v>
      </c>
      <c r="T1159" s="1">
        <v>29</v>
      </c>
      <c r="U1159" s="1">
        <v>1</v>
      </c>
      <c r="V1159" s="1">
        <v>1</v>
      </c>
    </row>
    <row r="1160" spans="1:22" x14ac:dyDescent="0.25">
      <c r="A1160" s="3">
        <v>44776</v>
      </c>
      <c r="B1160" s="4">
        <v>0.57721064814814815</v>
      </c>
      <c r="C1160" s="1">
        <v>1605</v>
      </c>
      <c r="D1160" s="1">
        <v>13002595</v>
      </c>
      <c r="E1160" s="1">
        <v>13</v>
      </c>
      <c r="F1160" s="1">
        <v>22589</v>
      </c>
      <c r="G1160" s="1" t="s">
        <v>21</v>
      </c>
      <c r="H1160" s="1">
        <v>18</v>
      </c>
      <c r="I1160" s="1">
        <v>101272</v>
      </c>
      <c r="J1160" s="14" t="s">
        <v>845</v>
      </c>
      <c r="K1160" s="1" t="s">
        <v>51</v>
      </c>
      <c r="L1160" s="1" t="s">
        <v>756</v>
      </c>
      <c r="M1160" s="14">
        <v>1</v>
      </c>
      <c r="N1160" s="2">
        <v>557.91999999999996</v>
      </c>
      <c r="O1160" s="16">
        <v>720</v>
      </c>
      <c r="P1160" s="14">
        <v>0</v>
      </c>
      <c r="Q1160" s="14">
        <f t="shared" si="18"/>
        <v>720</v>
      </c>
      <c r="R1160" s="1" t="s">
        <v>25</v>
      </c>
      <c r="S1160" s="1" t="s">
        <v>25</v>
      </c>
      <c r="T1160" s="1">
        <v>29</v>
      </c>
      <c r="U1160" s="1">
        <v>1</v>
      </c>
      <c r="V1160" s="1">
        <v>4</v>
      </c>
    </row>
    <row r="1161" spans="1:22" x14ac:dyDescent="0.25">
      <c r="A1161" s="3">
        <v>44778</v>
      </c>
      <c r="B1161" s="4">
        <v>0.65650462962962963</v>
      </c>
      <c r="C1161" s="1">
        <v>1870</v>
      </c>
      <c r="D1161" s="1">
        <v>13002616</v>
      </c>
      <c r="E1161" s="1">
        <v>13</v>
      </c>
      <c r="F1161" s="1">
        <v>22589</v>
      </c>
      <c r="G1161" s="1" t="s">
        <v>21</v>
      </c>
      <c r="H1161" s="1">
        <v>18</v>
      </c>
      <c r="I1161" s="1">
        <v>101272</v>
      </c>
      <c r="J1161" s="14" t="s">
        <v>845</v>
      </c>
      <c r="K1161" s="1" t="s">
        <v>34</v>
      </c>
      <c r="L1161" s="1" t="s">
        <v>1039</v>
      </c>
      <c r="M1161" s="14">
        <v>1</v>
      </c>
      <c r="N1161" s="2">
        <v>558.12</v>
      </c>
      <c r="O1161" s="16">
        <v>720</v>
      </c>
      <c r="P1161" s="14">
        <v>0</v>
      </c>
      <c r="Q1161" s="14">
        <f t="shared" si="18"/>
        <v>720</v>
      </c>
      <c r="R1161" s="1" t="s">
        <v>25</v>
      </c>
      <c r="S1161" s="1" t="s">
        <v>25</v>
      </c>
      <c r="T1161" s="1">
        <v>50</v>
      </c>
      <c r="U1161" s="1">
        <v>1</v>
      </c>
      <c r="V1161" s="1">
        <v>1</v>
      </c>
    </row>
    <row r="1162" spans="1:22" x14ac:dyDescent="0.25">
      <c r="A1162" s="3">
        <v>44774</v>
      </c>
      <c r="B1162" s="4">
        <v>0.50760416666666663</v>
      </c>
      <c r="C1162" s="1">
        <v>1320</v>
      </c>
      <c r="D1162" s="1">
        <v>13002561</v>
      </c>
      <c r="E1162" s="1">
        <v>13</v>
      </c>
      <c r="F1162" s="1">
        <v>22589</v>
      </c>
      <c r="G1162" s="1" t="s">
        <v>21</v>
      </c>
      <c r="H1162" s="1">
        <v>15</v>
      </c>
      <c r="I1162" s="1">
        <v>30427</v>
      </c>
      <c r="J1162" s="14" t="s">
        <v>219</v>
      </c>
      <c r="K1162" s="1" t="s">
        <v>51</v>
      </c>
      <c r="L1162" s="1" t="s">
        <v>220</v>
      </c>
      <c r="M1162" s="14">
        <v>1</v>
      </c>
      <c r="N1162" s="2">
        <v>130.96</v>
      </c>
      <c r="O1162" s="16">
        <v>155</v>
      </c>
      <c r="P1162" s="14">
        <v>7</v>
      </c>
      <c r="Q1162" s="14">
        <f t="shared" si="18"/>
        <v>148</v>
      </c>
      <c r="R1162" s="1">
        <v>9</v>
      </c>
      <c r="S1162" s="1">
        <v>200010018337</v>
      </c>
      <c r="T1162" s="1">
        <v>29</v>
      </c>
      <c r="U1162" s="1">
        <v>1</v>
      </c>
      <c r="V1162" s="1">
        <v>5</v>
      </c>
    </row>
    <row r="1163" spans="1:22" x14ac:dyDescent="0.25">
      <c r="A1163" s="3">
        <v>44774</v>
      </c>
      <c r="B1163" s="4">
        <v>0.5615162037037037</v>
      </c>
      <c r="C1163" s="1">
        <v>1343</v>
      </c>
      <c r="D1163" s="1">
        <v>13002561</v>
      </c>
      <c r="E1163" s="1">
        <v>13</v>
      </c>
      <c r="F1163" s="1">
        <v>22589</v>
      </c>
      <c r="G1163" s="1" t="s">
        <v>21</v>
      </c>
      <c r="H1163" s="1">
        <v>15</v>
      </c>
      <c r="I1163" s="1">
        <v>5155</v>
      </c>
      <c r="J1163" s="14" t="s">
        <v>293</v>
      </c>
      <c r="K1163" s="1" t="s">
        <v>29</v>
      </c>
      <c r="L1163" s="1" t="s">
        <v>220</v>
      </c>
      <c r="M1163" s="14">
        <v>1</v>
      </c>
      <c r="N1163" s="2">
        <v>72.02</v>
      </c>
      <c r="O1163" s="16">
        <v>90</v>
      </c>
      <c r="P1163" s="14">
        <v>4</v>
      </c>
      <c r="Q1163" s="14">
        <f t="shared" si="18"/>
        <v>86</v>
      </c>
      <c r="R1163" s="1">
        <v>9</v>
      </c>
      <c r="S1163" s="1">
        <v>200010023539</v>
      </c>
      <c r="T1163" s="1">
        <v>29</v>
      </c>
      <c r="U1163" s="1">
        <v>1</v>
      </c>
      <c r="V1163" s="1">
        <v>3</v>
      </c>
    </row>
    <row r="1164" spans="1:22" x14ac:dyDescent="0.25">
      <c r="A1164" s="3">
        <v>44775</v>
      </c>
      <c r="B1164" s="4">
        <v>0.51202546296296292</v>
      </c>
      <c r="C1164" s="1">
        <v>1459</v>
      </c>
      <c r="D1164" s="1">
        <v>13002581</v>
      </c>
      <c r="E1164" s="1">
        <v>13</v>
      </c>
      <c r="F1164" s="1">
        <v>22589</v>
      </c>
      <c r="G1164" s="1" t="s">
        <v>21</v>
      </c>
      <c r="H1164" s="1">
        <v>15</v>
      </c>
      <c r="I1164" s="1">
        <v>5155</v>
      </c>
      <c r="J1164" s="14" t="s">
        <v>293</v>
      </c>
      <c r="K1164" s="1" t="s">
        <v>29</v>
      </c>
      <c r="L1164" s="1" t="s">
        <v>220</v>
      </c>
      <c r="M1164" s="14">
        <v>1</v>
      </c>
      <c r="N1164" s="2">
        <v>72.02</v>
      </c>
      <c r="O1164" s="16">
        <v>90</v>
      </c>
      <c r="P1164" s="14">
        <v>4</v>
      </c>
      <c r="Q1164" s="14">
        <f t="shared" si="18"/>
        <v>86</v>
      </c>
      <c r="R1164" s="1">
        <v>9</v>
      </c>
      <c r="S1164" s="1">
        <v>200010002982</v>
      </c>
      <c r="T1164" s="1">
        <v>29</v>
      </c>
      <c r="U1164" s="1">
        <v>1</v>
      </c>
      <c r="V1164" s="1">
        <v>2</v>
      </c>
    </row>
    <row r="1165" spans="1:22" x14ac:dyDescent="0.25">
      <c r="A1165" s="3">
        <v>44777</v>
      </c>
      <c r="B1165" s="4">
        <v>0.36493055555555554</v>
      </c>
      <c r="C1165" s="1">
        <v>1665</v>
      </c>
      <c r="D1165" s="1">
        <v>13002606</v>
      </c>
      <c r="E1165" s="1">
        <v>13</v>
      </c>
      <c r="F1165" s="1">
        <v>22589</v>
      </c>
      <c r="G1165" s="1" t="s">
        <v>21</v>
      </c>
      <c r="H1165" s="1">
        <v>18</v>
      </c>
      <c r="I1165" s="1">
        <v>5155</v>
      </c>
      <c r="J1165" s="14" t="s">
        <v>293</v>
      </c>
      <c r="K1165" s="1" t="s">
        <v>29</v>
      </c>
      <c r="L1165" s="1" t="s">
        <v>220</v>
      </c>
      <c r="M1165" s="14">
        <v>1</v>
      </c>
      <c r="N1165" s="2">
        <v>72.02</v>
      </c>
      <c r="O1165" s="16">
        <v>90</v>
      </c>
      <c r="P1165" s="14">
        <v>0</v>
      </c>
      <c r="Q1165" s="14">
        <f t="shared" si="18"/>
        <v>90</v>
      </c>
      <c r="R1165" s="1" t="s">
        <v>25</v>
      </c>
      <c r="S1165" s="1" t="s">
        <v>25</v>
      </c>
      <c r="T1165" s="1">
        <v>50</v>
      </c>
      <c r="U1165" s="1">
        <v>1</v>
      </c>
      <c r="V1165" s="1">
        <v>1</v>
      </c>
    </row>
    <row r="1166" spans="1:22" x14ac:dyDescent="0.25">
      <c r="A1166" s="3">
        <v>44776</v>
      </c>
      <c r="B1166" s="4">
        <v>0.50604166666666661</v>
      </c>
      <c r="C1166" s="1">
        <v>1575</v>
      </c>
      <c r="D1166" s="1">
        <v>13002595</v>
      </c>
      <c r="E1166" s="1">
        <v>13</v>
      </c>
      <c r="F1166" s="1">
        <v>22589</v>
      </c>
      <c r="G1166" s="1" t="s">
        <v>21</v>
      </c>
      <c r="H1166" s="1">
        <v>18</v>
      </c>
      <c r="I1166" s="1">
        <v>1141</v>
      </c>
      <c r="J1166" s="14" t="s">
        <v>790</v>
      </c>
      <c r="K1166" s="1" t="s">
        <v>466</v>
      </c>
      <c r="L1166" s="1" t="s">
        <v>791</v>
      </c>
      <c r="M1166" s="14">
        <v>1</v>
      </c>
      <c r="N1166" s="2">
        <v>446.93</v>
      </c>
      <c r="O1166" s="16">
        <v>468</v>
      </c>
      <c r="P1166" s="14">
        <v>0</v>
      </c>
      <c r="Q1166" s="14">
        <f t="shared" si="18"/>
        <v>468</v>
      </c>
      <c r="R1166" s="1" t="s">
        <v>25</v>
      </c>
      <c r="S1166" s="1" t="s">
        <v>25</v>
      </c>
      <c r="T1166" s="1">
        <v>29</v>
      </c>
      <c r="U1166" s="1">
        <v>2</v>
      </c>
      <c r="V1166" s="1">
        <v>14</v>
      </c>
    </row>
    <row r="1167" spans="1:22" x14ac:dyDescent="0.25">
      <c r="A1167" s="3">
        <v>44777</v>
      </c>
      <c r="B1167" s="4">
        <v>0.61011574074074071</v>
      </c>
      <c r="C1167" s="1">
        <v>1733</v>
      </c>
      <c r="D1167" s="1">
        <v>13002606</v>
      </c>
      <c r="E1167" s="1">
        <v>13</v>
      </c>
      <c r="F1167" s="1">
        <v>22589</v>
      </c>
      <c r="G1167" s="1" t="s">
        <v>21</v>
      </c>
      <c r="H1167" s="1">
        <v>15</v>
      </c>
      <c r="I1167" s="1">
        <v>18431</v>
      </c>
      <c r="J1167" s="14" t="s">
        <v>1026</v>
      </c>
      <c r="K1167" s="1" t="s">
        <v>117</v>
      </c>
      <c r="L1167" s="1" t="s">
        <v>1027</v>
      </c>
      <c r="M1167" s="14">
        <v>1</v>
      </c>
      <c r="N1167" s="2">
        <v>137.84</v>
      </c>
      <c r="O1167" s="16">
        <v>189</v>
      </c>
      <c r="P1167" s="14">
        <v>13</v>
      </c>
      <c r="Q1167" s="14">
        <f t="shared" si="18"/>
        <v>176</v>
      </c>
      <c r="R1167" s="1">
        <v>9</v>
      </c>
      <c r="S1167" s="1">
        <v>200010004764</v>
      </c>
      <c r="T1167" s="1">
        <v>50</v>
      </c>
      <c r="U1167" s="1">
        <v>1</v>
      </c>
      <c r="V1167" s="1">
        <v>5</v>
      </c>
    </row>
    <row r="1168" spans="1:22" x14ac:dyDescent="0.25">
      <c r="A1168" s="3">
        <v>44777</v>
      </c>
      <c r="B1168" s="4">
        <v>0.5115277777777778</v>
      </c>
      <c r="C1168" s="1">
        <v>1695</v>
      </c>
      <c r="D1168" s="1">
        <v>13002606</v>
      </c>
      <c r="E1168" s="1">
        <v>13</v>
      </c>
      <c r="F1168" s="1">
        <v>22589</v>
      </c>
      <c r="G1168" s="1" t="s">
        <v>21</v>
      </c>
      <c r="H1168" s="1">
        <v>15</v>
      </c>
      <c r="I1168" s="1">
        <v>159431</v>
      </c>
      <c r="J1168" s="14" t="s">
        <v>973</v>
      </c>
      <c r="K1168" s="1" t="s">
        <v>29</v>
      </c>
      <c r="L1168" s="1" t="s">
        <v>974</v>
      </c>
      <c r="M1168" s="14">
        <v>0.2</v>
      </c>
      <c r="N1168" s="2">
        <v>411.84</v>
      </c>
      <c r="O1168" s="16">
        <v>544</v>
      </c>
      <c r="P1168" s="14">
        <v>6.8</v>
      </c>
      <c r="Q1168" s="14">
        <f t="shared" si="18"/>
        <v>102.00000000000001</v>
      </c>
      <c r="R1168" s="1">
        <v>9</v>
      </c>
      <c r="S1168" s="1">
        <v>200010021056</v>
      </c>
      <c r="T1168" s="1">
        <v>50</v>
      </c>
      <c r="U1168" s="1">
        <v>1</v>
      </c>
      <c r="V1168" s="1">
        <v>1</v>
      </c>
    </row>
    <row r="1169" spans="1:22" x14ac:dyDescent="0.25">
      <c r="A1169" s="3">
        <v>44775</v>
      </c>
      <c r="B1169" s="4">
        <v>0.50859953703703709</v>
      </c>
      <c r="C1169" s="1">
        <v>1458</v>
      </c>
      <c r="D1169" s="1">
        <v>13002581</v>
      </c>
      <c r="E1169" s="1">
        <v>13</v>
      </c>
      <c r="F1169" s="1">
        <v>22589</v>
      </c>
      <c r="G1169" s="1" t="s">
        <v>21</v>
      </c>
      <c r="H1169" s="1">
        <v>15</v>
      </c>
      <c r="I1169" s="1">
        <v>18016</v>
      </c>
      <c r="J1169" s="14" t="s">
        <v>562</v>
      </c>
      <c r="K1169" s="1" t="s">
        <v>45</v>
      </c>
      <c r="L1169" s="1" t="s">
        <v>563</v>
      </c>
      <c r="M1169" s="14">
        <v>1</v>
      </c>
      <c r="N1169" s="2">
        <v>145.37</v>
      </c>
      <c r="O1169" s="16">
        <v>226</v>
      </c>
      <c r="P1169" s="14">
        <v>22</v>
      </c>
      <c r="Q1169" s="14">
        <f t="shared" si="18"/>
        <v>204</v>
      </c>
      <c r="R1169" s="1">
        <v>30</v>
      </c>
      <c r="S1169" s="1">
        <v>200000000024</v>
      </c>
      <c r="T1169" s="1">
        <v>29</v>
      </c>
      <c r="U1169" s="1">
        <v>1</v>
      </c>
      <c r="V1169" s="1">
        <v>1</v>
      </c>
    </row>
    <row r="1170" spans="1:22" x14ac:dyDescent="0.25">
      <c r="A1170" s="3">
        <v>44775</v>
      </c>
      <c r="B1170" s="4">
        <v>0.52030092592592592</v>
      </c>
      <c r="C1170" s="1">
        <v>1462</v>
      </c>
      <c r="D1170" s="1">
        <v>13002581</v>
      </c>
      <c r="E1170" s="1">
        <v>13</v>
      </c>
      <c r="F1170" s="1">
        <v>22589</v>
      </c>
      <c r="G1170" s="1" t="s">
        <v>21</v>
      </c>
      <c r="H1170" s="1">
        <v>15</v>
      </c>
      <c r="I1170" s="1">
        <v>29611</v>
      </c>
      <c r="J1170" s="14" t="s">
        <v>570</v>
      </c>
      <c r="K1170" s="1" t="s">
        <v>51</v>
      </c>
      <c r="L1170" s="1" t="s">
        <v>563</v>
      </c>
      <c r="M1170" s="14">
        <v>1</v>
      </c>
      <c r="N1170" s="2">
        <v>152.06</v>
      </c>
      <c r="O1170" s="16">
        <v>236</v>
      </c>
      <c r="P1170" s="14">
        <v>23</v>
      </c>
      <c r="Q1170" s="14">
        <f t="shared" si="18"/>
        <v>213</v>
      </c>
      <c r="R1170" s="1">
        <v>9</v>
      </c>
      <c r="S1170" s="1">
        <v>200010009449</v>
      </c>
      <c r="T1170" s="1">
        <v>29</v>
      </c>
      <c r="U1170" s="1">
        <v>1</v>
      </c>
      <c r="V1170" s="1">
        <v>3</v>
      </c>
    </row>
    <row r="1171" spans="1:22" x14ac:dyDescent="0.25">
      <c r="A1171" s="3">
        <v>44778</v>
      </c>
      <c r="B1171" s="4">
        <v>0.77905092592592595</v>
      </c>
      <c r="C1171" s="1">
        <v>1892</v>
      </c>
      <c r="D1171" s="1">
        <v>13002616</v>
      </c>
      <c r="E1171" s="1">
        <v>13</v>
      </c>
      <c r="F1171" s="1">
        <v>22589</v>
      </c>
      <c r="G1171" s="1" t="s">
        <v>21</v>
      </c>
      <c r="H1171" s="1">
        <v>15</v>
      </c>
      <c r="I1171" s="1">
        <v>29611</v>
      </c>
      <c r="J1171" s="14" t="s">
        <v>570</v>
      </c>
      <c r="K1171" s="1" t="s">
        <v>51</v>
      </c>
      <c r="L1171" s="1" t="s">
        <v>563</v>
      </c>
      <c r="M1171" s="14">
        <v>1</v>
      </c>
      <c r="N1171" s="2">
        <v>153.6</v>
      </c>
      <c r="O1171" s="16">
        <v>239</v>
      </c>
      <c r="P1171" s="14">
        <v>23</v>
      </c>
      <c r="Q1171" s="14">
        <f t="shared" si="18"/>
        <v>216</v>
      </c>
      <c r="R1171" s="1">
        <v>9</v>
      </c>
      <c r="S1171" s="1">
        <v>200010016190</v>
      </c>
      <c r="T1171" s="1">
        <v>50</v>
      </c>
      <c r="U1171" s="1">
        <v>1</v>
      </c>
      <c r="V1171" s="1">
        <v>2</v>
      </c>
    </row>
    <row r="1172" spans="1:22" x14ac:dyDescent="0.25">
      <c r="A1172" s="3">
        <v>44775</v>
      </c>
      <c r="B1172" s="4">
        <v>0.5242013888888889</v>
      </c>
      <c r="C1172" s="1">
        <v>1464</v>
      </c>
      <c r="D1172" s="1">
        <v>13002581</v>
      </c>
      <c r="E1172" s="1">
        <v>13</v>
      </c>
      <c r="F1172" s="1">
        <v>22589</v>
      </c>
      <c r="G1172" s="1" t="s">
        <v>21</v>
      </c>
      <c r="H1172" s="1">
        <v>15</v>
      </c>
      <c r="I1172" s="1">
        <v>46244</v>
      </c>
      <c r="J1172" s="14" t="s">
        <v>574</v>
      </c>
      <c r="K1172" s="1" t="s">
        <v>252</v>
      </c>
      <c r="L1172" s="1" t="s">
        <v>575</v>
      </c>
      <c r="M1172" s="14">
        <v>1</v>
      </c>
      <c r="N1172" s="2">
        <v>35.53</v>
      </c>
      <c r="O1172" s="16">
        <v>58</v>
      </c>
      <c r="P1172" s="14">
        <v>5</v>
      </c>
      <c r="Q1172" s="14">
        <f t="shared" si="18"/>
        <v>53</v>
      </c>
      <c r="R1172" s="1">
        <v>9</v>
      </c>
      <c r="S1172" s="1">
        <v>200010009449</v>
      </c>
      <c r="T1172" s="1">
        <v>29</v>
      </c>
      <c r="U1172" s="1">
        <v>1</v>
      </c>
      <c r="V1172" s="1">
        <v>2</v>
      </c>
    </row>
    <row r="1173" spans="1:22" x14ac:dyDescent="0.25">
      <c r="A1173" s="3">
        <v>44776</v>
      </c>
      <c r="B1173" s="4">
        <v>0.43148148148148147</v>
      </c>
      <c r="C1173" s="1">
        <v>1552</v>
      </c>
      <c r="D1173" s="1">
        <v>13002595</v>
      </c>
      <c r="E1173" s="1">
        <v>13</v>
      </c>
      <c r="F1173" s="1">
        <v>22589</v>
      </c>
      <c r="G1173" s="1" t="s">
        <v>21</v>
      </c>
      <c r="H1173" s="1">
        <v>15</v>
      </c>
      <c r="I1173" s="1">
        <v>46244</v>
      </c>
      <c r="J1173" s="14" t="s">
        <v>574</v>
      </c>
      <c r="K1173" s="1" t="s">
        <v>252</v>
      </c>
      <c r="L1173" s="1" t="s">
        <v>575</v>
      </c>
      <c r="M1173" s="14">
        <v>2</v>
      </c>
      <c r="N1173" s="2">
        <v>35.53</v>
      </c>
      <c r="O1173" s="16">
        <v>58</v>
      </c>
      <c r="P1173" s="14">
        <v>11</v>
      </c>
      <c r="Q1173" s="14">
        <f t="shared" si="18"/>
        <v>105</v>
      </c>
      <c r="R1173" s="1">
        <v>9</v>
      </c>
      <c r="S1173" s="1">
        <v>200010019189</v>
      </c>
      <c r="T1173" s="1">
        <v>29</v>
      </c>
      <c r="U1173" s="1">
        <v>1</v>
      </c>
      <c r="V1173" s="1">
        <v>1</v>
      </c>
    </row>
    <row r="1174" spans="1:22" x14ac:dyDescent="0.25">
      <c r="A1174" s="3">
        <v>44774</v>
      </c>
      <c r="B1174" s="4">
        <v>0.43896990740740743</v>
      </c>
      <c r="C1174" s="1">
        <v>1290</v>
      </c>
      <c r="D1174" s="1">
        <v>13002561</v>
      </c>
      <c r="E1174" s="1">
        <v>13</v>
      </c>
      <c r="F1174" s="1">
        <v>22589</v>
      </c>
      <c r="G1174" s="1" t="s">
        <v>21</v>
      </c>
      <c r="H1174" s="1">
        <v>15</v>
      </c>
      <c r="I1174" s="1">
        <v>168795</v>
      </c>
      <c r="J1174" s="14" t="s">
        <v>105</v>
      </c>
      <c r="K1174" s="1" t="s">
        <v>51</v>
      </c>
      <c r="L1174" s="1" t="s">
        <v>106</v>
      </c>
      <c r="M1174" s="14">
        <v>1</v>
      </c>
      <c r="N1174" s="2">
        <v>73.77</v>
      </c>
      <c r="O1174" s="16">
        <v>122</v>
      </c>
      <c r="P1174" s="14">
        <v>12</v>
      </c>
      <c r="Q1174" s="14">
        <f t="shared" si="18"/>
        <v>110</v>
      </c>
      <c r="R1174" s="1">
        <v>9</v>
      </c>
      <c r="S1174" s="1">
        <v>200010000065</v>
      </c>
      <c r="T1174" s="1">
        <v>29</v>
      </c>
      <c r="U1174" s="1">
        <v>1</v>
      </c>
      <c r="V1174" s="1">
        <v>7</v>
      </c>
    </row>
    <row r="1175" spans="1:22" x14ac:dyDescent="0.25">
      <c r="A1175" s="3">
        <v>44775</v>
      </c>
      <c r="B1175" s="4">
        <v>0.52342592592592596</v>
      </c>
      <c r="C1175" s="1">
        <v>1463</v>
      </c>
      <c r="D1175" s="1">
        <v>13002581</v>
      </c>
      <c r="E1175" s="1">
        <v>13</v>
      </c>
      <c r="F1175" s="1">
        <v>22589</v>
      </c>
      <c r="G1175" s="1" t="s">
        <v>21</v>
      </c>
      <c r="H1175" s="1">
        <v>18</v>
      </c>
      <c r="I1175" s="1">
        <v>106412</v>
      </c>
      <c r="J1175" s="14" t="s">
        <v>571</v>
      </c>
      <c r="K1175" s="1" t="s">
        <v>45</v>
      </c>
      <c r="L1175" s="1" t="s">
        <v>572</v>
      </c>
      <c r="M1175" s="14">
        <v>1</v>
      </c>
      <c r="N1175" s="2">
        <v>401.19</v>
      </c>
      <c r="O1175" s="16">
        <v>530</v>
      </c>
      <c r="P1175" s="14">
        <v>37</v>
      </c>
      <c r="Q1175" s="14">
        <f t="shared" si="18"/>
        <v>493</v>
      </c>
      <c r="R1175" s="1">
        <v>9</v>
      </c>
      <c r="S1175" s="1">
        <v>200010000964</v>
      </c>
      <c r="T1175" s="1">
        <v>29</v>
      </c>
      <c r="U1175" s="1">
        <v>1</v>
      </c>
      <c r="V1175" s="1">
        <v>2</v>
      </c>
    </row>
    <row r="1176" spans="1:22" x14ac:dyDescent="0.25">
      <c r="A1176" s="3">
        <v>44776</v>
      </c>
      <c r="B1176" s="4">
        <v>0.66252314814814817</v>
      </c>
      <c r="C1176" s="1">
        <v>1622</v>
      </c>
      <c r="D1176" s="1">
        <v>13002595</v>
      </c>
      <c r="E1176" s="1">
        <v>13</v>
      </c>
      <c r="F1176" s="1">
        <v>22589</v>
      </c>
      <c r="G1176" s="1" t="s">
        <v>21</v>
      </c>
      <c r="H1176" s="1">
        <v>18</v>
      </c>
      <c r="I1176" s="1">
        <v>106412</v>
      </c>
      <c r="J1176" s="14" t="s">
        <v>571</v>
      </c>
      <c r="K1176" s="1" t="s">
        <v>45</v>
      </c>
      <c r="L1176" s="1" t="s">
        <v>572</v>
      </c>
      <c r="M1176" s="14">
        <v>1</v>
      </c>
      <c r="N1176" s="2">
        <v>401.19</v>
      </c>
      <c r="O1176" s="16">
        <v>530</v>
      </c>
      <c r="P1176" s="14">
        <v>4.74</v>
      </c>
      <c r="Q1176" s="14">
        <f t="shared" si="18"/>
        <v>525.26</v>
      </c>
      <c r="R1176" s="1">
        <v>925</v>
      </c>
      <c r="S1176" s="1">
        <v>200000000492</v>
      </c>
      <c r="T1176" s="1">
        <v>29</v>
      </c>
      <c r="U1176" s="1">
        <v>1</v>
      </c>
      <c r="V1176" s="1">
        <v>2</v>
      </c>
    </row>
    <row r="1177" spans="1:22" x14ac:dyDescent="0.25">
      <c r="A1177" s="3">
        <v>44777</v>
      </c>
      <c r="B1177" s="4">
        <v>0.6758912037037037</v>
      </c>
      <c r="C1177" s="1">
        <v>1744</v>
      </c>
      <c r="D1177" s="1">
        <v>13002606</v>
      </c>
      <c r="E1177" s="1">
        <v>13</v>
      </c>
      <c r="F1177" s="1">
        <v>22589</v>
      </c>
      <c r="G1177" s="1" t="s">
        <v>21</v>
      </c>
      <c r="H1177" s="1">
        <v>15</v>
      </c>
      <c r="I1177" s="1">
        <v>106412</v>
      </c>
      <c r="J1177" s="14" t="s">
        <v>571</v>
      </c>
      <c r="K1177" s="1" t="s">
        <v>45</v>
      </c>
      <c r="L1177" s="1" t="s">
        <v>572</v>
      </c>
      <c r="M1177" s="14">
        <v>1</v>
      </c>
      <c r="N1177" s="2">
        <v>401.19</v>
      </c>
      <c r="O1177" s="16">
        <v>530</v>
      </c>
      <c r="P1177" s="14">
        <v>0</v>
      </c>
      <c r="Q1177" s="14">
        <f t="shared" si="18"/>
        <v>530</v>
      </c>
      <c r="R1177" s="1" t="s">
        <v>25</v>
      </c>
      <c r="S1177" s="1" t="s">
        <v>25</v>
      </c>
      <c r="T1177" s="1">
        <v>50</v>
      </c>
      <c r="U1177" s="1">
        <v>1</v>
      </c>
      <c r="V1177" s="1">
        <v>1</v>
      </c>
    </row>
    <row r="1178" spans="1:22" x14ac:dyDescent="0.25">
      <c r="A1178" s="3">
        <v>44777</v>
      </c>
      <c r="B1178" s="4">
        <v>0.68923611111111116</v>
      </c>
      <c r="C1178" s="1">
        <v>1750</v>
      </c>
      <c r="D1178" s="1">
        <v>13002606</v>
      </c>
      <c r="E1178" s="1">
        <v>13</v>
      </c>
      <c r="F1178" s="1">
        <v>22589</v>
      </c>
      <c r="G1178" s="1" t="s">
        <v>21</v>
      </c>
      <c r="H1178" s="1">
        <v>18</v>
      </c>
      <c r="I1178" s="1">
        <v>106413</v>
      </c>
      <c r="J1178" s="14" t="s">
        <v>1045</v>
      </c>
      <c r="K1178" s="1" t="s">
        <v>117</v>
      </c>
      <c r="L1178" s="1" t="s">
        <v>572</v>
      </c>
      <c r="M1178" s="14">
        <v>1</v>
      </c>
      <c r="N1178" s="2">
        <v>478.26</v>
      </c>
      <c r="O1178" s="16">
        <v>632</v>
      </c>
      <c r="P1178" s="14">
        <v>0</v>
      </c>
      <c r="Q1178" s="14">
        <f t="shared" si="18"/>
        <v>632</v>
      </c>
      <c r="R1178" s="1" t="s">
        <v>25</v>
      </c>
      <c r="S1178" s="1" t="s">
        <v>25</v>
      </c>
      <c r="T1178" s="1">
        <v>50</v>
      </c>
      <c r="U1178" s="1">
        <v>1</v>
      </c>
      <c r="V1178" s="1">
        <v>3</v>
      </c>
    </row>
    <row r="1179" spans="1:22" x14ac:dyDescent="0.25">
      <c r="A1179" s="3">
        <v>44776</v>
      </c>
      <c r="B1179" s="4">
        <v>0.46812500000000001</v>
      </c>
      <c r="C1179" s="1">
        <v>1564</v>
      </c>
      <c r="D1179" s="1">
        <v>13002595</v>
      </c>
      <c r="E1179" s="1">
        <v>13</v>
      </c>
      <c r="F1179" s="1">
        <v>22589</v>
      </c>
      <c r="G1179" s="1" t="s">
        <v>21</v>
      </c>
      <c r="H1179" s="1">
        <v>18</v>
      </c>
      <c r="I1179" s="1">
        <v>144840</v>
      </c>
      <c r="J1179" s="14" t="s">
        <v>760</v>
      </c>
      <c r="K1179" s="1" t="s">
        <v>29</v>
      </c>
      <c r="L1179" s="1" t="s">
        <v>761</v>
      </c>
      <c r="M1179" s="14">
        <v>1</v>
      </c>
      <c r="N1179" s="2">
        <v>337.91</v>
      </c>
      <c r="O1179" s="16">
        <v>447</v>
      </c>
      <c r="P1179" s="14">
        <v>31</v>
      </c>
      <c r="Q1179" s="14">
        <f t="shared" si="18"/>
        <v>416</v>
      </c>
      <c r="R1179" s="1">
        <v>9</v>
      </c>
      <c r="S1179" s="1">
        <v>200010013081</v>
      </c>
      <c r="T1179" s="1">
        <v>29</v>
      </c>
      <c r="U1179" s="1">
        <v>1</v>
      </c>
      <c r="V1179" s="1">
        <v>3</v>
      </c>
    </row>
    <row r="1180" spans="1:22" x14ac:dyDescent="0.25">
      <c r="A1180" s="3">
        <v>44778</v>
      </c>
      <c r="B1180" s="4">
        <v>0.58947916666666667</v>
      </c>
      <c r="C1180" s="1">
        <v>1851</v>
      </c>
      <c r="D1180" s="1">
        <v>13002616</v>
      </c>
      <c r="E1180" s="1">
        <v>13</v>
      </c>
      <c r="F1180" s="1">
        <v>22589</v>
      </c>
      <c r="G1180" s="1" t="s">
        <v>21</v>
      </c>
      <c r="H1180" s="1">
        <v>18</v>
      </c>
      <c r="I1180" s="1">
        <v>8654</v>
      </c>
      <c r="J1180" s="14" t="s">
        <v>1167</v>
      </c>
      <c r="K1180" s="1" t="s">
        <v>45</v>
      </c>
      <c r="L1180" s="1" t="s">
        <v>1168</v>
      </c>
      <c r="M1180" s="14">
        <v>1</v>
      </c>
      <c r="N1180" s="2">
        <v>268.43</v>
      </c>
      <c r="O1180" s="16">
        <v>363</v>
      </c>
      <c r="P1180" s="14">
        <v>0</v>
      </c>
      <c r="Q1180" s="14">
        <f t="shared" si="18"/>
        <v>363</v>
      </c>
      <c r="R1180" s="1" t="s">
        <v>25</v>
      </c>
      <c r="S1180" s="1" t="s">
        <v>25</v>
      </c>
      <c r="T1180" s="1">
        <v>50</v>
      </c>
      <c r="U1180" s="1">
        <v>1</v>
      </c>
      <c r="V1180" s="1">
        <v>5</v>
      </c>
    </row>
    <row r="1181" spans="1:22" x14ac:dyDescent="0.25">
      <c r="A1181" s="3">
        <v>44774</v>
      </c>
      <c r="B1181" s="4">
        <v>0.38320601851851854</v>
      </c>
      <c r="C1181" s="1">
        <v>1278</v>
      </c>
      <c r="D1181" s="1">
        <v>13002561</v>
      </c>
      <c r="E1181" s="1">
        <v>13</v>
      </c>
      <c r="F1181" s="1">
        <v>22589</v>
      </c>
      <c r="G1181" s="1" t="s">
        <v>21</v>
      </c>
      <c r="H1181" s="1">
        <v>15</v>
      </c>
      <c r="I1181" s="1">
        <v>528004</v>
      </c>
      <c r="J1181" s="14" t="s">
        <v>47</v>
      </c>
      <c r="K1181" s="1" t="s">
        <v>48</v>
      </c>
      <c r="L1181" s="1" t="s">
        <v>49</v>
      </c>
      <c r="M1181" s="14">
        <v>1</v>
      </c>
      <c r="N1181" s="2">
        <v>35.520000000000003</v>
      </c>
      <c r="O1181" s="16">
        <v>58</v>
      </c>
      <c r="P1181" s="14">
        <v>5</v>
      </c>
      <c r="Q1181" s="14">
        <f t="shared" si="18"/>
        <v>53</v>
      </c>
      <c r="R1181" s="1">
        <v>9</v>
      </c>
      <c r="S1181" s="1">
        <v>200010001758</v>
      </c>
      <c r="T1181" s="1">
        <v>29</v>
      </c>
      <c r="U1181" s="1">
        <v>1</v>
      </c>
      <c r="V1181" s="1">
        <v>2</v>
      </c>
    </row>
    <row r="1182" spans="1:22" x14ac:dyDescent="0.25">
      <c r="A1182" s="3">
        <v>44775</v>
      </c>
      <c r="B1182" s="4">
        <v>0.76310185185185186</v>
      </c>
      <c r="C1182" s="1">
        <v>1524</v>
      </c>
      <c r="D1182" s="1">
        <v>13002581</v>
      </c>
      <c r="E1182" s="1">
        <v>13</v>
      </c>
      <c r="F1182" s="1">
        <v>22589</v>
      </c>
      <c r="G1182" s="1" t="s">
        <v>21</v>
      </c>
      <c r="H1182" s="1">
        <v>18</v>
      </c>
      <c r="I1182" s="1">
        <v>528004</v>
      </c>
      <c r="J1182" s="14" t="s">
        <v>47</v>
      </c>
      <c r="K1182" s="1" t="s">
        <v>48</v>
      </c>
      <c r="L1182" s="1" t="s">
        <v>49</v>
      </c>
      <c r="M1182" s="14">
        <v>2</v>
      </c>
      <c r="N1182" s="2">
        <v>35.520000000000003</v>
      </c>
      <c r="O1182" s="16">
        <v>58</v>
      </c>
      <c r="P1182" s="14">
        <v>0</v>
      </c>
      <c r="Q1182" s="14">
        <f t="shared" si="18"/>
        <v>116</v>
      </c>
      <c r="R1182" s="1" t="s">
        <v>25</v>
      </c>
      <c r="S1182" s="1" t="s">
        <v>25</v>
      </c>
      <c r="T1182" s="1">
        <v>29</v>
      </c>
      <c r="U1182" s="1">
        <v>1</v>
      </c>
      <c r="V1182" s="1">
        <v>1</v>
      </c>
    </row>
    <row r="1183" spans="1:22" x14ac:dyDescent="0.25">
      <c r="A1183" s="3">
        <v>44778</v>
      </c>
      <c r="B1183" s="4">
        <v>0.73204861111111108</v>
      </c>
      <c r="C1183" s="1">
        <v>1883</v>
      </c>
      <c r="D1183" s="1">
        <v>13002616</v>
      </c>
      <c r="E1183" s="1">
        <v>13</v>
      </c>
      <c r="F1183" s="1">
        <v>22589</v>
      </c>
      <c r="G1183" s="1" t="s">
        <v>21</v>
      </c>
      <c r="H1183" s="1">
        <v>15</v>
      </c>
      <c r="I1183" s="1">
        <v>528004</v>
      </c>
      <c r="J1183" s="14" t="s">
        <v>47</v>
      </c>
      <c r="K1183" s="1" t="s">
        <v>48</v>
      </c>
      <c r="L1183" s="1" t="s">
        <v>49</v>
      </c>
      <c r="M1183" s="14">
        <v>1</v>
      </c>
      <c r="N1183" s="2">
        <v>35.520000000000003</v>
      </c>
      <c r="O1183" s="16">
        <v>58</v>
      </c>
      <c r="P1183" s="14">
        <v>5</v>
      </c>
      <c r="Q1183" s="14">
        <f t="shared" si="18"/>
        <v>53</v>
      </c>
      <c r="R1183" s="1">
        <v>9</v>
      </c>
      <c r="S1183" s="1">
        <v>200010016190</v>
      </c>
      <c r="T1183" s="1">
        <v>50</v>
      </c>
      <c r="U1183" s="1">
        <v>1</v>
      </c>
      <c r="V1183" s="1">
        <v>4</v>
      </c>
    </row>
    <row r="1184" spans="1:22" x14ac:dyDescent="0.25">
      <c r="A1184" s="3">
        <v>44775</v>
      </c>
      <c r="B1184" s="4">
        <v>0.61479166666666663</v>
      </c>
      <c r="C1184" s="1">
        <v>1483</v>
      </c>
      <c r="D1184" s="1">
        <v>13002581</v>
      </c>
      <c r="E1184" s="1">
        <v>13</v>
      </c>
      <c r="F1184" s="1">
        <v>22589</v>
      </c>
      <c r="G1184" s="1" t="s">
        <v>21</v>
      </c>
      <c r="H1184" s="1">
        <v>18</v>
      </c>
      <c r="I1184" s="1">
        <v>116451</v>
      </c>
      <c r="J1184" s="14" t="s">
        <v>619</v>
      </c>
      <c r="K1184" s="1" t="s">
        <v>34</v>
      </c>
      <c r="L1184" s="1" t="s">
        <v>620</v>
      </c>
      <c r="M1184" s="14">
        <v>1</v>
      </c>
      <c r="N1184" s="2">
        <v>1263.26</v>
      </c>
      <c r="O1184" s="16">
        <v>1316</v>
      </c>
      <c r="P1184" s="14">
        <v>0</v>
      </c>
      <c r="Q1184" s="14">
        <f t="shared" si="18"/>
        <v>1316</v>
      </c>
      <c r="R1184" s="1" t="s">
        <v>25</v>
      </c>
      <c r="S1184" s="1" t="s">
        <v>25</v>
      </c>
      <c r="T1184" s="1">
        <v>29</v>
      </c>
      <c r="U1184" s="1">
        <v>2</v>
      </c>
      <c r="V1184" s="1">
        <v>1</v>
      </c>
    </row>
    <row r="1185" spans="1:22" x14ac:dyDescent="0.25">
      <c r="A1185" s="3">
        <v>44778</v>
      </c>
      <c r="B1185" s="4">
        <v>0.53001157407407407</v>
      </c>
      <c r="C1185" s="1">
        <v>1839</v>
      </c>
      <c r="D1185" s="1">
        <v>13002616</v>
      </c>
      <c r="E1185" s="1">
        <v>13</v>
      </c>
      <c r="F1185" s="1">
        <v>22589</v>
      </c>
      <c r="G1185" s="1" t="s">
        <v>21</v>
      </c>
      <c r="H1185" s="1">
        <v>18</v>
      </c>
      <c r="I1185" s="1">
        <v>55807</v>
      </c>
      <c r="J1185" s="14" t="s">
        <v>1136</v>
      </c>
      <c r="K1185" s="1" t="s">
        <v>23</v>
      </c>
      <c r="L1185" s="1" t="s">
        <v>825</v>
      </c>
      <c r="M1185" s="14">
        <v>1</v>
      </c>
      <c r="N1185" s="2">
        <v>259.39999999999998</v>
      </c>
      <c r="O1185" s="16">
        <v>351</v>
      </c>
      <c r="P1185" s="14">
        <v>0</v>
      </c>
      <c r="Q1185" s="14">
        <f t="shared" si="18"/>
        <v>351</v>
      </c>
      <c r="R1185" s="1" t="s">
        <v>25</v>
      </c>
      <c r="S1185" s="1" t="s">
        <v>25</v>
      </c>
      <c r="T1185" s="1">
        <v>50</v>
      </c>
      <c r="U1185" s="1">
        <v>1</v>
      </c>
      <c r="V1185" s="1">
        <v>1</v>
      </c>
    </row>
    <row r="1186" spans="1:22" x14ac:dyDescent="0.25">
      <c r="A1186" s="3">
        <v>44775</v>
      </c>
      <c r="B1186" s="4">
        <v>0.50753472222222218</v>
      </c>
      <c r="C1186" s="1">
        <v>1457</v>
      </c>
      <c r="D1186" s="1">
        <v>13002581</v>
      </c>
      <c r="E1186" s="1">
        <v>13</v>
      </c>
      <c r="F1186" s="1">
        <v>22589</v>
      </c>
      <c r="G1186" s="1" t="s">
        <v>21</v>
      </c>
      <c r="H1186" s="1">
        <v>15</v>
      </c>
      <c r="I1186" s="1">
        <v>2230</v>
      </c>
      <c r="J1186" s="14" t="s">
        <v>561</v>
      </c>
      <c r="K1186" s="1" t="s">
        <v>34</v>
      </c>
      <c r="L1186" s="1" t="s">
        <v>192</v>
      </c>
      <c r="M1186" s="14">
        <v>1</v>
      </c>
      <c r="N1186" s="2">
        <v>225.28</v>
      </c>
      <c r="O1186" s="16">
        <v>282</v>
      </c>
      <c r="P1186" s="14">
        <v>0</v>
      </c>
      <c r="Q1186" s="14">
        <f t="shared" si="18"/>
        <v>282</v>
      </c>
      <c r="R1186" s="1" t="s">
        <v>25</v>
      </c>
      <c r="S1186" s="1" t="s">
        <v>25</v>
      </c>
      <c r="T1186" s="1">
        <v>29</v>
      </c>
      <c r="U1186" s="1">
        <v>1</v>
      </c>
      <c r="V1186" s="1">
        <v>5</v>
      </c>
    </row>
    <row r="1187" spans="1:22" x14ac:dyDescent="0.25">
      <c r="A1187" s="3">
        <v>44774</v>
      </c>
      <c r="B1187" s="4">
        <v>0.71596064814814819</v>
      </c>
      <c r="C1187" s="1">
        <v>1384</v>
      </c>
      <c r="D1187" s="1">
        <v>13002561</v>
      </c>
      <c r="E1187" s="1">
        <v>13</v>
      </c>
      <c r="F1187" s="1">
        <v>22589</v>
      </c>
      <c r="G1187" s="1" t="s">
        <v>21</v>
      </c>
      <c r="H1187" s="1">
        <v>15</v>
      </c>
      <c r="I1187" s="1">
        <v>340098</v>
      </c>
      <c r="J1187" s="14" t="s">
        <v>396</v>
      </c>
      <c r="K1187" s="1" t="s">
        <v>51</v>
      </c>
      <c r="L1187" s="1" t="s">
        <v>397</v>
      </c>
      <c r="M1187" s="14">
        <v>1</v>
      </c>
      <c r="N1187" s="2">
        <v>74.400000000000006</v>
      </c>
      <c r="O1187" s="16">
        <v>106</v>
      </c>
      <c r="P1187" s="14">
        <v>12.63</v>
      </c>
      <c r="Q1187" s="14">
        <f t="shared" si="18"/>
        <v>93.37</v>
      </c>
      <c r="R1187" s="1">
        <v>925</v>
      </c>
      <c r="S1187" s="1">
        <v>200000000492</v>
      </c>
      <c r="T1187" s="1">
        <v>29</v>
      </c>
      <c r="U1187" s="1">
        <v>1</v>
      </c>
      <c r="V1187" s="1">
        <v>3</v>
      </c>
    </row>
    <row r="1188" spans="1:22" x14ac:dyDescent="0.25">
      <c r="A1188" s="3">
        <v>44778</v>
      </c>
      <c r="B1188" s="4">
        <v>0.68890046296296292</v>
      </c>
      <c r="C1188" s="1">
        <v>1875</v>
      </c>
      <c r="D1188" s="1">
        <v>13002616</v>
      </c>
      <c r="E1188" s="1">
        <v>13</v>
      </c>
      <c r="F1188" s="1">
        <v>22589</v>
      </c>
      <c r="G1188" s="1" t="s">
        <v>21</v>
      </c>
      <c r="H1188" s="1">
        <v>15</v>
      </c>
      <c r="I1188" s="1">
        <v>340098</v>
      </c>
      <c r="J1188" s="14" t="s">
        <v>396</v>
      </c>
      <c r="K1188" s="1" t="s">
        <v>51</v>
      </c>
      <c r="L1188" s="1" t="s">
        <v>397</v>
      </c>
      <c r="M1188" s="14">
        <v>1</v>
      </c>
      <c r="N1188" s="2">
        <v>74.400000000000006</v>
      </c>
      <c r="O1188" s="16">
        <v>106</v>
      </c>
      <c r="P1188" s="14">
        <v>7</v>
      </c>
      <c r="Q1188" s="14">
        <f t="shared" si="18"/>
        <v>99</v>
      </c>
      <c r="R1188" s="1">
        <v>9</v>
      </c>
      <c r="S1188" s="1">
        <v>200010003394</v>
      </c>
      <c r="T1188" s="1">
        <v>50</v>
      </c>
      <c r="U1188" s="1">
        <v>1</v>
      </c>
      <c r="V1188" s="1">
        <v>2</v>
      </c>
    </row>
    <row r="1189" spans="1:22" x14ac:dyDescent="0.25">
      <c r="A1189" s="3">
        <v>44778</v>
      </c>
      <c r="B1189" s="4">
        <v>0.53781250000000003</v>
      </c>
      <c r="C1189" s="1">
        <v>1841</v>
      </c>
      <c r="D1189" s="1">
        <v>13002616</v>
      </c>
      <c r="E1189" s="1">
        <v>13</v>
      </c>
      <c r="F1189" s="1">
        <v>22589</v>
      </c>
      <c r="G1189" s="1" t="s">
        <v>21</v>
      </c>
      <c r="H1189" s="1">
        <v>18</v>
      </c>
      <c r="I1189" s="1">
        <v>389093</v>
      </c>
      <c r="J1189" s="14" t="s">
        <v>1139</v>
      </c>
      <c r="K1189" s="1" t="s">
        <v>51</v>
      </c>
      <c r="L1189" s="1" t="s">
        <v>453</v>
      </c>
      <c r="M1189" s="14">
        <v>1</v>
      </c>
      <c r="N1189" s="2">
        <v>31.84</v>
      </c>
      <c r="O1189" s="16">
        <v>49</v>
      </c>
      <c r="P1189" s="14">
        <v>0</v>
      </c>
      <c r="Q1189" s="14">
        <f t="shared" si="18"/>
        <v>49</v>
      </c>
      <c r="R1189" s="1" t="s">
        <v>25</v>
      </c>
      <c r="S1189" s="1" t="s">
        <v>25</v>
      </c>
      <c r="T1189" s="1">
        <v>50</v>
      </c>
      <c r="U1189" s="1">
        <v>1</v>
      </c>
      <c r="V1189" s="1">
        <v>2</v>
      </c>
    </row>
    <row r="1190" spans="1:22" x14ac:dyDescent="0.25">
      <c r="A1190" s="3">
        <v>44778</v>
      </c>
      <c r="B1190" s="4">
        <v>0.59703703703703703</v>
      </c>
      <c r="C1190" s="1">
        <v>1853</v>
      </c>
      <c r="D1190" s="1">
        <v>13002616</v>
      </c>
      <c r="E1190" s="1">
        <v>13</v>
      </c>
      <c r="F1190" s="1">
        <v>22589</v>
      </c>
      <c r="G1190" s="1" t="s">
        <v>21</v>
      </c>
      <c r="H1190" s="1">
        <v>18</v>
      </c>
      <c r="I1190" s="1">
        <v>325948</v>
      </c>
      <c r="J1190" s="14" t="s">
        <v>1171</v>
      </c>
      <c r="K1190" s="1" t="s">
        <v>23</v>
      </c>
      <c r="L1190" s="1" t="s">
        <v>1172</v>
      </c>
      <c r="M1190" s="14">
        <v>1</v>
      </c>
      <c r="N1190" s="2">
        <v>502.76</v>
      </c>
      <c r="O1190" s="16">
        <v>714</v>
      </c>
      <c r="P1190" s="14">
        <v>71</v>
      </c>
      <c r="Q1190" s="14">
        <f t="shared" si="18"/>
        <v>643</v>
      </c>
      <c r="R1190" s="1">
        <v>9</v>
      </c>
      <c r="S1190" s="1">
        <v>200010023020</v>
      </c>
      <c r="T1190" s="1">
        <v>50</v>
      </c>
      <c r="U1190" s="1">
        <v>1</v>
      </c>
      <c r="V1190" s="1">
        <v>3</v>
      </c>
    </row>
    <row r="1191" spans="1:22" x14ac:dyDescent="0.25">
      <c r="A1191" s="3">
        <v>44775</v>
      </c>
      <c r="B1191" s="4">
        <v>0.79348379629629628</v>
      </c>
      <c r="C1191" s="1">
        <v>1529</v>
      </c>
      <c r="D1191" s="1">
        <v>13002581</v>
      </c>
      <c r="E1191" s="1">
        <v>13</v>
      </c>
      <c r="F1191" s="1">
        <v>22589</v>
      </c>
      <c r="G1191" s="1" t="s">
        <v>21</v>
      </c>
      <c r="H1191" s="1">
        <v>15</v>
      </c>
      <c r="I1191" s="1">
        <v>184137</v>
      </c>
      <c r="J1191" s="14" t="s">
        <v>696</v>
      </c>
      <c r="K1191" s="1" t="s">
        <v>23</v>
      </c>
      <c r="L1191" s="1" t="s">
        <v>697</v>
      </c>
      <c r="M1191" s="14">
        <v>1</v>
      </c>
      <c r="N1191" s="2">
        <v>860.76</v>
      </c>
      <c r="O1191" s="16">
        <v>1111</v>
      </c>
      <c r="P1191" s="14">
        <v>77</v>
      </c>
      <c r="Q1191" s="14">
        <f t="shared" si="18"/>
        <v>1034</v>
      </c>
      <c r="R1191" s="1">
        <v>9</v>
      </c>
      <c r="S1191" s="1">
        <v>200010022022</v>
      </c>
      <c r="T1191" s="1">
        <v>29</v>
      </c>
      <c r="U1191" s="1">
        <v>1</v>
      </c>
      <c r="V1191" s="1">
        <v>3</v>
      </c>
    </row>
    <row r="1192" spans="1:22" x14ac:dyDescent="0.25">
      <c r="A1192" s="3">
        <v>44777</v>
      </c>
      <c r="B1192" s="4">
        <v>0.63724537037037032</v>
      </c>
      <c r="C1192" s="1">
        <v>1738</v>
      </c>
      <c r="D1192" s="1">
        <v>13002606</v>
      </c>
      <c r="E1192" s="1">
        <v>13</v>
      </c>
      <c r="F1192" s="1">
        <v>22589</v>
      </c>
      <c r="G1192" s="1" t="s">
        <v>21</v>
      </c>
      <c r="H1192" s="1">
        <v>15</v>
      </c>
      <c r="I1192" s="1">
        <v>1178</v>
      </c>
      <c r="J1192" s="14" t="s">
        <v>1034</v>
      </c>
      <c r="K1192" s="1" t="s">
        <v>58</v>
      </c>
      <c r="L1192" s="1" t="s">
        <v>756</v>
      </c>
      <c r="M1192" s="14">
        <v>1</v>
      </c>
      <c r="N1192" s="2">
        <v>133.5</v>
      </c>
      <c r="O1192" s="16">
        <v>158</v>
      </c>
      <c r="P1192" s="14">
        <v>2.33</v>
      </c>
      <c r="Q1192" s="14">
        <f t="shared" si="18"/>
        <v>155.66999999999999</v>
      </c>
      <c r="R1192" s="1">
        <v>925</v>
      </c>
      <c r="S1192" s="1">
        <v>200000000492</v>
      </c>
      <c r="T1192" s="1">
        <v>50</v>
      </c>
      <c r="U1192" s="1">
        <v>1</v>
      </c>
      <c r="V1192" s="1">
        <v>2</v>
      </c>
    </row>
    <row r="1193" spans="1:22" x14ac:dyDescent="0.25">
      <c r="A1193" s="3">
        <v>44777</v>
      </c>
      <c r="B1193" s="4">
        <v>0.63724537037037032</v>
      </c>
      <c r="C1193" s="1">
        <v>1738</v>
      </c>
      <c r="D1193" s="1">
        <v>13002606</v>
      </c>
      <c r="E1193" s="1">
        <v>13</v>
      </c>
      <c r="F1193" s="1">
        <v>22589</v>
      </c>
      <c r="G1193" s="1" t="s">
        <v>21</v>
      </c>
      <c r="H1193" s="1">
        <v>15</v>
      </c>
      <c r="I1193" s="1">
        <v>1178</v>
      </c>
      <c r="J1193" s="14" t="s">
        <v>1034</v>
      </c>
      <c r="K1193" s="1" t="s">
        <v>58</v>
      </c>
      <c r="L1193" s="1" t="s">
        <v>756</v>
      </c>
      <c r="M1193" s="14">
        <v>1</v>
      </c>
      <c r="N1193" s="2">
        <v>133.5</v>
      </c>
      <c r="O1193" s="16">
        <v>158</v>
      </c>
      <c r="P1193" s="14">
        <v>2.34</v>
      </c>
      <c r="Q1193" s="14">
        <f t="shared" si="18"/>
        <v>155.66</v>
      </c>
      <c r="R1193" s="1">
        <v>925</v>
      </c>
      <c r="S1193" s="1">
        <v>200000000492</v>
      </c>
      <c r="T1193" s="1">
        <v>50</v>
      </c>
      <c r="U1193" s="1">
        <v>1</v>
      </c>
      <c r="V1193" s="1">
        <v>3</v>
      </c>
    </row>
    <row r="1194" spans="1:22" x14ac:dyDescent="0.25">
      <c r="A1194" s="3">
        <v>44776</v>
      </c>
      <c r="B1194" s="4">
        <v>0.45870370370370372</v>
      </c>
      <c r="C1194" s="1">
        <v>1562</v>
      </c>
      <c r="D1194" s="1">
        <v>13002595</v>
      </c>
      <c r="E1194" s="1">
        <v>13</v>
      </c>
      <c r="F1194" s="1">
        <v>22589</v>
      </c>
      <c r="G1194" s="1" t="s">
        <v>21</v>
      </c>
      <c r="H1194" s="1">
        <v>15</v>
      </c>
      <c r="I1194" s="1">
        <v>1177</v>
      </c>
      <c r="J1194" s="14" t="s">
        <v>755</v>
      </c>
      <c r="K1194" s="1" t="s">
        <v>51</v>
      </c>
      <c r="L1194" s="1" t="s">
        <v>756</v>
      </c>
      <c r="M1194" s="14">
        <v>1</v>
      </c>
      <c r="N1194" s="2">
        <v>107.44</v>
      </c>
      <c r="O1194" s="16">
        <v>127</v>
      </c>
      <c r="P1194" s="14">
        <v>6</v>
      </c>
      <c r="Q1194" s="14">
        <f t="shared" si="18"/>
        <v>121</v>
      </c>
      <c r="R1194" s="1">
        <v>9</v>
      </c>
      <c r="S1194" s="1">
        <v>200010009864</v>
      </c>
      <c r="T1194" s="1">
        <v>29</v>
      </c>
      <c r="U1194" s="1">
        <v>1</v>
      </c>
      <c r="V1194" s="1">
        <v>2</v>
      </c>
    </row>
    <row r="1195" spans="1:22" x14ac:dyDescent="0.25">
      <c r="A1195" s="3">
        <v>44776</v>
      </c>
      <c r="B1195" s="4">
        <v>0.48405092592592591</v>
      </c>
      <c r="C1195" s="1">
        <v>1569</v>
      </c>
      <c r="D1195" s="1">
        <v>13002595</v>
      </c>
      <c r="E1195" s="1">
        <v>13</v>
      </c>
      <c r="F1195" s="1">
        <v>22589</v>
      </c>
      <c r="G1195" s="1" t="s">
        <v>21</v>
      </c>
      <c r="H1195" s="1">
        <v>18</v>
      </c>
      <c r="I1195" s="1">
        <v>1177</v>
      </c>
      <c r="J1195" s="14" t="s">
        <v>755</v>
      </c>
      <c r="K1195" s="1" t="s">
        <v>51</v>
      </c>
      <c r="L1195" s="1" t="s">
        <v>756</v>
      </c>
      <c r="M1195" s="14">
        <v>1</v>
      </c>
      <c r="N1195" s="2">
        <v>107.44</v>
      </c>
      <c r="O1195" s="16">
        <v>127</v>
      </c>
      <c r="P1195" s="14">
        <v>6</v>
      </c>
      <c r="Q1195" s="14">
        <f t="shared" si="18"/>
        <v>121</v>
      </c>
      <c r="R1195" s="1">
        <v>9</v>
      </c>
      <c r="S1195" s="1">
        <v>200010017048</v>
      </c>
      <c r="T1195" s="1">
        <v>29</v>
      </c>
      <c r="U1195" s="1">
        <v>1</v>
      </c>
      <c r="V1195" s="1">
        <v>3</v>
      </c>
    </row>
    <row r="1196" spans="1:22" x14ac:dyDescent="0.25">
      <c r="A1196" s="3">
        <v>44776</v>
      </c>
      <c r="B1196" s="4">
        <v>0.72741898148148143</v>
      </c>
      <c r="C1196" s="1">
        <v>1633</v>
      </c>
      <c r="D1196" s="1">
        <v>13002595</v>
      </c>
      <c r="E1196" s="1">
        <v>13</v>
      </c>
      <c r="F1196" s="1">
        <v>22589</v>
      </c>
      <c r="G1196" s="1" t="s">
        <v>21</v>
      </c>
      <c r="H1196" s="1">
        <v>18</v>
      </c>
      <c r="I1196" s="1">
        <v>130464</v>
      </c>
      <c r="J1196" s="14" t="s">
        <v>891</v>
      </c>
      <c r="K1196" s="1" t="s">
        <v>64</v>
      </c>
      <c r="L1196" s="1" t="s">
        <v>756</v>
      </c>
      <c r="M1196" s="14">
        <v>1</v>
      </c>
      <c r="N1196" s="2">
        <v>267</v>
      </c>
      <c r="O1196" s="16">
        <v>361</v>
      </c>
      <c r="P1196" s="14">
        <v>0</v>
      </c>
      <c r="Q1196" s="14">
        <f t="shared" si="18"/>
        <v>361</v>
      </c>
      <c r="R1196" s="1" t="s">
        <v>25</v>
      </c>
      <c r="S1196" s="1" t="s">
        <v>25</v>
      </c>
      <c r="T1196" s="1">
        <v>29</v>
      </c>
      <c r="U1196" s="1">
        <v>1</v>
      </c>
      <c r="V1196" s="1">
        <v>2</v>
      </c>
    </row>
    <row r="1197" spans="1:22" x14ac:dyDescent="0.25">
      <c r="A1197" s="3">
        <v>44774</v>
      </c>
      <c r="B1197" s="4">
        <v>0.62321759259259257</v>
      </c>
      <c r="C1197" s="1">
        <v>1363</v>
      </c>
      <c r="D1197" s="1">
        <v>13002561</v>
      </c>
      <c r="E1197" s="1">
        <v>13</v>
      </c>
      <c r="F1197" s="1">
        <v>22589</v>
      </c>
      <c r="G1197" s="1" t="s">
        <v>21</v>
      </c>
      <c r="H1197" s="1">
        <v>18</v>
      </c>
      <c r="I1197" s="1">
        <v>33740</v>
      </c>
      <c r="J1197" s="14" t="s">
        <v>347</v>
      </c>
      <c r="K1197" s="1" t="s">
        <v>29</v>
      </c>
      <c r="L1197" s="1" t="s">
        <v>348</v>
      </c>
      <c r="M1197" s="14">
        <v>1</v>
      </c>
      <c r="N1197" s="2">
        <v>54.82</v>
      </c>
      <c r="O1197" s="16">
        <v>87</v>
      </c>
      <c r="P1197" s="14">
        <v>0</v>
      </c>
      <c r="Q1197" s="14">
        <f t="shared" si="18"/>
        <v>87</v>
      </c>
      <c r="R1197" s="1" t="s">
        <v>25</v>
      </c>
      <c r="S1197" s="1" t="s">
        <v>25</v>
      </c>
      <c r="T1197" s="1">
        <v>29</v>
      </c>
      <c r="U1197" s="1">
        <v>1</v>
      </c>
      <c r="V1197" s="1">
        <v>1</v>
      </c>
    </row>
    <row r="1198" spans="1:22" x14ac:dyDescent="0.25">
      <c r="A1198" s="3">
        <v>44778</v>
      </c>
      <c r="B1198" s="4">
        <v>0.38695601851851852</v>
      </c>
      <c r="C1198" s="1">
        <v>1795</v>
      </c>
      <c r="D1198" s="1">
        <v>13002616</v>
      </c>
      <c r="E1198" s="1">
        <v>13</v>
      </c>
      <c r="F1198" s="1">
        <v>22589</v>
      </c>
      <c r="G1198" s="1" t="s">
        <v>21</v>
      </c>
      <c r="H1198" s="1">
        <v>18</v>
      </c>
      <c r="I1198" s="1">
        <v>141755</v>
      </c>
      <c r="J1198" s="14" t="s">
        <v>1091</v>
      </c>
      <c r="K1198" s="1" t="s">
        <v>29</v>
      </c>
      <c r="L1198" s="1" t="s">
        <v>348</v>
      </c>
      <c r="M1198" s="14">
        <v>1</v>
      </c>
      <c r="N1198" s="2">
        <v>45.35</v>
      </c>
      <c r="O1198" s="16">
        <v>74</v>
      </c>
      <c r="P1198" s="14">
        <v>0</v>
      </c>
      <c r="Q1198" s="14">
        <f t="shared" si="18"/>
        <v>74</v>
      </c>
      <c r="R1198" s="1" t="s">
        <v>25</v>
      </c>
      <c r="S1198" s="1" t="s">
        <v>25</v>
      </c>
      <c r="T1198" s="1">
        <v>50</v>
      </c>
      <c r="U1198" s="1">
        <v>1</v>
      </c>
      <c r="V1198" s="1">
        <v>1</v>
      </c>
    </row>
    <row r="1199" spans="1:22" x14ac:dyDescent="0.25">
      <c r="A1199" s="3">
        <v>44775</v>
      </c>
      <c r="B1199" s="4">
        <v>0.73601851851851852</v>
      </c>
      <c r="C1199" s="1">
        <v>1514</v>
      </c>
      <c r="D1199" s="1">
        <v>13002581</v>
      </c>
      <c r="E1199" s="1">
        <v>13</v>
      </c>
      <c r="F1199" s="1">
        <v>22589</v>
      </c>
      <c r="G1199" s="1" t="s">
        <v>21</v>
      </c>
      <c r="H1199" s="1">
        <v>18</v>
      </c>
      <c r="I1199" s="1">
        <v>422260</v>
      </c>
      <c r="J1199" s="14" t="s">
        <v>667</v>
      </c>
      <c r="K1199" s="1" t="s">
        <v>51</v>
      </c>
      <c r="L1199" s="1" t="s">
        <v>668</v>
      </c>
      <c r="M1199" s="14">
        <v>1</v>
      </c>
      <c r="N1199" s="2">
        <v>28.82</v>
      </c>
      <c r="O1199" s="16">
        <v>47</v>
      </c>
      <c r="P1199" s="14">
        <v>0</v>
      </c>
      <c r="Q1199" s="14">
        <f t="shared" si="18"/>
        <v>47</v>
      </c>
      <c r="R1199" s="1" t="s">
        <v>25</v>
      </c>
      <c r="S1199" s="1" t="s">
        <v>25</v>
      </c>
      <c r="T1199" s="1">
        <v>29</v>
      </c>
      <c r="U1199" s="1">
        <v>1</v>
      </c>
      <c r="V1199" s="1">
        <v>3</v>
      </c>
    </row>
    <row r="1200" spans="1:22" x14ac:dyDescent="0.25">
      <c r="A1200" s="3">
        <v>44777</v>
      </c>
      <c r="B1200" s="4">
        <v>0.81480324074074073</v>
      </c>
      <c r="C1200" s="1">
        <v>1775</v>
      </c>
      <c r="D1200" s="1">
        <v>13002606</v>
      </c>
      <c r="E1200" s="1">
        <v>13</v>
      </c>
      <c r="F1200" s="1">
        <v>22589</v>
      </c>
      <c r="G1200" s="1" t="s">
        <v>21</v>
      </c>
      <c r="H1200" s="1">
        <v>15</v>
      </c>
      <c r="I1200" s="1">
        <v>422260</v>
      </c>
      <c r="J1200" s="14" t="s">
        <v>667</v>
      </c>
      <c r="K1200" s="1" t="s">
        <v>51</v>
      </c>
      <c r="L1200" s="1" t="s">
        <v>668</v>
      </c>
      <c r="M1200" s="14">
        <v>3</v>
      </c>
      <c r="N1200" s="2">
        <v>28.82</v>
      </c>
      <c r="O1200" s="16">
        <v>47</v>
      </c>
      <c r="P1200" s="14">
        <v>0</v>
      </c>
      <c r="Q1200" s="14">
        <f t="shared" si="18"/>
        <v>141</v>
      </c>
      <c r="R1200" s="1" t="s">
        <v>25</v>
      </c>
      <c r="S1200" s="1" t="s">
        <v>25</v>
      </c>
      <c r="T1200" s="1">
        <v>50</v>
      </c>
      <c r="U1200" s="1">
        <v>1</v>
      </c>
      <c r="V1200" s="1">
        <v>4</v>
      </c>
    </row>
    <row r="1201" spans="1:22" x14ac:dyDescent="0.25">
      <c r="A1201" s="3">
        <v>44778</v>
      </c>
      <c r="B1201" s="4">
        <v>0.48305555555555557</v>
      </c>
      <c r="C1201" s="1">
        <v>1821</v>
      </c>
      <c r="D1201" s="1">
        <v>13002616</v>
      </c>
      <c r="E1201" s="1">
        <v>13</v>
      </c>
      <c r="F1201" s="1">
        <v>22589</v>
      </c>
      <c r="G1201" s="1" t="s">
        <v>21</v>
      </c>
      <c r="H1201" s="1">
        <v>15</v>
      </c>
      <c r="I1201" s="1">
        <v>364627</v>
      </c>
      <c r="J1201" s="14" t="s">
        <v>1114</v>
      </c>
      <c r="K1201" s="1" t="s">
        <v>34</v>
      </c>
      <c r="L1201" s="1" t="s">
        <v>668</v>
      </c>
      <c r="M1201" s="14">
        <v>0.05</v>
      </c>
      <c r="N1201" s="2">
        <v>1288.97</v>
      </c>
      <c r="O1201" s="16">
        <v>1766</v>
      </c>
      <c r="P1201" s="14">
        <v>0</v>
      </c>
      <c r="Q1201" s="14">
        <f t="shared" si="18"/>
        <v>88.300000000000011</v>
      </c>
      <c r="R1201" s="1" t="s">
        <v>25</v>
      </c>
      <c r="S1201" s="1" t="s">
        <v>25</v>
      </c>
      <c r="T1201" s="1">
        <v>50</v>
      </c>
      <c r="U1201" s="1">
        <v>1</v>
      </c>
      <c r="V1201" s="1">
        <v>2</v>
      </c>
    </row>
    <row r="1202" spans="1:22" x14ac:dyDescent="0.25">
      <c r="A1202" s="3">
        <v>44776</v>
      </c>
      <c r="B1202" s="4">
        <v>0.52075231481481477</v>
      </c>
      <c r="C1202" s="1">
        <v>1582</v>
      </c>
      <c r="D1202" s="1">
        <v>13002595</v>
      </c>
      <c r="E1202" s="1">
        <v>13</v>
      </c>
      <c r="F1202" s="1">
        <v>22589</v>
      </c>
      <c r="G1202" s="1" t="s">
        <v>21</v>
      </c>
      <c r="H1202" s="1">
        <v>18</v>
      </c>
      <c r="I1202" s="1">
        <v>364619</v>
      </c>
      <c r="J1202" s="14" t="s">
        <v>803</v>
      </c>
      <c r="K1202" s="1" t="s">
        <v>51</v>
      </c>
      <c r="L1202" s="1" t="s">
        <v>668</v>
      </c>
      <c r="M1202" s="14">
        <v>0.01</v>
      </c>
      <c r="N1202" s="2">
        <v>645.79</v>
      </c>
      <c r="O1202" s="16">
        <v>918</v>
      </c>
      <c r="P1202" s="14">
        <v>0.18</v>
      </c>
      <c r="Q1202" s="14">
        <f t="shared" si="18"/>
        <v>9</v>
      </c>
      <c r="R1202" s="1">
        <v>9</v>
      </c>
      <c r="S1202" s="1">
        <v>200010022554</v>
      </c>
      <c r="T1202" s="1">
        <v>29</v>
      </c>
      <c r="U1202" s="1">
        <v>1</v>
      </c>
      <c r="V1202" s="1">
        <v>2</v>
      </c>
    </row>
    <row r="1203" spans="1:22" x14ac:dyDescent="0.25">
      <c r="A1203" s="3">
        <v>44778</v>
      </c>
      <c r="B1203" s="4">
        <v>0.35546296296296298</v>
      </c>
      <c r="C1203" s="1">
        <v>1787</v>
      </c>
      <c r="D1203" s="1">
        <v>13002616</v>
      </c>
      <c r="E1203" s="1">
        <v>13</v>
      </c>
      <c r="F1203" s="1">
        <v>22589</v>
      </c>
      <c r="G1203" s="1" t="s">
        <v>21</v>
      </c>
      <c r="H1203" s="1">
        <v>18</v>
      </c>
      <c r="I1203" s="1">
        <v>364619</v>
      </c>
      <c r="J1203" s="14" t="s">
        <v>803</v>
      </c>
      <c r="K1203" s="1" t="s">
        <v>51</v>
      </c>
      <c r="L1203" s="1" t="s">
        <v>668</v>
      </c>
      <c r="M1203" s="14">
        <v>0.12</v>
      </c>
      <c r="N1203" s="2">
        <v>645.79</v>
      </c>
      <c r="O1203" s="16">
        <v>918</v>
      </c>
      <c r="P1203" s="14">
        <v>0</v>
      </c>
      <c r="Q1203" s="14">
        <f t="shared" si="18"/>
        <v>110.16</v>
      </c>
      <c r="R1203" s="1" t="s">
        <v>25</v>
      </c>
      <c r="S1203" s="1" t="s">
        <v>25</v>
      </c>
      <c r="T1203" s="1">
        <v>50</v>
      </c>
      <c r="U1203" s="1">
        <v>1</v>
      </c>
      <c r="V1203" s="1">
        <v>6</v>
      </c>
    </row>
    <row r="1204" spans="1:22" x14ac:dyDescent="0.25">
      <c r="A1204" s="3">
        <v>44778</v>
      </c>
      <c r="B1204" s="4">
        <v>0.54952546296296301</v>
      </c>
      <c r="C1204" s="1">
        <v>1842</v>
      </c>
      <c r="D1204" s="1">
        <v>13002616</v>
      </c>
      <c r="E1204" s="1">
        <v>13</v>
      </c>
      <c r="F1204" s="1">
        <v>22589</v>
      </c>
      <c r="G1204" s="1" t="s">
        <v>21</v>
      </c>
      <c r="H1204" s="1">
        <v>15</v>
      </c>
      <c r="I1204" s="1">
        <v>364619</v>
      </c>
      <c r="J1204" s="14" t="s">
        <v>803</v>
      </c>
      <c r="K1204" s="1" t="s">
        <v>51</v>
      </c>
      <c r="L1204" s="1" t="s">
        <v>668</v>
      </c>
      <c r="M1204" s="14">
        <v>0.01</v>
      </c>
      <c r="N1204" s="2">
        <v>645.79</v>
      </c>
      <c r="O1204" s="16">
        <v>918</v>
      </c>
      <c r="P1204" s="14">
        <v>0.18</v>
      </c>
      <c r="Q1204" s="14">
        <f t="shared" si="18"/>
        <v>9</v>
      </c>
      <c r="R1204" s="1">
        <v>9</v>
      </c>
      <c r="S1204" s="1">
        <v>200010006086</v>
      </c>
      <c r="T1204" s="1">
        <v>50</v>
      </c>
      <c r="U1204" s="1">
        <v>1</v>
      </c>
      <c r="V1204" s="1">
        <v>5</v>
      </c>
    </row>
    <row r="1205" spans="1:22" x14ac:dyDescent="0.25">
      <c r="A1205" s="3">
        <v>44777</v>
      </c>
      <c r="B1205" s="4">
        <v>0.79959490740740746</v>
      </c>
      <c r="C1205" s="1">
        <v>1774</v>
      </c>
      <c r="D1205" s="1">
        <v>13002606</v>
      </c>
      <c r="E1205" s="1">
        <v>13</v>
      </c>
      <c r="F1205" s="1">
        <v>22589</v>
      </c>
      <c r="G1205" s="1" t="s">
        <v>21</v>
      </c>
      <c r="H1205" s="1">
        <v>18</v>
      </c>
      <c r="I1205" s="1">
        <v>364623</v>
      </c>
      <c r="J1205" s="14" t="s">
        <v>1069</v>
      </c>
      <c r="K1205" s="1" t="s">
        <v>51</v>
      </c>
      <c r="L1205" s="1" t="s">
        <v>668</v>
      </c>
      <c r="M1205" s="14">
        <v>0.05</v>
      </c>
      <c r="N1205" s="2">
        <v>789.39</v>
      </c>
      <c r="O1205" s="16">
        <v>1121</v>
      </c>
      <c r="P1205" s="14">
        <v>0</v>
      </c>
      <c r="Q1205" s="14">
        <f t="shared" si="18"/>
        <v>56.050000000000004</v>
      </c>
      <c r="R1205" s="1" t="s">
        <v>25</v>
      </c>
      <c r="S1205" s="1" t="s">
        <v>25</v>
      </c>
      <c r="T1205" s="1">
        <v>50</v>
      </c>
      <c r="U1205" s="1">
        <v>1</v>
      </c>
      <c r="V1205" s="1">
        <v>5</v>
      </c>
    </row>
    <row r="1206" spans="1:22" x14ac:dyDescent="0.25">
      <c r="A1206" s="3">
        <v>44776</v>
      </c>
      <c r="B1206" s="4">
        <v>0.36964120370370368</v>
      </c>
      <c r="C1206" s="1">
        <v>1543</v>
      </c>
      <c r="D1206" s="1">
        <v>13002595</v>
      </c>
      <c r="E1206" s="1">
        <v>13</v>
      </c>
      <c r="F1206" s="1">
        <v>22589</v>
      </c>
      <c r="G1206" s="1" t="s">
        <v>21</v>
      </c>
      <c r="H1206" s="1">
        <v>18</v>
      </c>
      <c r="I1206" s="1">
        <v>346984</v>
      </c>
      <c r="J1206" s="14" t="s">
        <v>714</v>
      </c>
      <c r="K1206" s="1" t="s">
        <v>51</v>
      </c>
      <c r="L1206" s="1" t="s">
        <v>668</v>
      </c>
      <c r="M1206" s="14">
        <v>0.03</v>
      </c>
      <c r="N1206" s="2">
        <v>766.81</v>
      </c>
      <c r="O1206" s="16">
        <v>1089</v>
      </c>
      <c r="P1206" s="14">
        <v>0</v>
      </c>
      <c r="Q1206" s="14">
        <f t="shared" si="18"/>
        <v>32.67</v>
      </c>
      <c r="R1206" s="1" t="s">
        <v>25</v>
      </c>
      <c r="S1206" s="1" t="s">
        <v>25</v>
      </c>
      <c r="T1206" s="1">
        <v>29</v>
      </c>
      <c r="U1206" s="1">
        <v>1</v>
      </c>
      <c r="V1206" s="1">
        <v>5</v>
      </c>
    </row>
    <row r="1207" spans="1:22" x14ac:dyDescent="0.25">
      <c r="A1207" s="3">
        <v>44776</v>
      </c>
      <c r="B1207" s="4">
        <v>0.39648148148148149</v>
      </c>
      <c r="C1207" s="1">
        <v>1546</v>
      </c>
      <c r="D1207" s="1">
        <v>13002595</v>
      </c>
      <c r="E1207" s="1">
        <v>13</v>
      </c>
      <c r="F1207" s="1">
        <v>22589</v>
      </c>
      <c r="G1207" s="1" t="s">
        <v>21</v>
      </c>
      <c r="H1207" s="1">
        <v>15</v>
      </c>
      <c r="I1207" s="1">
        <v>346984</v>
      </c>
      <c r="J1207" s="14" t="s">
        <v>714</v>
      </c>
      <c r="K1207" s="1" t="s">
        <v>51</v>
      </c>
      <c r="L1207" s="1" t="s">
        <v>668</v>
      </c>
      <c r="M1207" s="14">
        <v>0.02</v>
      </c>
      <c r="N1207" s="2">
        <v>766.81</v>
      </c>
      <c r="O1207" s="16">
        <v>1089</v>
      </c>
      <c r="P1207" s="14">
        <v>0</v>
      </c>
      <c r="Q1207" s="14">
        <f t="shared" si="18"/>
        <v>21.78</v>
      </c>
      <c r="R1207" s="1" t="s">
        <v>25</v>
      </c>
      <c r="S1207" s="1" t="s">
        <v>25</v>
      </c>
      <c r="T1207" s="1">
        <v>29</v>
      </c>
      <c r="U1207" s="1">
        <v>1</v>
      </c>
      <c r="V1207" s="1">
        <v>2</v>
      </c>
    </row>
    <row r="1208" spans="1:22" x14ac:dyDescent="0.25">
      <c r="A1208" s="3">
        <v>44776</v>
      </c>
      <c r="B1208" s="4">
        <v>0.55040509259259263</v>
      </c>
      <c r="C1208" s="1">
        <v>1594</v>
      </c>
      <c r="D1208" s="1">
        <v>13002595</v>
      </c>
      <c r="E1208" s="1">
        <v>13</v>
      </c>
      <c r="F1208" s="1">
        <v>22589</v>
      </c>
      <c r="G1208" s="1" t="s">
        <v>21</v>
      </c>
      <c r="H1208" s="1">
        <v>15</v>
      </c>
      <c r="I1208" s="1">
        <v>346984</v>
      </c>
      <c r="J1208" s="14" t="s">
        <v>714</v>
      </c>
      <c r="K1208" s="1" t="s">
        <v>51</v>
      </c>
      <c r="L1208" s="1" t="s">
        <v>668</v>
      </c>
      <c r="M1208" s="14">
        <v>0.01</v>
      </c>
      <c r="N1208" s="2">
        <v>766.81</v>
      </c>
      <c r="O1208" s="16">
        <v>1089</v>
      </c>
      <c r="P1208" s="14">
        <v>0.89</v>
      </c>
      <c r="Q1208" s="14">
        <f t="shared" si="18"/>
        <v>10</v>
      </c>
      <c r="R1208" s="1">
        <v>9</v>
      </c>
      <c r="S1208" s="1">
        <v>200010020300</v>
      </c>
      <c r="T1208" s="1">
        <v>29</v>
      </c>
      <c r="U1208" s="1">
        <v>1</v>
      </c>
      <c r="V1208" s="1">
        <v>4</v>
      </c>
    </row>
    <row r="1209" spans="1:22" x14ac:dyDescent="0.25">
      <c r="A1209" s="3">
        <v>44778</v>
      </c>
      <c r="B1209" s="4">
        <v>0.33917824074074077</v>
      </c>
      <c r="C1209" s="1">
        <v>1782</v>
      </c>
      <c r="D1209" s="1">
        <v>13002616</v>
      </c>
      <c r="E1209" s="1">
        <v>13</v>
      </c>
      <c r="F1209" s="1">
        <v>22589</v>
      </c>
      <c r="G1209" s="1" t="s">
        <v>21</v>
      </c>
      <c r="H1209" s="1">
        <v>18</v>
      </c>
      <c r="I1209" s="1">
        <v>346984</v>
      </c>
      <c r="J1209" s="14" t="s">
        <v>714</v>
      </c>
      <c r="K1209" s="1" t="s">
        <v>51</v>
      </c>
      <c r="L1209" s="1" t="s">
        <v>668</v>
      </c>
      <c r="M1209" s="14">
        <v>0.05</v>
      </c>
      <c r="N1209" s="2">
        <v>766.81</v>
      </c>
      <c r="O1209" s="16">
        <v>1089</v>
      </c>
      <c r="P1209" s="14">
        <v>0</v>
      </c>
      <c r="Q1209" s="14">
        <f t="shared" si="18"/>
        <v>54.45</v>
      </c>
      <c r="R1209" s="1" t="s">
        <v>25</v>
      </c>
      <c r="S1209" s="1" t="s">
        <v>25</v>
      </c>
      <c r="T1209" s="1">
        <v>50</v>
      </c>
      <c r="U1209" s="1">
        <v>1</v>
      </c>
      <c r="V1209" s="1">
        <v>3</v>
      </c>
    </row>
    <row r="1210" spans="1:22" x14ac:dyDescent="0.25">
      <c r="A1210" s="3">
        <v>44777</v>
      </c>
      <c r="B1210" s="4">
        <v>0.46196759259259257</v>
      </c>
      <c r="C1210" s="1">
        <v>1677</v>
      </c>
      <c r="D1210" s="1">
        <v>13002606</v>
      </c>
      <c r="E1210" s="1">
        <v>13</v>
      </c>
      <c r="F1210" s="1">
        <v>22589</v>
      </c>
      <c r="G1210" s="1" t="s">
        <v>21</v>
      </c>
      <c r="H1210" s="1">
        <v>18</v>
      </c>
      <c r="I1210" s="1">
        <v>111259</v>
      </c>
      <c r="J1210" s="14" t="s">
        <v>949</v>
      </c>
      <c r="K1210" s="1" t="s">
        <v>23</v>
      </c>
      <c r="L1210" s="1" t="s">
        <v>950</v>
      </c>
      <c r="M1210" s="14">
        <v>1</v>
      </c>
      <c r="N1210" s="2">
        <v>539.66</v>
      </c>
      <c r="O1210" s="16">
        <v>598</v>
      </c>
      <c r="P1210" s="14">
        <v>59</v>
      </c>
      <c r="Q1210" s="14">
        <f t="shared" si="18"/>
        <v>539</v>
      </c>
      <c r="R1210" s="1">
        <v>11</v>
      </c>
      <c r="S1210" s="1">
        <v>200010000010</v>
      </c>
      <c r="T1210" s="1">
        <v>50</v>
      </c>
      <c r="U1210" s="1">
        <v>1</v>
      </c>
      <c r="V1210" s="1">
        <v>4</v>
      </c>
    </row>
    <row r="1211" spans="1:22" x14ac:dyDescent="0.25">
      <c r="A1211" s="3">
        <v>44775</v>
      </c>
      <c r="B1211" s="4">
        <v>0.38952546296296298</v>
      </c>
      <c r="C1211" s="1">
        <v>1427</v>
      </c>
      <c r="D1211" s="1">
        <v>13002581</v>
      </c>
      <c r="E1211" s="1">
        <v>13</v>
      </c>
      <c r="F1211" s="1">
        <v>22589</v>
      </c>
      <c r="G1211" s="1" t="s">
        <v>21</v>
      </c>
      <c r="H1211" s="1">
        <v>15</v>
      </c>
      <c r="I1211" s="1">
        <v>1185</v>
      </c>
      <c r="J1211" s="14" t="s">
        <v>500</v>
      </c>
      <c r="K1211" s="1" t="s">
        <v>51</v>
      </c>
      <c r="L1211" s="1" t="s">
        <v>501</v>
      </c>
      <c r="M1211" s="14">
        <v>1</v>
      </c>
      <c r="N1211" s="2">
        <v>241.83</v>
      </c>
      <c r="O1211" s="16">
        <v>327</v>
      </c>
      <c r="P1211" s="14">
        <v>22</v>
      </c>
      <c r="Q1211" s="14">
        <f t="shared" si="18"/>
        <v>305</v>
      </c>
      <c r="R1211" s="1">
        <v>9</v>
      </c>
      <c r="S1211" s="1">
        <v>200010021998</v>
      </c>
      <c r="T1211" s="1">
        <v>29</v>
      </c>
      <c r="U1211" s="1">
        <v>1</v>
      </c>
      <c r="V1211" s="1">
        <v>3</v>
      </c>
    </row>
    <row r="1212" spans="1:22" x14ac:dyDescent="0.25">
      <c r="A1212" s="3">
        <v>44775</v>
      </c>
      <c r="B1212" s="4">
        <v>0.51202546296296292</v>
      </c>
      <c r="C1212" s="1">
        <v>1459</v>
      </c>
      <c r="D1212" s="1">
        <v>13002581</v>
      </c>
      <c r="E1212" s="1">
        <v>13</v>
      </c>
      <c r="F1212" s="1">
        <v>22589</v>
      </c>
      <c r="G1212" s="1" t="s">
        <v>21</v>
      </c>
      <c r="H1212" s="1">
        <v>15</v>
      </c>
      <c r="I1212" s="1">
        <v>75946</v>
      </c>
      <c r="J1212" s="14" t="s">
        <v>564</v>
      </c>
      <c r="K1212" s="1" t="s">
        <v>51</v>
      </c>
      <c r="L1212" s="1" t="s">
        <v>216</v>
      </c>
      <c r="M1212" s="14">
        <v>1</v>
      </c>
      <c r="N1212" s="2">
        <v>89.82</v>
      </c>
      <c r="O1212" s="16">
        <v>106</v>
      </c>
      <c r="P1212" s="14">
        <v>5</v>
      </c>
      <c r="Q1212" s="14">
        <f t="shared" si="18"/>
        <v>101</v>
      </c>
      <c r="R1212" s="1">
        <v>9</v>
      </c>
      <c r="S1212" s="1">
        <v>200010002982</v>
      </c>
      <c r="T1212" s="1">
        <v>29</v>
      </c>
      <c r="U1212" s="1">
        <v>1</v>
      </c>
      <c r="V1212" s="1">
        <v>3</v>
      </c>
    </row>
    <row r="1213" spans="1:22" x14ac:dyDescent="0.25">
      <c r="A1213" s="3">
        <v>44774</v>
      </c>
      <c r="B1213" s="4">
        <v>0.6300810185185185</v>
      </c>
      <c r="C1213" s="1">
        <v>1365</v>
      </c>
      <c r="D1213" s="1">
        <v>13002561</v>
      </c>
      <c r="E1213" s="1">
        <v>13</v>
      </c>
      <c r="F1213" s="1">
        <v>22589</v>
      </c>
      <c r="G1213" s="1" t="s">
        <v>21</v>
      </c>
      <c r="H1213" s="1">
        <v>18</v>
      </c>
      <c r="I1213" s="1">
        <v>31</v>
      </c>
      <c r="J1213" s="14" t="s">
        <v>351</v>
      </c>
      <c r="K1213" s="1" t="s">
        <v>61</v>
      </c>
      <c r="L1213" s="1" t="s">
        <v>352</v>
      </c>
      <c r="M1213" s="14">
        <v>1</v>
      </c>
      <c r="N1213" s="2">
        <v>346.83</v>
      </c>
      <c r="O1213" s="16">
        <v>458</v>
      </c>
      <c r="P1213" s="14">
        <v>0</v>
      </c>
      <c r="Q1213" s="14">
        <f t="shared" si="18"/>
        <v>458</v>
      </c>
      <c r="R1213" s="1" t="s">
        <v>25</v>
      </c>
      <c r="S1213" s="1" t="s">
        <v>25</v>
      </c>
      <c r="T1213" s="1">
        <v>29</v>
      </c>
      <c r="U1213" s="1">
        <v>1</v>
      </c>
      <c r="V1213" s="1">
        <v>2</v>
      </c>
    </row>
    <row r="1214" spans="1:22" x14ac:dyDescent="0.25">
      <c r="A1214" s="3">
        <v>44774</v>
      </c>
      <c r="B1214" s="4">
        <v>0.46856481481481482</v>
      </c>
      <c r="C1214" s="1">
        <v>1304</v>
      </c>
      <c r="D1214" s="1">
        <v>13002561</v>
      </c>
      <c r="E1214" s="1">
        <v>13</v>
      </c>
      <c r="F1214" s="1">
        <v>22589</v>
      </c>
      <c r="G1214" s="1" t="s">
        <v>21</v>
      </c>
      <c r="H1214" s="1">
        <v>15</v>
      </c>
      <c r="I1214" s="1">
        <v>435523</v>
      </c>
      <c r="J1214" s="14" t="s">
        <v>172</v>
      </c>
      <c r="K1214" s="1" t="s">
        <v>141</v>
      </c>
      <c r="L1214" s="1" t="s">
        <v>173</v>
      </c>
      <c r="M1214" s="14">
        <v>1</v>
      </c>
      <c r="N1214" s="2">
        <v>27.94</v>
      </c>
      <c r="O1214" s="16">
        <v>43</v>
      </c>
      <c r="P1214" s="14">
        <v>3</v>
      </c>
      <c r="Q1214" s="14">
        <f t="shared" si="18"/>
        <v>40</v>
      </c>
      <c r="R1214" s="1">
        <v>9</v>
      </c>
      <c r="S1214" s="1">
        <v>200010026858</v>
      </c>
      <c r="T1214" s="1">
        <v>29</v>
      </c>
      <c r="U1214" s="1">
        <v>1</v>
      </c>
      <c r="V1214" s="1">
        <v>2</v>
      </c>
    </row>
    <row r="1215" spans="1:22" x14ac:dyDescent="0.25">
      <c r="A1215" s="3">
        <v>44774</v>
      </c>
      <c r="B1215" s="4">
        <v>0.69579861111111108</v>
      </c>
      <c r="C1215" s="1">
        <v>1378</v>
      </c>
      <c r="D1215" s="1">
        <v>13002561</v>
      </c>
      <c r="E1215" s="1">
        <v>13</v>
      </c>
      <c r="F1215" s="1">
        <v>22589</v>
      </c>
      <c r="G1215" s="1" t="s">
        <v>21</v>
      </c>
      <c r="H1215" s="1">
        <v>15</v>
      </c>
      <c r="I1215" s="1">
        <v>435523</v>
      </c>
      <c r="J1215" s="14" t="s">
        <v>172</v>
      </c>
      <c r="K1215" s="1" t="s">
        <v>141</v>
      </c>
      <c r="L1215" s="1" t="s">
        <v>173</v>
      </c>
      <c r="M1215" s="14">
        <v>1</v>
      </c>
      <c r="N1215" s="2">
        <v>27.94</v>
      </c>
      <c r="O1215" s="16">
        <v>43</v>
      </c>
      <c r="P1215" s="14">
        <v>3</v>
      </c>
      <c r="Q1215" s="14">
        <f t="shared" si="18"/>
        <v>40</v>
      </c>
      <c r="R1215" s="1">
        <v>9</v>
      </c>
      <c r="S1215" s="1">
        <v>200010000750</v>
      </c>
      <c r="T1215" s="1">
        <v>29</v>
      </c>
      <c r="U1215" s="1">
        <v>1</v>
      </c>
      <c r="V1215" s="1">
        <v>3</v>
      </c>
    </row>
    <row r="1216" spans="1:22" x14ac:dyDescent="0.25">
      <c r="A1216" s="3">
        <v>44774</v>
      </c>
      <c r="B1216" s="4">
        <v>0.69579861111111108</v>
      </c>
      <c r="C1216" s="1">
        <v>1378</v>
      </c>
      <c r="D1216" s="1">
        <v>13002561</v>
      </c>
      <c r="E1216" s="1">
        <v>13</v>
      </c>
      <c r="F1216" s="1">
        <v>22589</v>
      </c>
      <c r="G1216" s="1" t="s">
        <v>21</v>
      </c>
      <c r="H1216" s="1">
        <v>15</v>
      </c>
      <c r="I1216" s="1">
        <v>435523</v>
      </c>
      <c r="J1216" s="14" t="s">
        <v>172</v>
      </c>
      <c r="K1216" s="1" t="s">
        <v>141</v>
      </c>
      <c r="L1216" s="1" t="s">
        <v>173</v>
      </c>
      <c r="M1216" s="14">
        <v>1</v>
      </c>
      <c r="N1216" s="2">
        <v>27.94</v>
      </c>
      <c r="O1216" s="16">
        <v>43</v>
      </c>
      <c r="P1216" s="14">
        <v>3</v>
      </c>
      <c r="Q1216" s="14">
        <f t="shared" si="18"/>
        <v>40</v>
      </c>
      <c r="R1216" s="1">
        <v>9</v>
      </c>
      <c r="S1216" s="1">
        <v>200010000750</v>
      </c>
      <c r="T1216" s="1">
        <v>29</v>
      </c>
      <c r="U1216" s="1">
        <v>1</v>
      </c>
      <c r="V1216" s="1">
        <v>4</v>
      </c>
    </row>
    <row r="1217" spans="1:22" x14ac:dyDescent="0.25">
      <c r="A1217" s="3">
        <v>44778</v>
      </c>
      <c r="B1217" s="4">
        <v>0.53781250000000003</v>
      </c>
      <c r="C1217" s="1">
        <v>1841</v>
      </c>
      <c r="D1217" s="1">
        <v>13002616</v>
      </c>
      <c r="E1217" s="1">
        <v>13</v>
      </c>
      <c r="F1217" s="1">
        <v>22589</v>
      </c>
      <c r="G1217" s="1" t="s">
        <v>21</v>
      </c>
      <c r="H1217" s="1">
        <v>18</v>
      </c>
      <c r="I1217" s="1">
        <v>435523</v>
      </c>
      <c r="J1217" s="14" t="s">
        <v>172</v>
      </c>
      <c r="K1217" s="1" t="s">
        <v>141</v>
      </c>
      <c r="L1217" s="1" t="s">
        <v>173</v>
      </c>
      <c r="M1217" s="14">
        <v>1</v>
      </c>
      <c r="N1217" s="2">
        <v>27.94</v>
      </c>
      <c r="O1217" s="16">
        <v>43</v>
      </c>
      <c r="P1217" s="14">
        <v>0</v>
      </c>
      <c r="Q1217" s="14">
        <f t="shared" si="18"/>
        <v>43</v>
      </c>
      <c r="R1217" s="1" t="s">
        <v>25</v>
      </c>
      <c r="S1217" s="1" t="s">
        <v>25</v>
      </c>
      <c r="T1217" s="1">
        <v>50</v>
      </c>
      <c r="U1217" s="1">
        <v>1</v>
      </c>
      <c r="V1217" s="1">
        <v>3</v>
      </c>
    </row>
    <row r="1218" spans="1:22" x14ac:dyDescent="0.25">
      <c r="A1218" s="3">
        <v>44778</v>
      </c>
      <c r="B1218" s="4">
        <v>0.65141203703703698</v>
      </c>
      <c r="C1218" s="1">
        <v>1867</v>
      </c>
      <c r="D1218" s="1">
        <v>13002616</v>
      </c>
      <c r="E1218" s="1">
        <v>13</v>
      </c>
      <c r="F1218" s="1">
        <v>22589</v>
      </c>
      <c r="G1218" s="1" t="s">
        <v>21</v>
      </c>
      <c r="H1218" s="1">
        <v>15</v>
      </c>
      <c r="I1218" s="1">
        <v>435523</v>
      </c>
      <c r="J1218" s="14" t="s">
        <v>172</v>
      </c>
      <c r="K1218" s="1" t="s">
        <v>141</v>
      </c>
      <c r="L1218" s="1" t="s">
        <v>173</v>
      </c>
      <c r="M1218" s="14">
        <v>1</v>
      </c>
      <c r="N1218" s="2">
        <v>27.94</v>
      </c>
      <c r="O1218" s="16">
        <v>43</v>
      </c>
      <c r="P1218" s="14">
        <v>3</v>
      </c>
      <c r="Q1218" s="14">
        <f t="shared" ref="Q1218:Q1281" si="19">M1218*O1218-P1218</f>
        <v>40</v>
      </c>
      <c r="R1218" s="1">
        <v>9</v>
      </c>
      <c r="S1218" s="1">
        <v>200010014429</v>
      </c>
      <c r="T1218" s="1">
        <v>50</v>
      </c>
      <c r="U1218" s="1">
        <v>1</v>
      </c>
      <c r="V1218" s="1">
        <v>2</v>
      </c>
    </row>
    <row r="1219" spans="1:22" x14ac:dyDescent="0.25">
      <c r="A1219" s="3">
        <v>44778</v>
      </c>
      <c r="B1219" s="4">
        <v>0.65141203703703698</v>
      </c>
      <c r="C1219" s="1">
        <v>1867</v>
      </c>
      <c r="D1219" s="1">
        <v>13002616</v>
      </c>
      <c r="E1219" s="1">
        <v>13</v>
      </c>
      <c r="F1219" s="1">
        <v>22589</v>
      </c>
      <c r="G1219" s="1" t="s">
        <v>21</v>
      </c>
      <c r="H1219" s="1">
        <v>15</v>
      </c>
      <c r="I1219" s="1">
        <v>435523</v>
      </c>
      <c r="J1219" s="14" t="s">
        <v>172</v>
      </c>
      <c r="K1219" s="1" t="s">
        <v>141</v>
      </c>
      <c r="L1219" s="1" t="s">
        <v>173</v>
      </c>
      <c r="M1219" s="14">
        <v>1</v>
      </c>
      <c r="N1219" s="2">
        <v>27.94</v>
      </c>
      <c r="O1219" s="16">
        <v>43</v>
      </c>
      <c r="P1219" s="14">
        <v>3</v>
      </c>
      <c r="Q1219" s="14">
        <f t="shared" si="19"/>
        <v>40</v>
      </c>
      <c r="R1219" s="1">
        <v>9</v>
      </c>
      <c r="S1219" s="1">
        <v>200010014429</v>
      </c>
      <c r="T1219" s="1">
        <v>50</v>
      </c>
      <c r="U1219" s="1">
        <v>1</v>
      </c>
      <c r="V1219" s="1">
        <v>3</v>
      </c>
    </row>
    <row r="1220" spans="1:22" x14ac:dyDescent="0.25">
      <c r="A1220" s="3">
        <v>44778</v>
      </c>
      <c r="B1220" s="4">
        <v>0.65141203703703698</v>
      </c>
      <c r="C1220" s="1">
        <v>1867</v>
      </c>
      <c r="D1220" s="1">
        <v>13002616</v>
      </c>
      <c r="E1220" s="1">
        <v>13</v>
      </c>
      <c r="F1220" s="1">
        <v>22589</v>
      </c>
      <c r="G1220" s="1" t="s">
        <v>21</v>
      </c>
      <c r="H1220" s="1">
        <v>15</v>
      </c>
      <c r="I1220" s="1">
        <v>435523</v>
      </c>
      <c r="J1220" s="14" t="s">
        <v>172</v>
      </c>
      <c r="K1220" s="1" t="s">
        <v>64</v>
      </c>
      <c r="L1220" s="1" t="s">
        <v>173</v>
      </c>
      <c r="M1220" s="14">
        <v>1</v>
      </c>
      <c r="N1220" s="2">
        <v>25.48</v>
      </c>
      <c r="O1220" s="16">
        <v>39</v>
      </c>
      <c r="P1220" s="14">
        <v>2</v>
      </c>
      <c r="Q1220" s="14">
        <f t="shared" si="19"/>
        <v>37</v>
      </c>
      <c r="R1220" s="1">
        <v>9</v>
      </c>
      <c r="S1220" s="1">
        <v>200010014429</v>
      </c>
      <c r="T1220" s="1">
        <v>50</v>
      </c>
      <c r="U1220" s="1">
        <v>1</v>
      </c>
      <c r="V1220" s="1">
        <v>4</v>
      </c>
    </row>
    <row r="1221" spans="1:22" x14ac:dyDescent="0.25">
      <c r="A1221" s="3">
        <v>44775</v>
      </c>
      <c r="B1221" s="4">
        <v>0.43678240740740742</v>
      </c>
      <c r="C1221" s="1">
        <v>1433</v>
      </c>
      <c r="D1221" s="1">
        <v>13002581</v>
      </c>
      <c r="E1221" s="1">
        <v>13</v>
      </c>
      <c r="F1221" s="1">
        <v>22589</v>
      </c>
      <c r="G1221" s="1" t="s">
        <v>21</v>
      </c>
      <c r="H1221" s="1">
        <v>15</v>
      </c>
      <c r="I1221" s="1">
        <v>18836</v>
      </c>
      <c r="J1221" s="14" t="s">
        <v>517</v>
      </c>
      <c r="K1221" s="1" t="s">
        <v>51</v>
      </c>
      <c r="L1221" s="1" t="s">
        <v>67</v>
      </c>
      <c r="M1221" s="14">
        <v>1</v>
      </c>
      <c r="N1221" s="2">
        <v>110.21</v>
      </c>
      <c r="O1221" s="16">
        <v>124</v>
      </c>
      <c r="P1221" s="14">
        <v>8</v>
      </c>
      <c r="Q1221" s="14">
        <f t="shared" si="19"/>
        <v>116</v>
      </c>
      <c r="R1221" s="1">
        <v>9</v>
      </c>
      <c r="S1221" s="1">
        <v>200010002062</v>
      </c>
      <c r="T1221" s="1">
        <v>29</v>
      </c>
      <c r="U1221" s="1">
        <v>1</v>
      </c>
      <c r="V1221" s="1">
        <v>3</v>
      </c>
    </row>
    <row r="1222" spans="1:22" x14ac:dyDescent="0.25">
      <c r="A1222" s="3">
        <v>44775</v>
      </c>
      <c r="B1222" s="4">
        <v>0.53684027777777776</v>
      </c>
      <c r="C1222" s="1">
        <v>1469</v>
      </c>
      <c r="D1222" s="1">
        <v>13002581</v>
      </c>
      <c r="E1222" s="1">
        <v>13</v>
      </c>
      <c r="F1222" s="1">
        <v>22589</v>
      </c>
      <c r="G1222" s="1" t="s">
        <v>21</v>
      </c>
      <c r="H1222" s="1">
        <v>15</v>
      </c>
      <c r="I1222" s="1">
        <v>18836</v>
      </c>
      <c r="J1222" s="14" t="s">
        <v>517</v>
      </c>
      <c r="K1222" s="1" t="s">
        <v>51</v>
      </c>
      <c r="L1222" s="1" t="s">
        <v>67</v>
      </c>
      <c r="M1222" s="14">
        <v>1</v>
      </c>
      <c r="N1222" s="2">
        <v>110.21</v>
      </c>
      <c r="O1222" s="16">
        <v>124</v>
      </c>
      <c r="P1222" s="14">
        <v>21.24</v>
      </c>
      <c r="Q1222" s="14">
        <f t="shared" si="19"/>
        <v>102.76</v>
      </c>
      <c r="R1222" s="1">
        <v>925</v>
      </c>
      <c r="S1222" s="1">
        <v>200000000492</v>
      </c>
      <c r="T1222" s="1">
        <v>29</v>
      </c>
      <c r="U1222" s="1">
        <v>1</v>
      </c>
      <c r="V1222" s="1">
        <v>2</v>
      </c>
    </row>
    <row r="1223" spans="1:22" x14ac:dyDescent="0.25">
      <c r="A1223" s="3">
        <v>44775</v>
      </c>
      <c r="B1223" s="4">
        <v>0.6381944444444444</v>
      </c>
      <c r="C1223" s="1">
        <v>1487</v>
      </c>
      <c r="D1223" s="1">
        <v>13002581</v>
      </c>
      <c r="E1223" s="1">
        <v>13</v>
      </c>
      <c r="F1223" s="1">
        <v>22589</v>
      </c>
      <c r="G1223" s="1" t="s">
        <v>21</v>
      </c>
      <c r="H1223" s="1">
        <v>18</v>
      </c>
      <c r="I1223" s="1">
        <v>18836</v>
      </c>
      <c r="J1223" s="14" t="s">
        <v>517</v>
      </c>
      <c r="K1223" s="1" t="s">
        <v>51</v>
      </c>
      <c r="L1223" s="1" t="s">
        <v>67</v>
      </c>
      <c r="M1223" s="14">
        <v>1</v>
      </c>
      <c r="N1223" s="2">
        <v>110.21</v>
      </c>
      <c r="O1223" s="16">
        <v>124</v>
      </c>
      <c r="P1223" s="14">
        <v>8</v>
      </c>
      <c r="Q1223" s="14">
        <f t="shared" si="19"/>
        <v>116</v>
      </c>
      <c r="R1223" s="1">
        <v>9</v>
      </c>
      <c r="S1223" s="1">
        <v>200010000401</v>
      </c>
      <c r="T1223" s="1">
        <v>29</v>
      </c>
      <c r="U1223" s="1">
        <v>1</v>
      </c>
      <c r="V1223" s="1">
        <v>3</v>
      </c>
    </row>
    <row r="1224" spans="1:22" x14ac:dyDescent="0.25">
      <c r="A1224" s="3">
        <v>44775</v>
      </c>
      <c r="B1224" s="4">
        <v>0.7406018518518519</v>
      </c>
      <c r="C1224" s="1">
        <v>1516</v>
      </c>
      <c r="D1224" s="1">
        <v>13002581</v>
      </c>
      <c r="E1224" s="1">
        <v>13</v>
      </c>
      <c r="F1224" s="1">
        <v>22589</v>
      </c>
      <c r="G1224" s="1" t="s">
        <v>21</v>
      </c>
      <c r="H1224" s="1">
        <v>15</v>
      </c>
      <c r="I1224" s="1">
        <v>18836</v>
      </c>
      <c r="J1224" s="14" t="s">
        <v>517</v>
      </c>
      <c r="K1224" s="1" t="s">
        <v>51</v>
      </c>
      <c r="L1224" s="1" t="s">
        <v>67</v>
      </c>
      <c r="M1224" s="14">
        <v>1</v>
      </c>
      <c r="N1224" s="2">
        <v>109.1</v>
      </c>
      <c r="O1224" s="16">
        <v>123</v>
      </c>
      <c r="P1224" s="14">
        <v>8</v>
      </c>
      <c r="Q1224" s="14">
        <f t="shared" si="19"/>
        <v>115</v>
      </c>
      <c r="R1224" s="1">
        <v>9</v>
      </c>
      <c r="S1224" s="1">
        <v>200010018923</v>
      </c>
      <c r="T1224" s="1">
        <v>29</v>
      </c>
      <c r="U1224" s="1">
        <v>1</v>
      </c>
      <c r="V1224" s="1">
        <v>2</v>
      </c>
    </row>
    <row r="1225" spans="1:22" x14ac:dyDescent="0.25">
      <c r="A1225" s="3">
        <v>44776</v>
      </c>
      <c r="B1225" s="4">
        <v>0.4959027777777778</v>
      </c>
      <c r="C1225" s="1">
        <v>1572</v>
      </c>
      <c r="D1225" s="1">
        <v>13002595</v>
      </c>
      <c r="E1225" s="1">
        <v>13</v>
      </c>
      <c r="F1225" s="1">
        <v>22589</v>
      </c>
      <c r="G1225" s="1" t="s">
        <v>21</v>
      </c>
      <c r="H1225" s="1">
        <v>15</v>
      </c>
      <c r="I1225" s="1">
        <v>18836</v>
      </c>
      <c r="J1225" s="14" t="s">
        <v>517</v>
      </c>
      <c r="K1225" s="1" t="s">
        <v>51</v>
      </c>
      <c r="L1225" s="1" t="s">
        <v>67</v>
      </c>
      <c r="M1225" s="14">
        <v>1</v>
      </c>
      <c r="N1225" s="2">
        <v>109.1</v>
      </c>
      <c r="O1225" s="16">
        <v>123</v>
      </c>
      <c r="P1225" s="14">
        <v>8</v>
      </c>
      <c r="Q1225" s="14">
        <f t="shared" si="19"/>
        <v>115</v>
      </c>
      <c r="R1225" s="1">
        <v>9</v>
      </c>
      <c r="S1225" s="1">
        <v>200010015452</v>
      </c>
      <c r="T1225" s="1">
        <v>29</v>
      </c>
      <c r="U1225" s="1">
        <v>1</v>
      </c>
      <c r="V1225" s="1">
        <v>2</v>
      </c>
    </row>
    <row r="1226" spans="1:22" x14ac:dyDescent="0.25">
      <c r="A1226" s="3">
        <v>44776</v>
      </c>
      <c r="B1226" s="4">
        <v>0.54353009259259255</v>
      </c>
      <c r="C1226" s="1">
        <v>1592</v>
      </c>
      <c r="D1226" s="1">
        <v>13002595</v>
      </c>
      <c r="E1226" s="1">
        <v>13</v>
      </c>
      <c r="F1226" s="1">
        <v>22589</v>
      </c>
      <c r="G1226" s="1" t="s">
        <v>21</v>
      </c>
      <c r="H1226" s="1">
        <v>15</v>
      </c>
      <c r="I1226" s="1">
        <v>18836</v>
      </c>
      <c r="J1226" s="14" t="s">
        <v>517</v>
      </c>
      <c r="K1226" s="1" t="s">
        <v>51</v>
      </c>
      <c r="L1226" s="1" t="s">
        <v>67</v>
      </c>
      <c r="M1226" s="14">
        <v>1</v>
      </c>
      <c r="N1226" s="2">
        <v>109.1</v>
      </c>
      <c r="O1226" s="16">
        <v>123</v>
      </c>
      <c r="P1226" s="14">
        <v>14.82</v>
      </c>
      <c r="Q1226" s="14">
        <f t="shared" si="19"/>
        <v>108.18</v>
      </c>
      <c r="R1226" s="1">
        <v>925</v>
      </c>
      <c r="S1226" s="1">
        <v>200000000492</v>
      </c>
      <c r="T1226" s="1">
        <v>29</v>
      </c>
      <c r="U1226" s="1">
        <v>1</v>
      </c>
      <c r="V1226" s="1">
        <v>1</v>
      </c>
    </row>
    <row r="1227" spans="1:22" x14ac:dyDescent="0.25">
      <c r="A1227" s="3">
        <v>44777</v>
      </c>
      <c r="B1227" s="4">
        <v>0.5683449074074074</v>
      </c>
      <c r="C1227" s="1">
        <v>1720</v>
      </c>
      <c r="D1227" s="1">
        <v>13002606</v>
      </c>
      <c r="E1227" s="1">
        <v>13</v>
      </c>
      <c r="F1227" s="1">
        <v>22589</v>
      </c>
      <c r="G1227" s="1" t="s">
        <v>21</v>
      </c>
      <c r="H1227" s="1">
        <v>18</v>
      </c>
      <c r="I1227" s="1">
        <v>18836</v>
      </c>
      <c r="J1227" s="14" t="s">
        <v>517</v>
      </c>
      <c r="K1227" s="1" t="s">
        <v>34</v>
      </c>
      <c r="L1227" s="1" t="s">
        <v>197</v>
      </c>
      <c r="M1227" s="14">
        <v>1</v>
      </c>
      <c r="N1227" s="2">
        <v>124.82</v>
      </c>
      <c r="O1227" s="16">
        <v>139</v>
      </c>
      <c r="P1227" s="14">
        <v>0</v>
      </c>
      <c r="Q1227" s="14">
        <f t="shared" si="19"/>
        <v>139</v>
      </c>
      <c r="R1227" s="1" t="s">
        <v>25</v>
      </c>
      <c r="S1227" s="1" t="s">
        <v>25</v>
      </c>
      <c r="T1227" s="1">
        <v>50</v>
      </c>
      <c r="U1227" s="1">
        <v>2</v>
      </c>
      <c r="V1227" s="1">
        <v>3</v>
      </c>
    </row>
    <row r="1228" spans="1:22" x14ac:dyDescent="0.25">
      <c r="A1228" s="3">
        <v>44777</v>
      </c>
      <c r="B1228" s="4">
        <v>0.61011574074074071</v>
      </c>
      <c r="C1228" s="1">
        <v>1733</v>
      </c>
      <c r="D1228" s="1">
        <v>13002606</v>
      </c>
      <c r="E1228" s="1">
        <v>13</v>
      </c>
      <c r="F1228" s="1">
        <v>22589</v>
      </c>
      <c r="G1228" s="1" t="s">
        <v>21</v>
      </c>
      <c r="H1228" s="1">
        <v>15</v>
      </c>
      <c r="I1228" s="1">
        <v>18836</v>
      </c>
      <c r="J1228" s="14" t="s">
        <v>517</v>
      </c>
      <c r="K1228" s="1" t="s">
        <v>51</v>
      </c>
      <c r="L1228" s="1" t="s">
        <v>67</v>
      </c>
      <c r="M1228" s="14">
        <v>1</v>
      </c>
      <c r="N1228" s="2">
        <v>109.1</v>
      </c>
      <c r="O1228" s="16">
        <v>123</v>
      </c>
      <c r="P1228" s="14">
        <v>8</v>
      </c>
      <c r="Q1228" s="14">
        <f t="shared" si="19"/>
        <v>115</v>
      </c>
      <c r="R1228" s="1">
        <v>9</v>
      </c>
      <c r="S1228" s="1">
        <v>200010004764</v>
      </c>
      <c r="T1228" s="1">
        <v>50</v>
      </c>
      <c r="U1228" s="1">
        <v>1</v>
      </c>
      <c r="V1228" s="1">
        <v>6</v>
      </c>
    </row>
    <row r="1229" spans="1:22" x14ac:dyDescent="0.25">
      <c r="A1229" s="3">
        <v>44778</v>
      </c>
      <c r="B1229" s="4">
        <v>0.40599537037037037</v>
      </c>
      <c r="C1229" s="1">
        <v>1805</v>
      </c>
      <c r="D1229" s="1">
        <v>13002616</v>
      </c>
      <c r="E1229" s="1">
        <v>13</v>
      </c>
      <c r="F1229" s="1">
        <v>22589</v>
      </c>
      <c r="G1229" s="1" t="s">
        <v>21</v>
      </c>
      <c r="H1229" s="1">
        <v>15</v>
      </c>
      <c r="I1229" s="1">
        <v>18836</v>
      </c>
      <c r="J1229" s="14" t="s">
        <v>517</v>
      </c>
      <c r="K1229" s="1" t="s">
        <v>51</v>
      </c>
      <c r="L1229" s="1" t="s">
        <v>67</v>
      </c>
      <c r="M1229" s="14">
        <v>1</v>
      </c>
      <c r="N1229" s="2">
        <v>109.1</v>
      </c>
      <c r="O1229" s="16">
        <v>123</v>
      </c>
      <c r="P1229" s="14">
        <v>8</v>
      </c>
      <c r="Q1229" s="14">
        <f t="shared" si="19"/>
        <v>115</v>
      </c>
      <c r="R1229" s="1">
        <v>9</v>
      </c>
      <c r="S1229" s="1">
        <v>200010026859</v>
      </c>
      <c r="T1229" s="1">
        <v>50</v>
      </c>
      <c r="U1229" s="1">
        <v>1</v>
      </c>
      <c r="V1229" s="1">
        <v>2</v>
      </c>
    </row>
    <row r="1230" spans="1:22" x14ac:dyDescent="0.25">
      <c r="A1230" s="3">
        <v>44778</v>
      </c>
      <c r="B1230" s="4">
        <v>0.43986111111111109</v>
      </c>
      <c r="C1230" s="1">
        <v>1815</v>
      </c>
      <c r="D1230" s="1">
        <v>13002616</v>
      </c>
      <c r="E1230" s="1">
        <v>13</v>
      </c>
      <c r="F1230" s="1">
        <v>22589</v>
      </c>
      <c r="G1230" s="1" t="s">
        <v>21</v>
      </c>
      <c r="H1230" s="1">
        <v>18</v>
      </c>
      <c r="I1230" s="1">
        <v>18836</v>
      </c>
      <c r="J1230" s="14" t="s">
        <v>517</v>
      </c>
      <c r="K1230" s="1" t="s">
        <v>51</v>
      </c>
      <c r="L1230" s="1" t="s">
        <v>67</v>
      </c>
      <c r="M1230" s="14">
        <v>1</v>
      </c>
      <c r="N1230" s="2">
        <v>109.1</v>
      </c>
      <c r="O1230" s="16">
        <v>123</v>
      </c>
      <c r="P1230" s="14">
        <v>8</v>
      </c>
      <c r="Q1230" s="14">
        <f t="shared" si="19"/>
        <v>115</v>
      </c>
      <c r="R1230" s="1">
        <v>9</v>
      </c>
      <c r="S1230" s="1">
        <v>200010023919</v>
      </c>
      <c r="T1230" s="1">
        <v>50</v>
      </c>
      <c r="U1230" s="1">
        <v>1</v>
      </c>
      <c r="V1230" s="1">
        <v>4</v>
      </c>
    </row>
    <row r="1231" spans="1:22" x14ac:dyDescent="0.25">
      <c r="A1231" s="3">
        <v>44778</v>
      </c>
      <c r="B1231" s="4">
        <v>0.66655092592592591</v>
      </c>
      <c r="C1231" s="1">
        <v>1871</v>
      </c>
      <c r="D1231" s="1">
        <v>13002616</v>
      </c>
      <c r="E1231" s="1">
        <v>13</v>
      </c>
      <c r="F1231" s="1">
        <v>22589</v>
      </c>
      <c r="G1231" s="1" t="s">
        <v>21</v>
      </c>
      <c r="H1231" s="1">
        <v>18</v>
      </c>
      <c r="I1231" s="1">
        <v>18836</v>
      </c>
      <c r="J1231" s="14" t="s">
        <v>517</v>
      </c>
      <c r="K1231" s="1" t="s">
        <v>51</v>
      </c>
      <c r="L1231" s="1" t="s">
        <v>67</v>
      </c>
      <c r="M1231" s="14">
        <v>1</v>
      </c>
      <c r="N1231" s="2">
        <v>109.1</v>
      </c>
      <c r="O1231" s="16">
        <v>123</v>
      </c>
      <c r="P1231" s="14">
        <v>0</v>
      </c>
      <c r="Q1231" s="14">
        <f t="shared" si="19"/>
        <v>123</v>
      </c>
      <c r="R1231" s="1" t="s">
        <v>25</v>
      </c>
      <c r="S1231" s="1" t="s">
        <v>25</v>
      </c>
      <c r="T1231" s="1">
        <v>50</v>
      </c>
      <c r="U1231" s="1">
        <v>1</v>
      </c>
      <c r="V1231" s="1">
        <v>2</v>
      </c>
    </row>
    <row r="1232" spans="1:22" x14ac:dyDescent="0.25">
      <c r="A1232" s="3">
        <v>44774</v>
      </c>
      <c r="B1232" s="4">
        <v>0.62164351851851851</v>
      </c>
      <c r="C1232" s="1">
        <v>1362</v>
      </c>
      <c r="D1232" s="1">
        <v>13002561</v>
      </c>
      <c r="E1232" s="1">
        <v>13</v>
      </c>
      <c r="F1232" s="1">
        <v>22589</v>
      </c>
      <c r="G1232" s="1" t="s">
        <v>21</v>
      </c>
      <c r="H1232" s="1">
        <v>18</v>
      </c>
      <c r="I1232" s="1">
        <v>339668</v>
      </c>
      <c r="J1232" s="14" t="s">
        <v>346</v>
      </c>
      <c r="K1232" s="1" t="s">
        <v>141</v>
      </c>
      <c r="L1232" s="1" t="s">
        <v>299</v>
      </c>
      <c r="M1232" s="14">
        <v>1</v>
      </c>
      <c r="N1232" s="2">
        <v>388.85</v>
      </c>
      <c r="O1232" s="16">
        <v>514</v>
      </c>
      <c r="P1232" s="14">
        <v>0</v>
      </c>
      <c r="Q1232" s="14">
        <f t="shared" si="19"/>
        <v>514</v>
      </c>
      <c r="R1232" s="1" t="s">
        <v>25</v>
      </c>
      <c r="S1232" s="1" t="s">
        <v>25</v>
      </c>
      <c r="T1232" s="1">
        <v>29</v>
      </c>
      <c r="U1232" s="1">
        <v>1</v>
      </c>
      <c r="V1232" s="1">
        <v>2</v>
      </c>
    </row>
    <row r="1233" spans="1:22" x14ac:dyDescent="0.25">
      <c r="A1233" s="3">
        <v>44776</v>
      </c>
      <c r="B1233" s="4">
        <v>0.46251157407407406</v>
      </c>
      <c r="C1233" s="1">
        <v>1563</v>
      </c>
      <c r="D1233" s="1">
        <v>13002595</v>
      </c>
      <c r="E1233" s="1">
        <v>13</v>
      </c>
      <c r="F1233" s="1">
        <v>22589</v>
      </c>
      <c r="G1233" s="1" t="s">
        <v>21</v>
      </c>
      <c r="H1233" s="1">
        <v>18</v>
      </c>
      <c r="I1233" s="1">
        <v>385739</v>
      </c>
      <c r="J1233" s="14" t="s">
        <v>757</v>
      </c>
      <c r="K1233" s="1" t="s">
        <v>48</v>
      </c>
      <c r="L1233" s="1" t="s">
        <v>272</v>
      </c>
      <c r="M1233" s="14">
        <v>1</v>
      </c>
      <c r="N1233" s="2">
        <v>871.09</v>
      </c>
      <c r="O1233" s="16">
        <v>1124</v>
      </c>
      <c r="P1233" s="14">
        <v>78</v>
      </c>
      <c r="Q1233" s="14">
        <f t="shared" si="19"/>
        <v>1046</v>
      </c>
      <c r="R1233" s="1">
        <v>9</v>
      </c>
      <c r="S1233" s="1">
        <v>200010012606</v>
      </c>
      <c r="T1233" s="1">
        <v>29</v>
      </c>
      <c r="U1233" s="1">
        <v>1</v>
      </c>
      <c r="V1233" s="1">
        <v>1</v>
      </c>
    </row>
    <row r="1234" spans="1:22" x14ac:dyDescent="0.25">
      <c r="A1234" s="3">
        <v>44778</v>
      </c>
      <c r="B1234" s="4">
        <v>0.53781250000000003</v>
      </c>
      <c r="C1234" s="1">
        <v>1841</v>
      </c>
      <c r="D1234" s="1">
        <v>13002616</v>
      </c>
      <c r="E1234" s="1">
        <v>13</v>
      </c>
      <c r="F1234" s="1">
        <v>22589</v>
      </c>
      <c r="G1234" s="1" t="s">
        <v>21</v>
      </c>
      <c r="H1234" s="1">
        <v>18</v>
      </c>
      <c r="I1234" s="1">
        <v>15084</v>
      </c>
      <c r="J1234" s="14" t="s">
        <v>1140</v>
      </c>
      <c r="K1234" s="1" t="s">
        <v>23</v>
      </c>
      <c r="L1234" s="1" t="s">
        <v>303</v>
      </c>
      <c r="M1234" s="14">
        <v>1</v>
      </c>
      <c r="N1234" s="2">
        <v>113</v>
      </c>
      <c r="O1234" s="16">
        <v>155</v>
      </c>
      <c r="P1234" s="14">
        <v>0</v>
      </c>
      <c r="Q1234" s="14">
        <f t="shared" si="19"/>
        <v>155</v>
      </c>
      <c r="R1234" s="1" t="s">
        <v>25</v>
      </c>
      <c r="S1234" s="1" t="s">
        <v>25</v>
      </c>
      <c r="T1234" s="1">
        <v>50</v>
      </c>
      <c r="U1234" s="1">
        <v>1</v>
      </c>
      <c r="V1234" s="1">
        <v>4</v>
      </c>
    </row>
    <row r="1235" spans="1:22" x14ac:dyDescent="0.25">
      <c r="A1235" s="3">
        <v>44774</v>
      </c>
      <c r="B1235" s="4">
        <v>0.50451388888888893</v>
      </c>
      <c r="C1235" s="1">
        <v>1318</v>
      </c>
      <c r="D1235" s="1">
        <v>13002561</v>
      </c>
      <c r="E1235" s="1">
        <v>13</v>
      </c>
      <c r="F1235" s="1">
        <v>22589</v>
      </c>
      <c r="G1235" s="1" t="s">
        <v>21</v>
      </c>
      <c r="H1235" s="1">
        <v>15</v>
      </c>
      <c r="I1235" s="1">
        <v>12572</v>
      </c>
      <c r="J1235" s="14" t="s">
        <v>209</v>
      </c>
      <c r="K1235" s="1" t="s">
        <v>29</v>
      </c>
      <c r="L1235" s="1" t="s">
        <v>210</v>
      </c>
      <c r="M1235" s="14">
        <v>1</v>
      </c>
      <c r="N1235" s="2">
        <v>234.28</v>
      </c>
      <c r="O1235" s="16">
        <v>317</v>
      </c>
      <c r="P1235" s="14">
        <v>22</v>
      </c>
      <c r="Q1235" s="14">
        <f t="shared" si="19"/>
        <v>295</v>
      </c>
      <c r="R1235" s="1">
        <v>9</v>
      </c>
      <c r="S1235" s="1">
        <v>200010002907</v>
      </c>
      <c r="T1235" s="1">
        <v>29</v>
      </c>
      <c r="U1235" s="1">
        <v>1</v>
      </c>
      <c r="V1235" s="1">
        <v>1</v>
      </c>
    </row>
    <row r="1236" spans="1:22" x14ac:dyDescent="0.25">
      <c r="A1236" s="3">
        <v>44774</v>
      </c>
      <c r="B1236" s="4">
        <v>0.64452546296296298</v>
      </c>
      <c r="C1236" s="1">
        <v>1368</v>
      </c>
      <c r="D1236" s="1">
        <v>13002561</v>
      </c>
      <c r="E1236" s="1">
        <v>13</v>
      </c>
      <c r="F1236" s="1">
        <v>22589</v>
      </c>
      <c r="G1236" s="1" t="s">
        <v>21</v>
      </c>
      <c r="H1236" s="1">
        <v>15</v>
      </c>
      <c r="I1236" s="1">
        <v>13991</v>
      </c>
      <c r="J1236" s="14" t="s">
        <v>362</v>
      </c>
      <c r="K1236" s="1" t="s">
        <v>23</v>
      </c>
      <c r="L1236" s="1" t="s">
        <v>363</v>
      </c>
      <c r="M1236" s="14">
        <v>1</v>
      </c>
      <c r="N1236" s="2">
        <v>178.55</v>
      </c>
      <c r="O1236" s="16">
        <v>245</v>
      </c>
      <c r="P1236" s="14">
        <v>0</v>
      </c>
      <c r="Q1236" s="14">
        <f t="shared" si="19"/>
        <v>245</v>
      </c>
      <c r="R1236" s="1" t="s">
        <v>25</v>
      </c>
      <c r="S1236" s="1" t="s">
        <v>25</v>
      </c>
      <c r="T1236" s="1">
        <v>29</v>
      </c>
      <c r="U1236" s="1">
        <v>1</v>
      </c>
      <c r="V1236" s="1">
        <v>1</v>
      </c>
    </row>
    <row r="1237" spans="1:22" x14ac:dyDescent="0.25">
      <c r="A1237" s="3">
        <v>44775</v>
      </c>
      <c r="B1237" s="4">
        <v>0.64456018518518521</v>
      </c>
      <c r="C1237" s="1">
        <v>1488</v>
      </c>
      <c r="D1237" s="1">
        <v>13002581</v>
      </c>
      <c r="E1237" s="1">
        <v>13</v>
      </c>
      <c r="F1237" s="1">
        <v>22589</v>
      </c>
      <c r="G1237" s="1" t="s">
        <v>21</v>
      </c>
      <c r="H1237" s="1">
        <v>15</v>
      </c>
      <c r="I1237" s="1">
        <v>142544</v>
      </c>
      <c r="J1237" s="14" t="s">
        <v>628</v>
      </c>
      <c r="K1237" s="1" t="s">
        <v>141</v>
      </c>
      <c r="L1237" s="1" t="s">
        <v>629</v>
      </c>
      <c r="M1237" s="14">
        <v>0.2</v>
      </c>
      <c r="N1237" s="2">
        <v>545.82000000000005</v>
      </c>
      <c r="O1237" s="16">
        <v>705</v>
      </c>
      <c r="P1237" s="14">
        <v>0</v>
      </c>
      <c r="Q1237" s="14">
        <f t="shared" si="19"/>
        <v>141</v>
      </c>
      <c r="R1237" s="1" t="s">
        <v>25</v>
      </c>
      <c r="S1237" s="1" t="s">
        <v>25</v>
      </c>
      <c r="T1237" s="1">
        <v>29</v>
      </c>
      <c r="U1237" s="1">
        <v>1</v>
      </c>
      <c r="V1237" s="1">
        <v>1</v>
      </c>
    </row>
    <row r="1238" spans="1:22" x14ac:dyDescent="0.25">
      <c r="A1238" s="3">
        <v>44778</v>
      </c>
      <c r="B1238" s="4">
        <v>0.49717592592592591</v>
      </c>
      <c r="C1238" s="1">
        <v>1828</v>
      </c>
      <c r="D1238" s="1">
        <v>13002616</v>
      </c>
      <c r="E1238" s="1">
        <v>13</v>
      </c>
      <c r="F1238" s="1">
        <v>22589</v>
      </c>
      <c r="G1238" s="1" t="s">
        <v>21</v>
      </c>
      <c r="H1238" s="1">
        <v>18</v>
      </c>
      <c r="I1238" s="1">
        <v>142544</v>
      </c>
      <c r="J1238" s="14" t="s">
        <v>628</v>
      </c>
      <c r="K1238" s="1" t="s">
        <v>141</v>
      </c>
      <c r="L1238" s="1" t="s">
        <v>629</v>
      </c>
      <c r="M1238" s="14">
        <v>0.2</v>
      </c>
      <c r="N1238" s="2">
        <v>545.82000000000005</v>
      </c>
      <c r="O1238" s="16">
        <v>705</v>
      </c>
      <c r="P1238" s="14">
        <v>9</v>
      </c>
      <c r="Q1238" s="14">
        <f t="shared" si="19"/>
        <v>132</v>
      </c>
      <c r="R1238" s="1">
        <v>9</v>
      </c>
      <c r="S1238" s="1">
        <v>200010013119</v>
      </c>
      <c r="T1238" s="1">
        <v>50</v>
      </c>
      <c r="U1238" s="1">
        <v>1</v>
      </c>
      <c r="V1238" s="1">
        <v>2</v>
      </c>
    </row>
    <row r="1239" spans="1:22" x14ac:dyDescent="0.25">
      <c r="A1239" s="3">
        <v>44778</v>
      </c>
      <c r="B1239" s="4">
        <v>0.49717592592592591</v>
      </c>
      <c r="C1239" s="1">
        <v>1828</v>
      </c>
      <c r="D1239" s="1">
        <v>13002616</v>
      </c>
      <c r="E1239" s="1">
        <v>13</v>
      </c>
      <c r="F1239" s="1">
        <v>22589</v>
      </c>
      <c r="G1239" s="1" t="s">
        <v>21</v>
      </c>
      <c r="H1239" s="1">
        <v>18</v>
      </c>
      <c r="I1239" s="1">
        <v>142544</v>
      </c>
      <c r="J1239" s="14" t="s">
        <v>628</v>
      </c>
      <c r="K1239" s="1" t="s">
        <v>141</v>
      </c>
      <c r="L1239" s="1" t="s">
        <v>629</v>
      </c>
      <c r="M1239" s="14">
        <v>0.2</v>
      </c>
      <c r="N1239" s="2">
        <v>545.82000000000005</v>
      </c>
      <c r="O1239" s="16">
        <v>705</v>
      </c>
      <c r="P1239" s="14">
        <v>9</v>
      </c>
      <c r="Q1239" s="14">
        <f t="shared" si="19"/>
        <v>132</v>
      </c>
      <c r="R1239" s="1">
        <v>9</v>
      </c>
      <c r="S1239" s="1">
        <v>200010013119</v>
      </c>
      <c r="T1239" s="1">
        <v>50</v>
      </c>
      <c r="U1239" s="1">
        <v>1</v>
      </c>
      <c r="V1239" s="1">
        <v>3</v>
      </c>
    </row>
    <row r="1240" spans="1:22" x14ac:dyDescent="0.25">
      <c r="A1240" s="3">
        <v>44778</v>
      </c>
      <c r="B1240" s="4">
        <v>0.78909722222222223</v>
      </c>
      <c r="C1240" s="1">
        <v>1895</v>
      </c>
      <c r="D1240" s="1">
        <v>13002616</v>
      </c>
      <c r="E1240" s="1">
        <v>13</v>
      </c>
      <c r="F1240" s="1">
        <v>22589</v>
      </c>
      <c r="G1240" s="1" t="s">
        <v>21</v>
      </c>
      <c r="H1240" s="1">
        <v>18</v>
      </c>
      <c r="I1240" s="1">
        <v>142544</v>
      </c>
      <c r="J1240" s="14" t="s">
        <v>628</v>
      </c>
      <c r="K1240" s="1" t="s">
        <v>141</v>
      </c>
      <c r="L1240" s="1" t="s">
        <v>629</v>
      </c>
      <c r="M1240" s="14">
        <v>0.2</v>
      </c>
      <c r="N1240" s="2">
        <v>545.82000000000005</v>
      </c>
      <c r="O1240" s="16">
        <v>705</v>
      </c>
      <c r="P1240" s="14">
        <v>0</v>
      </c>
      <c r="Q1240" s="14">
        <f t="shared" si="19"/>
        <v>141</v>
      </c>
      <c r="R1240" s="1" t="s">
        <v>25</v>
      </c>
      <c r="S1240" s="1" t="s">
        <v>25</v>
      </c>
      <c r="T1240" s="1">
        <v>50</v>
      </c>
      <c r="U1240" s="1">
        <v>1</v>
      </c>
      <c r="V1240" s="1">
        <v>1</v>
      </c>
    </row>
    <row r="1241" spans="1:22" x14ac:dyDescent="0.25">
      <c r="A1241" s="3">
        <v>44776</v>
      </c>
      <c r="B1241" s="4">
        <v>0.6196990740740741</v>
      </c>
      <c r="C1241" s="1">
        <v>1613</v>
      </c>
      <c r="D1241" s="1">
        <v>13002595</v>
      </c>
      <c r="E1241" s="1">
        <v>13</v>
      </c>
      <c r="F1241" s="1">
        <v>22589</v>
      </c>
      <c r="G1241" s="1" t="s">
        <v>21</v>
      </c>
      <c r="H1241" s="1">
        <v>15</v>
      </c>
      <c r="I1241" s="1">
        <v>149580</v>
      </c>
      <c r="J1241" s="14" t="s">
        <v>860</v>
      </c>
      <c r="K1241" s="1" t="s">
        <v>61</v>
      </c>
      <c r="L1241" s="1" t="s">
        <v>159</v>
      </c>
      <c r="M1241" s="14">
        <v>1</v>
      </c>
      <c r="N1241" s="2">
        <v>278.41000000000003</v>
      </c>
      <c r="O1241" s="16">
        <v>376</v>
      </c>
      <c r="P1241" s="14">
        <v>26</v>
      </c>
      <c r="Q1241" s="14">
        <f t="shared" si="19"/>
        <v>350</v>
      </c>
      <c r="R1241" s="1">
        <v>9</v>
      </c>
      <c r="S1241" s="1">
        <v>200010015892</v>
      </c>
      <c r="T1241" s="1">
        <v>29</v>
      </c>
      <c r="U1241" s="1">
        <v>1</v>
      </c>
      <c r="V1241" s="1">
        <v>2</v>
      </c>
    </row>
    <row r="1242" spans="1:22" x14ac:dyDescent="0.25">
      <c r="A1242" s="3">
        <v>44774</v>
      </c>
      <c r="B1242" s="4">
        <v>0.50112268518518521</v>
      </c>
      <c r="C1242" s="1">
        <v>1316</v>
      </c>
      <c r="D1242" s="1">
        <v>13002561</v>
      </c>
      <c r="E1242" s="1">
        <v>13</v>
      </c>
      <c r="F1242" s="1">
        <v>22589</v>
      </c>
      <c r="G1242" s="1" t="s">
        <v>21</v>
      </c>
      <c r="H1242" s="1">
        <v>15</v>
      </c>
      <c r="I1242" s="1">
        <v>350561</v>
      </c>
      <c r="J1242" s="14" t="s">
        <v>203</v>
      </c>
      <c r="K1242" s="1" t="s">
        <v>141</v>
      </c>
      <c r="L1242" s="1" t="s">
        <v>204</v>
      </c>
      <c r="M1242" s="14">
        <v>0.21428570999999999</v>
      </c>
      <c r="N1242" s="2">
        <v>1786.51</v>
      </c>
      <c r="O1242" s="16">
        <v>2448</v>
      </c>
      <c r="P1242" s="14">
        <v>51.57</v>
      </c>
      <c r="Q1242" s="14">
        <f t="shared" si="19"/>
        <v>473.00141807999995</v>
      </c>
      <c r="R1242" s="1">
        <v>9</v>
      </c>
      <c r="S1242" s="1">
        <v>200010027861</v>
      </c>
      <c r="T1242" s="1">
        <v>29</v>
      </c>
      <c r="U1242" s="1">
        <v>1</v>
      </c>
      <c r="V1242" s="1">
        <v>2</v>
      </c>
    </row>
    <row r="1243" spans="1:22" x14ac:dyDescent="0.25">
      <c r="A1243" s="3">
        <v>44775</v>
      </c>
      <c r="B1243" s="4">
        <v>0.52755787037037039</v>
      </c>
      <c r="C1243" s="1">
        <v>1465</v>
      </c>
      <c r="D1243" s="1">
        <v>13002581</v>
      </c>
      <c r="E1243" s="1">
        <v>13</v>
      </c>
      <c r="F1243" s="1">
        <v>22589</v>
      </c>
      <c r="G1243" s="1" t="s">
        <v>21</v>
      </c>
      <c r="H1243" s="1">
        <v>15</v>
      </c>
      <c r="I1243" s="1">
        <v>297417</v>
      </c>
      <c r="J1243" s="14" t="s">
        <v>576</v>
      </c>
      <c r="K1243" s="1" t="s">
        <v>51</v>
      </c>
      <c r="L1243" s="1" t="s">
        <v>577</v>
      </c>
      <c r="M1243" s="14">
        <v>1</v>
      </c>
      <c r="N1243" s="2">
        <v>69.44</v>
      </c>
      <c r="O1243" s="16">
        <v>99</v>
      </c>
      <c r="P1243" s="14">
        <v>0</v>
      </c>
      <c r="Q1243" s="14">
        <f t="shared" si="19"/>
        <v>99</v>
      </c>
      <c r="R1243" s="1" t="s">
        <v>25</v>
      </c>
      <c r="S1243" s="1" t="s">
        <v>25</v>
      </c>
      <c r="T1243" s="1">
        <v>29</v>
      </c>
      <c r="U1243" s="1">
        <v>1</v>
      </c>
      <c r="V1243" s="1">
        <v>1</v>
      </c>
    </row>
    <row r="1244" spans="1:22" x14ac:dyDescent="0.25">
      <c r="A1244" s="3">
        <v>44774</v>
      </c>
      <c r="B1244" s="4">
        <v>0.51023148148148145</v>
      </c>
      <c r="C1244" s="1">
        <v>1322</v>
      </c>
      <c r="D1244" s="1">
        <v>13002561</v>
      </c>
      <c r="E1244" s="1">
        <v>13</v>
      </c>
      <c r="F1244" s="1">
        <v>22589</v>
      </c>
      <c r="G1244" s="1" t="s">
        <v>21</v>
      </c>
      <c r="H1244" s="1">
        <v>18</v>
      </c>
      <c r="I1244" s="1">
        <v>298510</v>
      </c>
      <c r="J1244" s="14" t="s">
        <v>229</v>
      </c>
      <c r="K1244" s="1" t="s">
        <v>51</v>
      </c>
      <c r="L1244" s="1" t="s">
        <v>230</v>
      </c>
      <c r="M1244" s="14">
        <v>1</v>
      </c>
      <c r="N1244" s="2">
        <v>54.29</v>
      </c>
      <c r="O1244" s="16">
        <v>68</v>
      </c>
      <c r="P1244" s="14">
        <v>0</v>
      </c>
      <c r="Q1244" s="14">
        <f t="shared" si="19"/>
        <v>68</v>
      </c>
      <c r="R1244" s="1" t="s">
        <v>25</v>
      </c>
      <c r="S1244" s="1" t="s">
        <v>25</v>
      </c>
      <c r="T1244" s="1">
        <v>29</v>
      </c>
      <c r="U1244" s="1">
        <v>1</v>
      </c>
      <c r="V1244" s="1">
        <v>3</v>
      </c>
    </row>
    <row r="1245" spans="1:22" x14ac:dyDescent="0.25">
      <c r="A1245" s="3">
        <v>44776</v>
      </c>
      <c r="B1245" s="4">
        <v>0.50604166666666661</v>
      </c>
      <c r="C1245" s="1">
        <v>1575</v>
      </c>
      <c r="D1245" s="1">
        <v>13002595</v>
      </c>
      <c r="E1245" s="1">
        <v>13</v>
      </c>
      <c r="F1245" s="1">
        <v>22589</v>
      </c>
      <c r="G1245" s="1" t="s">
        <v>21</v>
      </c>
      <c r="H1245" s="1">
        <v>18</v>
      </c>
      <c r="I1245" s="1">
        <v>298510</v>
      </c>
      <c r="J1245" s="14" t="s">
        <v>229</v>
      </c>
      <c r="K1245" s="1" t="s">
        <v>466</v>
      </c>
      <c r="L1245" s="1" t="s">
        <v>230</v>
      </c>
      <c r="M1245" s="14">
        <v>1</v>
      </c>
      <c r="N1245" s="2">
        <v>64.680000000000007</v>
      </c>
      <c r="O1245" s="16">
        <v>69</v>
      </c>
      <c r="P1245" s="14">
        <v>0</v>
      </c>
      <c r="Q1245" s="14">
        <f t="shared" si="19"/>
        <v>69</v>
      </c>
      <c r="R1245" s="1" t="s">
        <v>25</v>
      </c>
      <c r="S1245" s="1" t="s">
        <v>25</v>
      </c>
      <c r="T1245" s="1">
        <v>29</v>
      </c>
      <c r="U1245" s="1">
        <v>2</v>
      </c>
      <c r="V1245" s="1">
        <v>15</v>
      </c>
    </row>
    <row r="1246" spans="1:22" x14ac:dyDescent="0.25">
      <c r="A1246" s="3">
        <v>44776</v>
      </c>
      <c r="B1246" s="4">
        <v>0.50604166666666661</v>
      </c>
      <c r="C1246" s="1">
        <v>1575</v>
      </c>
      <c r="D1246" s="1">
        <v>13002595</v>
      </c>
      <c r="E1246" s="1">
        <v>13</v>
      </c>
      <c r="F1246" s="1">
        <v>22589</v>
      </c>
      <c r="G1246" s="1" t="s">
        <v>21</v>
      </c>
      <c r="H1246" s="1">
        <v>18</v>
      </c>
      <c r="I1246" s="1">
        <v>298510</v>
      </c>
      <c r="J1246" s="14" t="s">
        <v>229</v>
      </c>
      <c r="K1246" s="1" t="s">
        <v>466</v>
      </c>
      <c r="L1246" s="1" t="s">
        <v>230</v>
      </c>
      <c r="M1246" s="14">
        <v>1</v>
      </c>
      <c r="N1246" s="2">
        <v>64.680000000000007</v>
      </c>
      <c r="O1246" s="16">
        <v>69</v>
      </c>
      <c r="P1246" s="14">
        <v>0</v>
      </c>
      <c r="Q1246" s="14">
        <f t="shared" si="19"/>
        <v>69</v>
      </c>
      <c r="R1246" s="1" t="s">
        <v>25</v>
      </c>
      <c r="S1246" s="1" t="s">
        <v>25</v>
      </c>
      <c r="T1246" s="1">
        <v>29</v>
      </c>
      <c r="U1246" s="1">
        <v>2</v>
      </c>
      <c r="V1246" s="1">
        <v>16</v>
      </c>
    </row>
    <row r="1247" spans="1:22" x14ac:dyDescent="0.25">
      <c r="A1247" s="3">
        <v>44777</v>
      </c>
      <c r="B1247" s="4">
        <v>0.71296296296296291</v>
      </c>
      <c r="C1247" s="1">
        <v>1755</v>
      </c>
      <c r="D1247" s="1">
        <v>13002606</v>
      </c>
      <c r="E1247" s="1">
        <v>13</v>
      </c>
      <c r="F1247" s="1">
        <v>22589</v>
      </c>
      <c r="G1247" s="1" t="s">
        <v>21</v>
      </c>
      <c r="H1247" s="1">
        <v>15</v>
      </c>
      <c r="I1247" s="1">
        <v>298510</v>
      </c>
      <c r="J1247" s="14" t="s">
        <v>229</v>
      </c>
      <c r="K1247" s="1" t="s">
        <v>29</v>
      </c>
      <c r="L1247" s="1" t="s">
        <v>230</v>
      </c>
      <c r="M1247" s="14">
        <v>1</v>
      </c>
      <c r="N1247" s="2">
        <v>55.31</v>
      </c>
      <c r="O1247" s="16">
        <v>69</v>
      </c>
      <c r="P1247" s="14">
        <v>0</v>
      </c>
      <c r="Q1247" s="14">
        <f t="shared" si="19"/>
        <v>69</v>
      </c>
      <c r="R1247" s="1" t="s">
        <v>25</v>
      </c>
      <c r="S1247" s="1" t="s">
        <v>25</v>
      </c>
      <c r="T1247" s="1">
        <v>50</v>
      </c>
      <c r="U1247" s="1">
        <v>1</v>
      </c>
      <c r="V1247" s="1">
        <v>1</v>
      </c>
    </row>
    <row r="1248" spans="1:22" x14ac:dyDescent="0.25">
      <c r="A1248" s="3">
        <v>44777</v>
      </c>
      <c r="B1248" s="4">
        <v>0.72998842592592594</v>
      </c>
      <c r="C1248" s="1">
        <v>1758</v>
      </c>
      <c r="D1248" s="1">
        <v>13002606</v>
      </c>
      <c r="E1248" s="1">
        <v>13</v>
      </c>
      <c r="F1248" s="1">
        <v>22589</v>
      </c>
      <c r="G1248" s="1" t="s">
        <v>21</v>
      </c>
      <c r="H1248" s="1">
        <v>15</v>
      </c>
      <c r="I1248" s="1">
        <v>298510</v>
      </c>
      <c r="J1248" s="14" t="s">
        <v>229</v>
      </c>
      <c r="K1248" s="1" t="s">
        <v>51</v>
      </c>
      <c r="L1248" s="1" t="s">
        <v>230</v>
      </c>
      <c r="M1248" s="14">
        <v>1</v>
      </c>
      <c r="N1248" s="2">
        <v>54.29</v>
      </c>
      <c r="O1248" s="16">
        <v>68</v>
      </c>
      <c r="P1248" s="14">
        <v>0.91</v>
      </c>
      <c r="Q1248" s="14">
        <f t="shared" si="19"/>
        <v>67.09</v>
      </c>
      <c r="R1248" s="1">
        <v>925</v>
      </c>
      <c r="S1248" s="1">
        <v>200000000492</v>
      </c>
      <c r="T1248" s="1">
        <v>50</v>
      </c>
      <c r="U1248" s="1">
        <v>1</v>
      </c>
      <c r="V1248" s="1">
        <v>2</v>
      </c>
    </row>
    <row r="1249" spans="1:22" x14ac:dyDescent="0.25">
      <c r="A1249" s="3">
        <v>44774</v>
      </c>
      <c r="B1249" s="4">
        <v>0.46513888888888888</v>
      </c>
      <c r="C1249" s="1">
        <v>1303</v>
      </c>
      <c r="D1249" s="1">
        <v>13002561</v>
      </c>
      <c r="E1249" s="1">
        <v>13</v>
      </c>
      <c r="F1249" s="1">
        <v>22589</v>
      </c>
      <c r="G1249" s="1" t="s">
        <v>21</v>
      </c>
      <c r="H1249" s="1">
        <v>15</v>
      </c>
      <c r="I1249" s="1">
        <v>371526</v>
      </c>
      <c r="J1249" s="14" t="s">
        <v>168</v>
      </c>
      <c r="K1249" s="1" t="s">
        <v>23</v>
      </c>
      <c r="L1249" s="1" t="s">
        <v>169</v>
      </c>
      <c r="M1249" s="14">
        <v>1</v>
      </c>
      <c r="N1249" s="2">
        <v>27.12</v>
      </c>
      <c r="O1249" s="16">
        <v>33</v>
      </c>
      <c r="P1249" s="14">
        <v>1</v>
      </c>
      <c r="Q1249" s="14">
        <f t="shared" si="19"/>
        <v>32</v>
      </c>
      <c r="R1249" s="1">
        <v>9</v>
      </c>
      <c r="S1249" s="1">
        <v>200010000167</v>
      </c>
      <c r="T1249" s="1">
        <v>29</v>
      </c>
      <c r="U1249" s="1">
        <v>1</v>
      </c>
      <c r="V1249" s="1">
        <v>1</v>
      </c>
    </row>
    <row r="1250" spans="1:22" x14ac:dyDescent="0.25">
      <c r="A1250" s="3">
        <v>44774</v>
      </c>
      <c r="B1250" s="4">
        <v>0.46513888888888888</v>
      </c>
      <c r="C1250" s="1">
        <v>1303</v>
      </c>
      <c r="D1250" s="1">
        <v>13002561</v>
      </c>
      <c r="E1250" s="1">
        <v>13</v>
      </c>
      <c r="F1250" s="1">
        <v>22589</v>
      </c>
      <c r="G1250" s="1" t="s">
        <v>21</v>
      </c>
      <c r="H1250" s="1">
        <v>15</v>
      </c>
      <c r="I1250" s="1">
        <v>371526</v>
      </c>
      <c r="J1250" s="14" t="s">
        <v>168</v>
      </c>
      <c r="K1250" s="1" t="s">
        <v>61</v>
      </c>
      <c r="L1250" s="1" t="s">
        <v>169</v>
      </c>
      <c r="M1250" s="14">
        <v>1</v>
      </c>
      <c r="N1250" s="2">
        <v>27.06</v>
      </c>
      <c r="O1250" s="16">
        <v>33.54</v>
      </c>
      <c r="P1250" s="14">
        <v>1.54</v>
      </c>
      <c r="Q1250" s="14">
        <f t="shared" si="19"/>
        <v>32</v>
      </c>
      <c r="R1250" s="1">
        <v>9</v>
      </c>
      <c r="S1250" s="1">
        <v>200010000167</v>
      </c>
      <c r="T1250" s="1">
        <v>29</v>
      </c>
      <c r="U1250" s="1">
        <v>1</v>
      </c>
      <c r="V1250" s="1">
        <v>2</v>
      </c>
    </row>
    <row r="1251" spans="1:22" x14ac:dyDescent="0.25">
      <c r="A1251" s="3">
        <v>44774</v>
      </c>
      <c r="B1251" s="4">
        <v>0.61540509259259257</v>
      </c>
      <c r="C1251" s="1">
        <v>1360</v>
      </c>
      <c r="D1251" s="1">
        <v>13002561</v>
      </c>
      <c r="E1251" s="1">
        <v>13</v>
      </c>
      <c r="F1251" s="1">
        <v>22589</v>
      </c>
      <c r="G1251" s="1" t="s">
        <v>21</v>
      </c>
      <c r="H1251" s="1">
        <v>15</v>
      </c>
      <c r="I1251" s="1">
        <v>114629</v>
      </c>
      <c r="J1251" s="14" t="s">
        <v>339</v>
      </c>
      <c r="K1251" s="1" t="s">
        <v>51</v>
      </c>
      <c r="L1251" s="1" t="s">
        <v>269</v>
      </c>
      <c r="M1251" s="14">
        <v>1</v>
      </c>
      <c r="N1251" s="2">
        <v>131.22</v>
      </c>
      <c r="O1251" s="16">
        <v>159</v>
      </c>
      <c r="P1251" s="14">
        <v>7</v>
      </c>
      <c r="Q1251" s="14">
        <f t="shared" si="19"/>
        <v>152</v>
      </c>
      <c r="R1251" s="1">
        <v>9</v>
      </c>
      <c r="S1251" s="1">
        <v>200010017964</v>
      </c>
      <c r="T1251" s="1">
        <v>29</v>
      </c>
      <c r="U1251" s="1">
        <v>1</v>
      </c>
      <c r="V1251" s="1">
        <v>1</v>
      </c>
    </row>
    <row r="1252" spans="1:22" x14ac:dyDescent="0.25">
      <c r="A1252" s="3">
        <v>44774</v>
      </c>
      <c r="B1252" s="4">
        <v>0.42930555555555555</v>
      </c>
      <c r="C1252" s="1">
        <v>1287</v>
      </c>
      <c r="D1252" s="1">
        <v>13002561</v>
      </c>
      <c r="E1252" s="1">
        <v>13</v>
      </c>
      <c r="F1252" s="1">
        <v>22589</v>
      </c>
      <c r="G1252" s="1" t="s">
        <v>21</v>
      </c>
      <c r="H1252" s="1">
        <v>18</v>
      </c>
      <c r="I1252" s="1">
        <v>377588</v>
      </c>
      <c r="J1252" s="14" t="s">
        <v>77</v>
      </c>
      <c r="K1252" s="1" t="s">
        <v>51</v>
      </c>
      <c r="L1252" s="1" t="s">
        <v>78</v>
      </c>
      <c r="M1252" s="14">
        <v>1</v>
      </c>
      <c r="N1252" s="2">
        <v>84.17</v>
      </c>
      <c r="O1252" s="16">
        <v>100</v>
      </c>
      <c r="P1252" s="14">
        <v>41.09</v>
      </c>
      <c r="Q1252" s="14">
        <f t="shared" si="19"/>
        <v>58.91</v>
      </c>
      <c r="R1252" s="1">
        <v>925</v>
      </c>
      <c r="S1252" s="1">
        <v>200000000492</v>
      </c>
      <c r="T1252" s="1">
        <v>29</v>
      </c>
      <c r="U1252" s="1">
        <v>1</v>
      </c>
      <c r="V1252" s="1">
        <v>3</v>
      </c>
    </row>
    <row r="1253" spans="1:22" x14ac:dyDescent="0.25">
      <c r="A1253" s="3">
        <v>44776</v>
      </c>
      <c r="B1253" s="4">
        <v>0.80046296296296293</v>
      </c>
      <c r="C1253" s="1">
        <v>1654</v>
      </c>
      <c r="D1253" s="1">
        <v>13002595</v>
      </c>
      <c r="E1253" s="1">
        <v>13</v>
      </c>
      <c r="F1253" s="1">
        <v>22589</v>
      </c>
      <c r="G1253" s="1" t="s">
        <v>21</v>
      </c>
      <c r="H1253" s="1">
        <v>15</v>
      </c>
      <c r="I1253" s="1">
        <v>345248</v>
      </c>
      <c r="J1253" s="14" t="s">
        <v>923</v>
      </c>
      <c r="K1253" s="1" t="s">
        <v>117</v>
      </c>
      <c r="L1253" s="1" t="s">
        <v>173</v>
      </c>
      <c r="M1253" s="14">
        <v>1</v>
      </c>
      <c r="N1253" s="2">
        <v>18.82</v>
      </c>
      <c r="O1253" s="16">
        <v>23</v>
      </c>
      <c r="P1253" s="14">
        <v>1</v>
      </c>
      <c r="Q1253" s="14">
        <f t="shared" si="19"/>
        <v>22</v>
      </c>
      <c r="R1253" s="1">
        <v>9</v>
      </c>
      <c r="S1253" s="1">
        <v>200010001832</v>
      </c>
      <c r="T1253" s="1">
        <v>29</v>
      </c>
      <c r="U1253" s="1">
        <v>1</v>
      </c>
      <c r="V1253" s="1">
        <v>1</v>
      </c>
    </row>
    <row r="1254" spans="1:22" x14ac:dyDescent="0.25">
      <c r="A1254" s="3">
        <v>44776</v>
      </c>
      <c r="B1254" s="4">
        <v>0.80046296296296293</v>
      </c>
      <c r="C1254" s="1">
        <v>1654</v>
      </c>
      <c r="D1254" s="1">
        <v>13002595</v>
      </c>
      <c r="E1254" s="1">
        <v>13</v>
      </c>
      <c r="F1254" s="1">
        <v>22589</v>
      </c>
      <c r="G1254" s="1" t="s">
        <v>21</v>
      </c>
      <c r="H1254" s="1">
        <v>15</v>
      </c>
      <c r="I1254" s="1">
        <v>345248</v>
      </c>
      <c r="J1254" s="14" t="s">
        <v>923</v>
      </c>
      <c r="K1254" s="1" t="s">
        <v>58</v>
      </c>
      <c r="L1254" s="1" t="s">
        <v>173</v>
      </c>
      <c r="M1254" s="14">
        <v>1</v>
      </c>
      <c r="N1254" s="2">
        <v>19.5</v>
      </c>
      <c r="O1254" s="16">
        <v>23</v>
      </c>
      <c r="P1254" s="14">
        <v>1</v>
      </c>
      <c r="Q1254" s="14">
        <f t="shared" si="19"/>
        <v>22</v>
      </c>
      <c r="R1254" s="1">
        <v>9</v>
      </c>
      <c r="S1254" s="1">
        <v>200010001832</v>
      </c>
      <c r="T1254" s="1">
        <v>29</v>
      </c>
      <c r="U1254" s="1">
        <v>1</v>
      </c>
      <c r="V1254" s="1">
        <v>2</v>
      </c>
    </row>
    <row r="1255" spans="1:22" x14ac:dyDescent="0.25">
      <c r="A1255" s="3">
        <v>44777</v>
      </c>
      <c r="B1255" s="4">
        <v>0.5534027777777778</v>
      </c>
      <c r="C1255" s="1">
        <v>1716</v>
      </c>
      <c r="D1255" s="1">
        <v>13002606</v>
      </c>
      <c r="E1255" s="1">
        <v>13</v>
      </c>
      <c r="F1255" s="1">
        <v>22589</v>
      </c>
      <c r="G1255" s="1" t="s">
        <v>21</v>
      </c>
      <c r="H1255" s="1">
        <v>15</v>
      </c>
      <c r="I1255" s="1">
        <v>21850</v>
      </c>
      <c r="J1255" s="14" t="s">
        <v>1006</v>
      </c>
      <c r="K1255" s="1" t="s">
        <v>48</v>
      </c>
      <c r="L1255" s="1" t="s">
        <v>1007</v>
      </c>
      <c r="M1255" s="14">
        <v>1</v>
      </c>
      <c r="N1255" s="2">
        <v>143.47</v>
      </c>
      <c r="O1255" s="16">
        <v>175.5</v>
      </c>
      <c r="P1255" s="14">
        <v>0</v>
      </c>
      <c r="Q1255" s="14">
        <f t="shared" si="19"/>
        <v>175.5</v>
      </c>
      <c r="R1255" s="1" t="s">
        <v>25</v>
      </c>
      <c r="S1255" s="1" t="s">
        <v>25</v>
      </c>
      <c r="T1255" s="1">
        <v>50</v>
      </c>
      <c r="U1255" s="1">
        <v>1</v>
      </c>
      <c r="V1255" s="1">
        <v>1</v>
      </c>
    </row>
    <row r="1256" spans="1:22" x14ac:dyDescent="0.25">
      <c r="A1256" s="3">
        <v>44774</v>
      </c>
      <c r="B1256" s="4">
        <v>0.36033564814814817</v>
      </c>
      <c r="C1256" s="1">
        <v>1273</v>
      </c>
      <c r="D1256" s="1">
        <v>13002561</v>
      </c>
      <c r="E1256" s="1">
        <v>13</v>
      </c>
      <c r="F1256" s="1">
        <v>22589</v>
      </c>
      <c r="G1256" s="1" t="s">
        <v>21</v>
      </c>
      <c r="H1256" s="1">
        <v>15</v>
      </c>
      <c r="I1256" s="1">
        <v>69661</v>
      </c>
      <c r="J1256" s="14" t="s">
        <v>26</v>
      </c>
      <c r="K1256" s="1" t="s">
        <v>23</v>
      </c>
      <c r="L1256" s="1" t="s">
        <v>27</v>
      </c>
      <c r="M1256" s="14">
        <v>1</v>
      </c>
      <c r="N1256" s="2">
        <v>106.21</v>
      </c>
      <c r="O1256" s="16">
        <v>127</v>
      </c>
      <c r="P1256" s="14">
        <v>6</v>
      </c>
      <c r="Q1256" s="14">
        <f t="shared" si="19"/>
        <v>121</v>
      </c>
      <c r="R1256" s="1">
        <v>9</v>
      </c>
      <c r="S1256" s="1">
        <v>200010004357</v>
      </c>
      <c r="T1256" s="1">
        <v>29</v>
      </c>
      <c r="U1256" s="1">
        <v>1</v>
      </c>
      <c r="V1256" s="1">
        <v>1</v>
      </c>
    </row>
    <row r="1257" spans="1:22" x14ac:dyDescent="0.25">
      <c r="A1257" s="3">
        <v>44775</v>
      </c>
      <c r="B1257" s="4">
        <v>0.38119212962962962</v>
      </c>
      <c r="C1257" s="1">
        <v>1422</v>
      </c>
      <c r="D1257" s="1">
        <v>13002581</v>
      </c>
      <c r="E1257" s="1">
        <v>13</v>
      </c>
      <c r="F1257" s="1">
        <v>22589</v>
      </c>
      <c r="G1257" s="1" t="s">
        <v>21</v>
      </c>
      <c r="H1257" s="1">
        <v>18</v>
      </c>
      <c r="I1257" s="1">
        <v>508726</v>
      </c>
      <c r="J1257" s="14" t="s">
        <v>488</v>
      </c>
      <c r="K1257" s="1" t="s">
        <v>51</v>
      </c>
      <c r="L1257" s="1" t="s">
        <v>274</v>
      </c>
      <c r="M1257" s="14">
        <v>1</v>
      </c>
      <c r="N1257" s="2">
        <v>174.59</v>
      </c>
      <c r="O1257" s="16">
        <v>240</v>
      </c>
      <c r="P1257" s="14">
        <v>16</v>
      </c>
      <c r="Q1257" s="14">
        <f t="shared" si="19"/>
        <v>224</v>
      </c>
      <c r="R1257" s="1">
        <v>9</v>
      </c>
      <c r="S1257" s="1">
        <v>200010004069</v>
      </c>
      <c r="T1257" s="1">
        <v>29</v>
      </c>
      <c r="U1257" s="1">
        <v>1</v>
      </c>
      <c r="V1257" s="1">
        <v>8</v>
      </c>
    </row>
    <row r="1258" spans="1:22" x14ac:dyDescent="0.25">
      <c r="A1258" s="3">
        <v>44776</v>
      </c>
      <c r="B1258" s="4">
        <v>0.61731481481481476</v>
      </c>
      <c r="C1258" s="1">
        <v>1612</v>
      </c>
      <c r="D1258" s="1">
        <v>13002595</v>
      </c>
      <c r="E1258" s="1">
        <v>13</v>
      </c>
      <c r="F1258" s="1">
        <v>22589</v>
      </c>
      <c r="G1258" s="1" t="s">
        <v>21</v>
      </c>
      <c r="H1258" s="1">
        <v>15</v>
      </c>
      <c r="I1258" s="1">
        <v>508726</v>
      </c>
      <c r="J1258" s="14" t="s">
        <v>488</v>
      </c>
      <c r="K1258" s="1" t="s">
        <v>51</v>
      </c>
      <c r="L1258" s="1" t="s">
        <v>274</v>
      </c>
      <c r="M1258" s="14">
        <v>1</v>
      </c>
      <c r="N1258" s="2">
        <v>174.59</v>
      </c>
      <c r="O1258" s="16">
        <v>240</v>
      </c>
      <c r="P1258" s="14">
        <v>0</v>
      </c>
      <c r="Q1258" s="14">
        <f t="shared" si="19"/>
        <v>240</v>
      </c>
      <c r="R1258" s="1" t="s">
        <v>25</v>
      </c>
      <c r="S1258" s="1" t="s">
        <v>25</v>
      </c>
      <c r="T1258" s="1">
        <v>29</v>
      </c>
      <c r="U1258" s="1">
        <v>1</v>
      </c>
      <c r="V1258" s="1">
        <v>2</v>
      </c>
    </row>
    <row r="1259" spans="1:22" x14ac:dyDescent="0.25">
      <c r="A1259" s="3">
        <v>44777</v>
      </c>
      <c r="B1259" s="4">
        <v>0.58840277777777783</v>
      </c>
      <c r="C1259" s="1">
        <v>1727</v>
      </c>
      <c r="D1259" s="1">
        <v>13002606</v>
      </c>
      <c r="E1259" s="1">
        <v>13</v>
      </c>
      <c r="F1259" s="1">
        <v>22589</v>
      </c>
      <c r="G1259" s="1" t="s">
        <v>21</v>
      </c>
      <c r="H1259" s="1">
        <v>15</v>
      </c>
      <c r="I1259" s="1">
        <v>21561</v>
      </c>
      <c r="J1259" s="14" t="s">
        <v>1018</v>
      </c>
      <c r="K1259" s="1" t="s">
        <v>45</v>
      </c>
      <c r="L1259" s="1" t="s">
        <v>1019</v>
      </c>
      <c r="M1259" s="14">
        <v>1</v>
      </c>
      <c r="N1259" s="2">
        <v>1792.34</v>
      </c>
      <c r="O1259" s="16">
        <v>2456</v>
      </c>
      <c r="P1259" s="14">
        <v>0</v>
      </c>
      <c r="Q1259" s="14">
        <f t="shared" si="19"/>
        <v>2456</v>
      </c>
      <c r="R1259" s="1" t="s">
        <v>25</v>
      </c>
      <c r="S1259" s="1" t="s">
        <v>25</v>
      </c>
      <c r="T1259" s="1">
        <v>50</v>
      </c>
      <c r="U1259" s="1">
        <v>1</v>
      </c>
      <c r="V1259" s="1">
        <v>1</v>
      </c>
    </row>
    <row r="1260" spans="1:22" x14ac:dyDescent="0.25">
      <c r="A1260" s="3">
        <v>44775</v>
      </c>
      <c r="B1260" s="4">
        <v>0.51391203703703703</v>
      </c>
      <c r="C1260" s="1">
        <v>1461</v>
      </c>
      <c r="D1260" s="1">
        <v>13002581</v>
      </c>
      <c r="E1260" s="1">
        <v>13</v>
      </c>
      <c r="F1260" s="1">
        <v>22589</v>
      </c>
      <c r="G1260" s="1" t="s">
        <v>21</v>
      </c>
      <c r="H1260" s="1">
        <v>15</v>
      </c>
      <c r="I1260" s="1">
        <v>310896</v>
      </c>
      <c r="J1260" s="14" t="s">
        <v>567</v>
      </c>
      <c r="K1260" s="1" t="s">
        <v>23</v>
      </c>
      <c r="L1260" s="1" t="s">
        <v>37</v>
      </c>
      <c r="M1260" s="14">
        <v>1</v>
      </c>
      <c r="N1260" s="2">
        <v>201.88</v>
      </c>
      <c r="O1260" s="16">
        <v>273</v>
      </c>
      <c r="P1260" s="14">
        <v>19</v>
      </c>
      <c r="Q1260" s="14">
        <f t="shared" si="19"/>
        <v>254</v>
      </c>
      <c r="R1260" s="1">
        <v>9</v>
      </c>
      <c r="S1260" s="1">
        <v>200010002982</v>
      </c>
      <c r="T1260" s="1">
        <v>29</v>
      </c>
      <c r="U1260" s="1">
        <v>1</v>
      </c>
      <c r="V1260" s="1">
        <v>1</v>
      </c>
    </row>
    <row r="1261" spans="1:22" x14ac:dyDescent="0.25">
      <c r="A1261" s="3">
        <v>44777</v>
      </c>
      <c r="B1261" s="4">
        <v>0.73989583333333331</v>
      </c>
      <c r="C1261" s="1">
        <v>1760</v>
      </c>
      <c r="D1261" s="1">
        <v>13002606</v>
      </c>
      <c r="E1261" s="1">
        <v>13</v>
      </c>
      <c r="F1261" s="1">
        <v>22589</v>
      </c>
      <c r="G1261" s="1" t="s">
        <v>21</v>
      </c>
      <c r="H1261" s="1">
        <v>18</v>
      </c>
      <c r="I1261" s="1">
        <v>28847</v>
      </c>
      <c r="J1261" s="14" t="s">
        <v>1057</v>
      </c>
      <c r="K1261" s="1" t="s">
        <v>117</v>
      </c>
      <c r="L1261" s="1" t="s">
        <v>932</v>
      </c>
      <c r="M1261" s="14">
        <v>1</v>
      </c>
      <c r="N1261" s="2">
        <v>363.48</v>
      </c>
      <c r="O1261" s="16">
        <v>432</v>
      </c>
      <c r="P1261" s="14">
        <v>21</v>
      </c>
      <c r="Q1261" s="14">
        <f t="shared" si="19"/>
        <v>411</v>
      </c>
      <c r="R1261" s="1">
        <v>9</v>
      </c>
      <c r="S1261" s="1">
        <v>200010010154</v>
      </c>
      <c r="T1261" s="1">
        <v>50</v>
      </c>
      <c r="U1261" s="1">
        <v>1</v>
      </c>
      <c r="V1261" s="1">
        <v>3</v>
      </c>
    </row>
    <row r="1262" spans="1:22" x14ac:dyDescent="0.25">
      <c r="A1262" s="3">
        <v>44775</v>
      </c>
      <c r="B1262" s="4">
        <v>0.48714120370370373</v>
      </c>
      <c r="C1262" s="1">
        <v>1449</v>
      </c>
      <c r="D1262" s="1">
        <v>13002581</v>
      </c>
      <c r="E1262" s="1">
        <v>13</v>
      </c>
      <c r="F1262" s="1">
        <v>22589</v>
      </c>
      <c r="G1262" s="1" t="s">
        <v>21</v>
      </c>
      <c r="H1262" s="1">
        <v>15</v>
      </c>
      <c r="I1262" s="1">
        <v>98751</v>
      </c>
      <c r="J1262" s="14" t="s">
        <v>542</v>
      </c>
      <c r="K1262" s="1" t="s">
        <v>51</v>
      </c>
      <c r="L1262" s="1" t="s">
        <v>543</v>
      </c>
      <c r="M1262" s="14">
        <v>1</v>
      </c>
      <c r="N1262" s="2">
        <v>77.22</v>
      </c>
      <c r="O1262" s="16">
        <v>122</v>
      </c>
      <c r="P1262" s="14">
        <v>0</v>
      </c>
      <c r="Q1262" s="14">
        <f t="shared" si="19"/>
        <v>122</v>
      </c>
      <c r="R1262" s="1" t="s">
        <v>25</v>
      </c>
      <c r="S1262" s="1" t="s">
        <v>25</v>
      </c>
      <c r="T1262" s="1">
        <v>29</v>
      </c>
      <c r="U1262" s="1">
        <v>1</v>
      </c>
      <c r="V1262" s="1">
        <v>1</v>
      </c>
    </row>
    <row r="1263" spans="1:22" x14ac:dyDescent="0.25">
      <c r="A1263" s="3">
        <v>44774</v>
      </c>
      <c r="B1263" s="4">
        <v>0.43633101851851852</v>
      </c>
      <c r="C1263" s="1">
        <v>1289</v>
      </c>
      <c r="D1263" s="1">
        <v>13002561</v>
      </c>
      <c r="E1263" s="1">
        <v>13</v>
      </c>
      <c r="F1263" s="1">
        <v>22589</v>
      </c>
      <c r="G1263" s="1" t="s">
        <v>21</v>
      </c>
      <c r="H1263" s="1">
        <v>15</v>
      </c>
      <c r="I1263" s="1">
        <v>263189</v>
      </c>
      <c r="J1263" s="14" t="s">
        <v>88</v>
      </c>
      <c r="K1263" s="1" t="s">
        <v>51</v>
      </c>
      <c r="L1263" s="1" t="s">
        <v>89</v>
      </c>
      <c r="M1263" s="14">
        <v>1</v>
      </c>
      <c r="N1263" s="2">
        <v>1576.65</v>
      </c>
      <c r="O1263" s="16">
        <v>1971</v>
      </c>
      <c r="P1263" s="14">
        <v>137</v>
      </c>
      <c r="Q1263" s="14">
        <f t="shared" si="19"/>
        <v>1834</v>
      </c>
      <c r="R1263" s="1">
        <v>9</v>
      </c>
      <c r="S1263" s="1">
        <v>200010000065</v>
      </c>
      <c r="T1263" s="1">
        <v>29</v>
      </c>
      <c r="U1263" s="1">
        <v>1</v>
      </c>
      <c r="V1263" s="1">
        <v>5</v>
      </c>
    </row>
    <row r="1264" spans="1:22" x14ac:dyDescent="0.25">
      <c r="A1264" s="3">
        <v>44778</v>
      </c>
      <c r="B1264" s="4">
        <v>0.73554398148148148</v>
      </c>
      <c r="C1264" s="1">
        <v>1884</v>
      </c>
      <c r="D1264" s="1">
        <v>13002616</v>
      </c>
      <c r="E1264" s="1">
        <v>13</v>
      </c>
      <c r="F1264" s="1">
        <v>22589</v>
      </c>
      <c r="G1264" s="1" t="s">
        <v>21</v>
      </c>
      <c r="H1264" s="1">
        <v>18</v>
      </c>
      <c r="I1264" s="1">
        <v>110694</v>
      </c>
      <c r="J1264" s="14" t="s">
        <v>1203</v>
      </c>
      <c r="K1264" s="1" t="s">
        <v>34</v>
      </c>
      <c r="L1264" s="1" t="s">
        <v>255</v>
      </c>
      <c r="M1264" s="14">
        <v>1</v>
      </c>
      <c r="N1264" s="2">
        <v>372.99</v>
      </c>
      <c r="O1264" s="16">
        <v>493</v>
      </c>
      <c r="P1264" s="14">
        <v>34</v>
      </c>
      <c r="Q1264" s="14">
        <f t="shared" si="19"/>
        <v>459</v>
      </c>
      <c r="R1264" s="1">
        <v>9</v>
      </c>
      <c r="S1264" s="1">
        <v>200010019194</v>
      </c>
      <c r="T1264" s="1">
        <v>50</v>
      </c>
      <c r="U1264" s="1">
        <v>1</v>
      </c>
      <c r="V1264" s="1">
        <v>3</v>
      </c>
    </row>
    <row r="1265" spans="1:22" x14ac:dyDescent="0.25">
      <c r="A1265" s="3">
        <v>44778</v>
      </c>
      <c r="B1265" s="4">
        <v>0.4886226851851852</v>
      </c>
      <c r="C1265" s="1">
        <v>1824</v>
      </c>
      <c r="D1265" s="1">
        <v>13002616</v>
      </c>
      <c r="E1265" s="1">
        <v>13</v>
      </c>
      <c r="F1265" s="1">
        <v>22589</v>
      </c>
      <c r="G1265" s="1" t="s">
        <v>21</v>
      </c>
      <c r="H1265" s="1">
        <v>18</v>
      </c>
      <c r="I1265" s="1">
        <v>66239</v>
      </c>
      <c r="J1265" s="14" t="s">
        <v>1119</v>
      </c>
      <c r="K1265" s="1" t="s">
        <v>29</v>
      </c>
      <c r="L1265" s="1" t="s">
        <v>129</v>
      </c>
      <c r="M1265" s="14">
        <v>1</v>
      </c>
      <c r="N1265" s="2">
        <v>624.39</v>
      </c>
      <c r="O1265" s="16">
        <v>719</v>
      </c>
      <c r="P1265" s="14">
        <v>50</v>
      </c>
      <c r="Q1265" s="14">
        <f t="shared" si="19"/>
        <v>669</v>
      </c>
      <c r="R1265" s="1">
        <v>9</v>
      </c>
      <c r="S1265" s="1">
        <v>200010015871</v>
      </c>
      <c r="T1265" s="1">
        <v>50</v>
      </c>
      <c r="U1265" s="1">
        <v>1</v>
      </c>
      <c r="V1265" s="1">
        <v>2</v>
      </c>
    </row>
    <row r="1266" spans="1:22" x14ac:dyDescent="0.25">
      <c r="A1266" s="3">
        <v>44775</v>
      </c>
      <c r="B1266" s="4">
        <v>0.71390046296296295</v>
      </c>
      <c r="C1266" s="1">
        <v>1501</v>
      </c>
      <c r="D1266" s="1">
        <v>13002581</v>
      </c>
      <c r="E1266" s="1">
        <v>13</v>
      </c>
      <c r="F1266" s="1">
        <v>22589</v>
      </c>
      <c r="G1266" s="1" t="s">
        <v>21</v>
      </c>
      <c r="H1266" s="1">
        <v>18</v>
      </c>
      <c r="I1266" s="1">
        <v>477178</v>
      </c>
      <c r="J1266" s="14" t="s">
        <v>649</v>
      </c>
      <c r="K1266" s="1" t="s">
        <v>51</v>
      </c>
      <c r="L1266" s="1" t="s">
        <v>129</v>
      </c>
      <c r="M1266" s="14">
        <v>1</v>
      </c>
      <c r="N1266" s="2">
        <v>1548.9</v>
      </c>
      <c r="O1266" s="16">
        <v>1937</v>
      </c>
      <c r="P1266" s="14">
        <v>135</v>
      </c>
      <c r="Q1266" s="14">
        <f t="shared" si="19"/>
        <v>1802</v>
      </c>
      <c r="R1266" s="1">
        <v>9</v>
      </c>
      <c r="S1266" s="1">
        <v>200010026826</v>
      </c>
      <c r="T1266" s="1">
        <v>29</v>
      </c>
      <c r="U1266" s="1">
        <v>1</v>
      </c>
      <c r="V1266" s="1">
        <v>1</v>
      </c>
    </row>
    <row r="1267" spans="1:22" x14ac:dyDescent="0.25">
      <c r="A1267" s="3">
        <v>44775</v>
      </c>
      <c r="B1267" s="4">
        <v>0.8175810185185185</v>
      </c>
      <c r="C1267" s="1">
        <v>1533</v>
      </c>
      <c r="D1267" s="1">
        <v>13002581</v>
      </c>
      <c r="E1267" s="1">
        <v>13</v>
      </c>
      <c r="F1267" s="1">
        <v>22589</v>
      </c>
      <c r="G1267" s="1" t="s">
        <v>21</v>
      </c>
      <c r="H1267" s="1">
        <v>18</v>
      </c>
      <c r="I1267" s="1">
        <v>418039</v>
      </c>
      <c r="J1267" s="14" t="s">
        <v>702</v>
      </c>
      <c r="K1267" s="1" t="s">
        <v>23</v>
      </c>
      <c r="L1267" s="1" t="s">
        <v>703</v>
      </c>
      <c r="M1267" s="14">
        <v>1</v>
      </c>
      <c r="N1267" s="2">
        <v>261</v>
      </c>
      <c r="O1267" s="16">
        <v>353</v>
      </c>
      <c r="P1267" s="14">
        <v>24</v>
      </c>
      <c r="Q1267" s="14">
        <f t="shared" si="19"/>
        <v>329</v>
      </c>
      <c r="R1267" s="1">
        <v>9</v>
      </c>
      <c r="S1267" s="1">
        <v>200010009896</v>
      </c>
      <c r="T1267" s="1">
        <v>29</v>
      </c>
      <c r="U1267" s="1">
        <v>1</v>
      </c>
      <c r="V1267" s="1">
        <v>4</v>
      </c>
    </row>
    <row r="1268" spans="1:22" x14ac:dyDescent="0.25">
      <c r="A1268" s="3">
        <v>44776</v>
      </c>
      <c r="B1268" s="4">
        <v>0.57062500000000005</v>
      </c>
      <c r="C1268" s="1">
        <v>1602</v>
      </c>
      <c r="D1268" s="1">
        <v>13002595</v>
      </c>
      <c r="E1268" s="1">
        <v>13</v>
      </c>
      <c r="F1268" s="1">
        <v>22589</v>
      </c>
      <c r="G1268" s="1" t="s">
        <v>21</v>
      </c>
      <c r="H1268" s="1">
        <v>18</v>
      </c>
      <c r="I1268" s="1">
        <v>418039</v>
      </c>
      <c r="J1268" s="14" t="s">
        <v>702</v>
      </c>
      <c r="K1268" s="1" t="s">
        <v>23</v>
      </c>
      <c r="L1268" s="1" t="s">
        <v>703</v>
      </c>
      <c r="M1268" s="14">
        <v>1</v>
      </c>
      <c r="N1268" s="2">
        <v>257.92</v>
      </c>
      <c r="O1268" s="16">
        <v>349</v>
      </c>
      <c r="P1268" s="14">
        <v>24</v>
      </c>
      <c r="Q1268" s="14">
        <f t="shared" si="19"/>
        <v>325</v>
      </c>
      <c r="R1268" s="1">
        <v>9</v>
      </c>
      <c r="S1268" s="1">
        <v>200010023583</v>
      </c>
      <c r="T1268" s="1">
        <v>29</v>
      </c>
      <c r="U1268" s="1">
        <v>1</v>
      </c>
      <c r="V1268" s="1">
        <v>2</v>
      </c>
    </row>
    <row r="1269" spans="1:22" x14ac:dyDescent="0.25">
      <c r="A1269" s="3">
        <v>44777</v>
      </c>
      <c r="B1269" s="4">
        <v>0.66061342592592598</v>
      </c>
      <c r="C1269" s="1">
        <v>1742</v>
      </c>
      <c r="D1269" s="1">
        <v>13002606</v>
      </c>
      <c r="E1269" s="1">
        <v>13</v>
      </c>
      <c r="F1269" s="1">
        <v>22589</v>
      </c>
      <c r="G1269" s="1" t="s">
        <v>21</v>
      </c>
      <c r="H1269" s="1">
        <v>18</v>
      </c>
      <c r="I1269" s="1">
        <v>340962</v>
      </c>
      <c r="J1269" s="14" t="s">
        <v>1036</v>
      </c>
      <c r="K1269" s="1" t="s">
        <v>23</v>
      </c>
      <c r="L1269" s="1" t="s">
        <v>276</v>
      </c>
      <c r="M1269" s="14">
        <v>1</v>
      </c>
      <c r="N1269" s="2">
        <v>884</v>
      </c>
      <c r="O1269" s="16">
        <v>1141</v>
      </c>
      <c r="P1269" s="14">
        <v>0</v>
      </c>
      <c r="Q1269" s="14">
        <f t="shared" si="19"/>
        <v>1141</v>
      </c>
      <c r="R1269" s="1" t="s">
        <v>25</v>
      </c>
      <c r="S1269" s="1" t="s">
        <v>25</v>
      </c>
      <c r="T1269" s="1">
        <v>50</v>
      </c>
      <c r="U1269" s="1">
        <v>1</v>
      </c>
      <c r="V1269" s="1">
        <v>2</v>
      </c>
    </row>
    <row r="1270" spans="1:22" x14ac:dyDescent="0.25">
      <c r="A1270" s="3">
        <v>44775</v>
      </c>
      <c r="B1270" s="4">
        <v>0.37135416666666665</v>
      </c>
      <c r="C1270" s="1">
        <v>1419</v>
      </c>
      <c r="D1270" s="1">
        <v>13002581</v>
      </c>
      <c r="E1270" s="1">
        <v>13</v>
      </c>
      <c r="F1270" s="1">
        <v>22589</v>
      </c>
      <c r="G1270" s="1" t="s">
        <v>21</v>
      </c>
      <c r="H1270" s="1">
        <v>15</v>
      </c>
      <c r="I1270" s="1">
        <v>340852</v>
      </c>
      <c r="J1270" s="14" t="s">
        <v>479</v>
      </c>
      <c r="K1270" s="1" t="s">
        <v>23</v>
      </c>
      <c r="L1270" s="1" t="s">
        <v>276</v>
      </c>
      <c r="M1270" s="14">
        <v>1</v>
      </c>
      <c r="N1270" s="2">
        <v>714.65</v>
      </c>
      <c r="O1270" s="16">
        <v>922</v>
      </c>
      <c r="P1270" s="14">
        <v>0</v>
      </c>
      <c r="Q1270" s="14">
        <f t="shared" si="19"/>
        <v>922</v>
      </c>
      <c r="R1270" s="1" t="s">
        <v>25</v>
      </c>
      <c r="S1270" s="1" t="s">
        <v>25</v>
      </c>
      <c r="T1270" s="1">
        <v>29</v>
      </c>
      <c r="U1270" s="1">
        <v>1</v>
      </c>
      <c r="V1270" s="1">
        <v>1</v>
      </c>
    </row>
    <row r="1271" spans="1:22" x14ac:dyDescent="0.25">
      <c r="A1271" s="3">
        <v>44775</v>
      </c>
      <c r="B1271" s="4">
        <v>0.55350694444444448</v>
      </c>
      <c r="C1271" s="1">
        <v>1473</v>
      </c>
      <c r="D1271" s="1">
        <v>13002581</v>
      </c>
      <c r="E1271" s="1">
        <v>13</v>
      </c>
      <c r="F1271" s="1">
        <v>22589</v>
      </c>
      <c r="G1271" s="1" t="s">
        <v>21</v>
      </c>
      <c r="H1271" s="1">
        <v>15</v>
      </c>
      <c r="I1271" s="1">
        <v>340852</v>
      </c>
      <c r="J1271" s="14" t="s">
        <v>479</v>
      </c>
      <c r="K1271" s="1" t="s">
        <v>29</v>
      </c>
      <c r="L1271" s="1" t="s">
        <v>436</v>
      </c>
      <c r="M1271" s="14">
        <v>1</v>
      </c>
      <c r="N1271" s="2">
        <v>712.51</v>
      </c>
      <c r="O1271" s="16">
        <v>920</v>
      </c>
      <c r="P1271" s="14">
        <v>64</v>
      </c>
      <c r="Q1271" s="14">
        <f t="shared" si="19"/>
        <v>856</v>
      </c>
      <c r="R1271" s="1">
        <v>9</v>
      </c>
      <c r="S1271" s="1">
        <v>200010026827</v>
      </c>
      <c r="T1271" s="1">
        <v>29</v>
      </c>
      <c r="U1271" s="1">
        <v>1</v>
      </c>
      <c r="V1271" s="1">
        <v>2</v>
      </c>
    </row>
    <row r="1272" spans="1:22" x14ac:dyDescent="0.25">
      <c r="A1272" s="3">
        <v>44774</v>
      </c>
      <c r="B1272" s="4">
        <v>0.69142361111111106</v>
      </c>
      <c r="C1272" s="1">
        <v>1375</v>
      </c>
      <c r="D1272" s="1">
        <v>13002561</v>
      </c>
      <c r="E1272" s="1">
        <v>13</v>
      </c>
      <c r="F1272" s="1">
        <v>22589</v>
      </c>
      <c r="G1272" s="1" t="s">
        <v>21</v>
      </c>
      <c r="H1272" s="1">
        <v>15</v>
      </c>
      <c r="I1272" s="1">
        <v>340851</v>
      </c>
      <c r="J1272" s="14" t="s">
        <v>375</v>
      </c>
      <c r="K1272" s="1" t="s">
        <v>23</v>
      </c>
      <c r="L1272" s="1" t="s">
        <v>276</v>
      </c>
      <c r="M1272" s="14">
        <v>1</v>
      </c>
      <c r="N1272" s="2">
        <v>856.42</v>
      </c>
      <c r="O1272" s="16">
        <v>1105</v>
      </c>
      <c r="P1272" s="14">
        <v>77</v>
      </c>
      <c r="Q1272" s="14">
        <f t="shared" si="19"/>
        <v>1028</v>
      </c>
      <c r="R1272" s="1">
        <v>9</v>
      </c>
      <c r="S1272" s="1">
        <v>200010015179</v>
      </c>
      <c r="T1272" s="1">
        <v>29</v>
      </c>
      <c r="U1272" s="1">
        <v>1</v>
      </c>
      <c r="V1272" s="1">
        <v>1</v>
      </c>
    </row>
    <row r="1273" spans="1:22" x14ac:dyDescent="0.25">
      <c r="A1273" s="3">
        <v>44776</v>
      </c>
      <c r="B1273" s="4">
        <v>0.57721064814814815</v>
      </c>
      <c r="C1273" s="1">
        <v>1605</v>
      </c>
      <c r="D1273" s="1">
        <v>13002595</v>
      </c>
      <c r="E1273" s="1">
        <v>13</v>
      </c>
      <c r="F1273" s="1">
        <v>22589</v>
      </c>
      <c r="G1273" s="1" t="s">
        <v>21</v>
      </c>
      <c r="H1273" s="1">
        <v>18</v>
      </c>
      <c r="I1273" s="1">
        <v>1261</v>
      </c>
      <c r="J1273" s="14" t="s">
        <v>846</v>
      </c>
      <c r="K1273" s="1" t="s">
        <v>51</v>
      </c>
      <c r="L1273" s="1" t="s">
        <v>297</v>
      </c>
      <c r="M1273" s="14">
        <v>1</v>
      </c>
      <c r="N1273" s="2">
        <v>67.510000000000005</v>
      </c>
      <c r="O1273" s="16">
        <v>84</v>
      </c>
      <c r="P1273" s="14">
        <v>0</v>
      </c>
      <c r="Q1273" s="14">
        <f t="shared" si="19"/>
        <v>84</v>
      </c>
      <c r="R1273" s="1" t="s">
        <v>25</v>
      </c>
      <c r="S1273" s="1" t="s">
        <v>25</v>
      </c>
      <c r="T1273" s="1">
        <v>29</v>
      </c>
      <c r="U1273" s="1">
        <v>1</v>
      </c>
      <c r="V1273" s="1">
        <v>5</v>
      </c>
    </row>
    <row r="1274" spans="1:22" x14ac:dyDescent="0.25">
      <c r="A1274" s="3">
        <v>44776</v>
      </c>
      <c r="B1274" s="4">
        <v>0.53886574074074078</v>
      </c>
      <c r="C1274" s="1">
        <v>1590</v>
      </c>
      <c r="D1274" s="1">
        <v>13002595</v>
      </c>
      <c r="E1274" s="1">
        <v>13</v>
      </c>
      <c r="F1274" s="1">
        <v>22589</v>
      </c>
      <c r="G1274" s="1" t="s">
        <v>21</v>
      </c>
      <c r="H1274" s="1">
        <v>18</v>
      </c>
      <c r="I1274" s="1">
        <v>446025</v>
      </c>
      <c r="J1274" s="14" t="s">
        <v>818</v>
      </c>
      <c r="K1274" s="1" t="s">
        <v>23</v>
      </c>
      <c r="L1274" s="1" t="s">
        <v>104</v>
      </c>
      <c r="M1274" s="14">
        <v>1</v>
      </c>
      <c r="N1274" s="2">
        <v>38.97</v>
      </c>
      <c r="O1274" s="16">
        <v>47</v>
      </c>
      <c r="P1274" s="14">
        <v>3</v>
      </c>
      <c r="Q1274" s="14">
        <f t="shared" si="19"/>
        <v>44</v>
      </c>
      <c r="R1274" s="1">
        <v>9</v>
      </c>
      <c r="S1274" s="1">
        <v>200010022559</v>
      </c>
      <c r="T1274" s="1">
        <v>29</v>
      </c>
      <c r="U1274" s="1">
        <v>1</v>
      </c>
      <c r="V1274" s="1">
        <v>2</v>
      </c>
    </row>
    <row r="1275" spans="1:22" x14ac:dyDescent="0.25">
      <c r="A1275" s="3">
        <v>44774</v>
      </c>
      <c r="B1275" s="4">
        <v>0.57201388888888893</v>
      </c>
      <c r="C1275" s="1">
        <v>1347</v>
      </c>
      <c r="D1275" s="1">
        <v>13002561</v>
      </c>
      <c r="E1275" s="1">
        <v>13</v>
      </c>
      <c r="F1275" s="1">
        <v>22589</v>
      </c>
      <c r="G1275" s="1" t="s">
        <v>21</v>
      </c>
      <c r="H1275" s="1">
        <v>15</v>
      </c>
      <c r="I1275" s="1">
        <v>9594</v>
      </c>
      <c r="J1275" s="14" t="s">
        <v>302</v>
      </c>
      <c r="K1275" s="1" t="s">
        <v>23</v>
      </c>
      <c r="L1275" s="1" t="s">
        <v>303</v>
      </c>
      <c r="M1275" s="14">
        <v>1</v>
      </c>
      <c r="N1275" s="2">
        <v>62.12</v>
      </c>
      <c r="O1275" s="16">
        <v>75</v>
      </c>
      <c r="P1275" s="14">
        <v>5</v>
      </c>
      <c r="Q1275" s="14">
        <f t="shared" si="19"/>
        <v>70</v>
      </c>
      <c r="R1275" s="1">
        <v>9</v>
      </c>
      <c r="S1275" s="1">
        <v>200010020116</v>
      </c>
      <c r="T1275" s="1">
        <v>29</v>
      </c>
      <c r="U1275" s="1">
        <v>1</v>
      </c>
      <c r="V1275" s="1">
        <v>1</v>
      </c>
    </row>
    <row r="1276" spans="1:22" x14ac:dyDescent="0.25">
      <c r="A1276" s="3">
        <v>44774</v>
      </c>
      <c r="B1276" s="4">
        <v>0.57201388888888893</v>
      </c>
      <c r="C1276" s="1">
        <v>1347</v>
      </c>
      <c r="D1276" s="1">
        <v>13002561</v>
      </c>
      <c r="E1276" s="1">
        <v>13</v>
      </c>
      <c r="F1276" s="1">
        <v>22589</v>
      </c>
      <c r="G1276" s="1" t="s">
        <v>21</v>
      </c>
      <c r="H1276" s="1">
        <v>15</v>
      </c>
      <c r="I1276" s="1">
        <v>9594</v>
      </c>
      <c r="J1276" s="14" t="s">
        <v>302</v>
      </c>
      <c r="K1276" s="1" t="s">
        <v>23</v>
      </c>
      <c r="L1276" s="1" t="s">
        <v>303</v>
      </c>
      <c r="M1276" s="14">
        <v>1</v>
      </c>
      <c r="N1276" s="2">
        <v>62.12</v>
      </c>
      <c r="O1276" s="16">
        <v>75</v>
      </c>
      <c r="P1276" s="14">
        <v>5</v>
      </c>
      <c r="Q1276" s="14">
        <f t="shared" si="19"/>
        <v>70</v>
      </c>
      <c r="R1276" s="1">
        <v>9</v>
      </c>
      <c r="S1276" s="1">
        <v>200010020116</v>
      </c>
      <c r="T1276" s="1">
        <v>29</v>
      </c>
      <c r="U1276" s="1">
        <v>1</v>
      </c>
      <c r="V1276" s="1">
        <v>2</v>
      </c>
    </row>
    <row r="1277" spans="1:22" x14ac:dyDescent="0.25">
      <c r="A1277" s="3">
        <v>44775</v>
      </c>
      <c r="B1277" s="4">
        <v>0.43678240740740742</v>
      </c>
      <c r="C1277" s="1">
        <v>1433</v>
      </c>
      <c r="D1277" s="1">
        <v>13002581</v>
      </c>
      <c r="E1277" s="1">
        <v>13</v>
      </c>
      <c r="F1277" s="1">
        <v>22589</v>
      </c>
      <c r="G1277" s="1" t="s">
        <v>21</v>
      </c>
      <c r="H1277" s="1">
        <v>15</v>
      </c>
      <c r="I1277" s="1">
        <v>9594</v>
      </c>
      <c r="J1277" s="14" t="s">
        <v>302</v>
      </c>
      <c r="K1277" s="1" t="s">
        <v>23</v>
      </c>
      <c r="L1277" s="1" t="s">
        <v>303</v>
      </c>
      <c r="M1277" s="14">
        <v>1</v>
      </c>
      <c r="N1277" s="2">
        <v>62.12</v>
      </c>
      <c r="O1277" s="16">
        <v>75</v>
      </c>
      <c r="P1277" s="14">
        <v>5</v>
      </c>
      <c r="Q1277" s="14">
        <f t="shared" si="19"/>
        <v>70</v>
      </c>
      <c r="R1277" s="1">
        <v>9</v>
      </c>
      <c r="S1277" s="1">
        <v>200010002062</v>
      </c>
      <c r="T1277" s="1">
        <v>29</v>
      </c>
      <c r="U1277" s="1">
        <v>1</v>
      </c>
      <c r="V1277" s="1">
        <v>4</v>
      </c>
    </row>
    <row r="1278" spans="1:22" x14ac:dyDescent="0.25">
      <c r="A1278" s="3">
        <v>44775</v>
      </c>
      <c r="B1278" s="4">
        <v>0.52342592592592596</v>
      </c>
      <c r="C1278" s="1">
        <v>1463</v>
      </c>
      <c r="D1278" s="1">
        <v>13002581</v>
      </c>
      <c r="E1278" s="1">
        <v>13</v>
      </c>
      <c r="F1278" s="1">
        <v>22589</v>
      </c>
      <c r="G1278" s="1" t="s">
        <v>21</v>
      </c>
      <c r="H1278" s="1">
        <v>18</v>
      </c>
      <c r="I1278" s="1">
        <v>9594</v>
      </c>
      <c r="J1278" s="14" t="s">
        <v>302</v>
      </c>
      <c r="K1278" s="1" t="s">
        <v>23</v>
      </c>
      <c r="L1278" s="1" t="s">
        <v>303</v>
      </c>
      <c r="M1278" s="14">
        <v>1</v>
      </c>
      <c r="N1278" s="2">
        <v>61.61</v>
      </c>
      <c r="O1278" s="16">
        <v>74</v>
      </c>
      <c r="P1278" s="14">
        <v>5</v>
      </c>
      <c r="Q1278" s="14">
        <f t="shared" si="19"/>
        <v>69</v>
      </c>
      <c r="R1278" s="1">
        <v>9</v>
      </c>
      <c r="S1278" s="1">
        <v>200010000964</v>
      </c>
      <c r="T1278" s="1">
        <v>29</v>
      </c>
      <c r="U1278" s="1">
        <v>1</v>
      </c>
      <c r="V1278" s="1">
        <v>3</v>
      </c>
    </row>
    <row r="1279" spans="1:22" x14ac:dyDescent="0.25">
      <c r="A1279" s="3">
        <v>44775</v>
      </c>
      <c r="B1279" s="4">
        <v>0.52342592592592596</v>
      </c>
      <c r="C1279" s="1">
        <v>1463</v>
      </c>
      <c r="D1279" s="1">
        <v>13002581</v>
      </c>
      <c r="E1279" s="1">
        <v>13</v>
      </c>
      <c r="F1279" s="1">
        <v>22589</v>
      </c>
      <c r="G1279" s="1" t="s">
        <v>21</v>
      </c>
      <c r="H1279" s="1">
        <v>18</v>
      </c>
      <c r="I1279" s="1">
        <v>9594</v>
      </c>
      <c r="J1279" s="14" t="s">
        <v>302</v>
      </c>
      <c r="K1279" s="1" t="s">
        <v>23</v>
      </c>
      <c r="L1279" s="1" t="s">
        <v>303</v>
      </c>
      <c r="M1279" s="14">
        <v>1</v>
      </c>
      <c r="N1279" s="2">
        <v>61.61</v>
      </c>
      <c r="O1279" s="16">
        <v>74</v>
      </c>
      <c r="P1279" s="14">
        <v>5</v>
      </c>
      <c r="Q1279" s="14">
        <f t="shared" si="19"/>
        <v>69</v>
      </c>
      <c r="R1279" s="1">
        <v>9</v>
      </c>
      <c r="S1279" s="1">
        <v>200010000964</v>
      </c>
      <c r="T1279" s="1">
        <v>29</v>
      </c>
      <c r="U1279" s="1">
        <v>1</v>
      </c>
      <c r="V1279" s="1">
        <v>4</v>
      </c>
    </row>
    <row r="1280" spans="1:22" x14ac:dyDescent="0.25">
      <c r="A1280" s="3">
        <v>44776</v>
      </c>
      <c r="B1280" s="4">
        <v>0.53886574074074078</v>
      </c>
      <c r="C1280" s="1">
        <v>1590</v>
      </c>
      <c r="D1280" s="1">
        <v>13002595</v>
      </c>
      <c r="E1280" s="1">
        <v>13</v>
      </c>
      <c r="F1280" s="1">
        <v>22589</v>
      </c>
      <c r="G1280" s="1" t="s">
        <v>21</v>
      </c>
      <c r="H1280" s="1">
        <v>18</v>
      </c>
      <c r="I1280" s="1">
        <v>9594</v>
      </c>
      <c r="J1280" s="14" t="s">
        <v>302</v>
      </c>
      <c r="K1280" s="1" t="s">
        <v>23</v>
      </c>
      <c r="L1280" s="1" t="s">
        <v>303</v>
      </c>
      <c r="M1280" s="14">
        <v>1</v>
      </c>
      <c r="N1280" s="2">
        <v>61.61</v>
      </c>
      <c r="O1280" s="16">
        <v>74</v>
      </c>
      <c r="P1280" s="14">
        <v>5</v>
      </c>
      <c r="Q1280" s="14">
        <f t="shared" si="19"/>
        <v>69</v>
      </c>
      <c r="R1280" s="1">
        <v>9</v>
      </c>
      <c r="S1280" s="1">
        <v>200010022559</v>
      </c>
      <c r="T1280" s="1">
        <v>29</v>
      </c>
      <c r="U1280" s="1">
        <v>1</v>
      </c>
      <c r="V1280" s="1">
        <v>3</v>
      </c>
    </row>
    <row r="1281" spans="1:22" x14ac:dyDescent="0.25">
      <c r="A1281" s="3">
        <v>44776</v>
      </c>
      <c r="B1281" s="4">
        <v>0.53950231481481481</v>
      </c>
      <c r="C1281" s="1">
        <v>1591</v>
      </c>
      <c r="D1281" s="1">
        <v>13002595</v>
      </c>
      <c r="E1281" s="1">
        <v>13</v>
      </c>
      <c r="F1281" s="1">
        <v>22589</v>
      </c>
      <c r="G1281" s="1" t="s">
        <v>21</v>
      </c>
      <c r="H1281" s="1">
        <v>18</v>
      </c>
      <c r="I1281" s="1">
        <v>20089</v>
      </c>
      <c r="J1281" s="14" t="s">
        <v>820</v>
      </c>
      <c r="K1281" s="1" t="s">
        <v>23</v>
      </c>
      <c r="L1281" s="1" t="s">
        <v>303</v>
      </c>
      <c r="M1281" s="14">
        <v>1</v>
      </c>
      <c r="N1281" s="2">
        <v>412.55</v>
      </c>
      <c r="O1281" s="16">
        <v>545</v>
      </c>
      <c r="P1281" s="14">
        <v>38</v>
      </c>
      <c r="Q1281" s="14">
        <f t="shared" si="19"/>
        <v>507</v>
      </c>
      <c r="R1281" s="1">
        <v>9</v>
      </c>
      <c r="S1281" s="1">
        <v>200010022559</v>
      </c>
      <c r="T1281" s="1">
        <v>29</v>
      </c>
      <c r="U1281" s="1">
        <v>1</v>
      </c>
      <c r="V1281" s="1">
        <v>1</v>
      </c>
    </row>
    <row r="1282" spans="1:22" x14ac:dyDescent="0.25">
      <c r="A1282" s="3">
        <v>44774</v>
      </c>
      <c r="B1282" s="4">
        <v>0.69579861111111108</v>
      </c>
      <c r="C1282" s="1">
        <v>1378</v>
      </c>
      <c r="D1282" s="1">
        <v>13002561</v>
      </c>
      <c r="E1282" s="1">
        <v>13</v>
      </c>
      <c r="F1282" s="1">
        <v>22589</v>
      </c>
      <c r="G1282" s="1" t="s">
        <v>21</v>
      </c>
      <c r="H1282" s="1">
        <v>15</v>
      </c>
      <c r="I1282" s="1">
        <v>111178</v>
      </c>
      <c r="J1282" s="14" t="s">
        <v>380</v>
      </c>
      <c r="K1282" s="1" t="s">
        <v>51</v>
      </c>
      <c r="L1282" s="1" t="s">
        <v>297</v>
      </c>
      <c r="M1282" s="14">
        <v>1</v>
      </c>
      <c r="N1282" s="2">
        <v>35.78</v>
      </c>
      <c r="O1282" s="16">
        <v>44</v>
      </c>
      <c r="P1282" s="14">
        <v>2</v>
      </c>
      <c r="Q1282" s="14">
        <f t="shared" ref="Q1282:Q1345" si="20">M1282*O1282-P1282</f>
        <v>42</v>
      </c>
      <c r="R1282" s="1">
        <v>9</v>
      </c>
      <c r="S1282" s="1">
        <v>200010000750</v>
      </c>
      <c r="T1282" s="1">
        <v>29</v>
      </c>
      <c r="U1282" s="1">
        <v>1</v>
      </c>
      <c r="V1282" s="1">
        <v>5</v>
      </c>
    </row>
    <row r="1283" spans="1:22" x14ac:dyDescent="0.25">
      <c r="A1283" s="3">
        <v>44774</v>
      </c>
      <c r="B1283" s="4">
        <v>0.69579861111111108</v>
      </c>
      <c r="C1283" s="1">
        <v>1378</v>
      </c>
      <c r="D1283" s="1">
        <v>13002561</v>
      </c>
      <c r="E1283" s="1">
        <v>13</v>
      </c>
      <c r="F1283" s="1">
        <v>22589</v>
      </c>
      <c r="G1283" s="1" t="s">
        <v>21</v>
      </c>
      <c r="H1283" s="1">
        <v>15</v>
      </c>
      <c r="I1283" s="1">
        <v>111178</v>
      </c>
      <c r="J1283" s="14" t="s">
        <v>380</v>
      </c>
      <c r="K1283" s="1" t="s">
        <v>51</v>
      </c>
      <c r="L1283" s="1" t="s">
        <v>297</v>
      </c>
      <c r="M1283" s="14">
        <v>1</v>
      </c>
      <c r="N1283" s="2">
        <v>35.78</v>
      </c>
      <c r="O1283" s="16">
        <v>44</v>
      </c>
      <c r="P1283" s="14">
        <v>2</v>
      </c>
      <c r="Q1283" s="14">
        <f t="shared" si="20"/>
        <v>42</v>
      </c>
      <c r="R1283" s="1">
        <v>9</v>
      </c>
      <c r="S1283" s="1">
        <v>200010000750</v>
      </c>
      <c r="T1283" s="1">
        <v>29</v>
      </c>
      <c r="U1283" s="1">
        <v>1</v>
      </c>
      <c r="V1283" s="1">
        <v>6</v>
      </c>
    </row>
    <row r="1284" spans="1:22" x14ac:dyDescent="0.25">
      <c r="A1284" s="3">
        <v>44774</v>
      </c>
      <c r="B1284" s="4">
        <v>0.67701388888888892</v>
      </c>
      <c r="C1284" s="1">
        <v>1371</v>
      </c>
      <c r="D1284" s="1">
        <v>13002561</v>
      </c>
      <c r="E1284" s="1">
        <v>13</v>
      </c>
      <c r="F1284" s="1">
        <v>22589</v>
      </c>
      <c r="G1284" s="1" t="s">
        <v>21</v>
      </c>
      <c r="H1284" s="1">
        <v>15</v>
      </c>
      <c r="I1284" s="1">
        <v>354089</v>
      </c>
      <c r="J1284" s="14" t="s">
        <v>369</v>
      </c>
      <c r="K1284" s="1" t="s">
        <v>23</v>
      </c>
      <c r="L1284" s="1" t="s">
        <v>76</v>
      </c>
      <c r="M1284" s="14">
        <v>1</v>
      </c>
      <c r="N1284" s="2">
        <v>39.47</v>
      </c>
      <c r="O1284" s="16">
        <v>60</v>
      </c>
      <c r="P1284" s="14">
        <v>4</v>
      </c>
      <c r="Q1284" s="14">
        <f t="shared" si="20"/>
        <v>56</v>
      </c>
      <c r="R1284" s="1">
        <v>9</v>
      </c>
      <c r="S1284" s="1">
        <v>200010022477</v>
      </c>
      <c r="T1284" s="1">
        <v>29</v>
      </c>
      <c r="U1284" s="1">
        <v>1</v>
      </c>
      <c r="V1284" s="1">
        <v>3</v>
      </c>
    </row>
    <row r="1285" spans="1:22" x14ac:dyDescent="0.25">
      <c r="A1285" s="3">
        <v>44774</v>
      </c>
      <c r="B1285" s="4">
        <v>0.76443287037037033</v>
      </c>
      <c r="C1285" s="1">
        <v>1397</v>
      </c>
      <c r="D1285" s="1">
        <v>13002561</v>
      </c>
      <c r="E1285" s="1">
        <v>13</v>
      </c>
      <c r="F1285" s="1">
        <v>22589</v>
      </c>
      <c r="G1285" s="1" t="s">
        <v>21</v>
      </c>
      <c r="H1285" s="1">
        <v>15</v>
      </c>
      <c r="I1285" s="1">
        <v>354089</v>
      </c>
      <c r="J1285" s="14" t="s">
        <v>369</v>
      </c>
      <c r="K1285" s="1" t="s">
        <v>23</v>
      </c>
      <c r="L1285" s="1" t="s">
        <v>76</v>
      </c>
      <c r="M1285" s="14">
        <v>1</v>
      </c>
      <c r="N1285" s="2">
        <v>39.47</v>
      </c>
      <c r="O1285" s="16">
        <v>60</v>
      </c>
      <c r="P1285" s="14">
        <v>4</v>
      </c>
      <c r="Q1285" s="14">
        <f t="shared" si="20"/>
        <v>56</v>
      </c>
      <c r="R1285" s="1">
        <v>9</v>
      </c>
      <c r="S1285" s="1">
        <v>200010016460</v>
      </c>
      <c r="T1285" s="1">
        <v>29</v>
      </c>
      <c r="U1285" s="1">
        <v>1</v>
      </c>
      <c r="V1285" s="1">
        <v>2</v>
      </c>
    </row>
    <row r="1286" spans="1:22" x14ac:dyDescent="0.25">
      <c r="A1286" s="3">
        <v>44775</v>
      </c>
      <c r="B1286" s="4">
        <v>0.49800925925925926</v>
      </c>
      <c r="C1286" s="1">
        <v>1454</v>
      </c>
      <c r="D1286" s="1">
        <v>13002581</v>
      </c>
      <c r="E1286" s="1">
        <v>13</v>
      </c>
      <c r="F1286" s="1">
        <v>22589</v>
      </c>
      <c r="G1286" s="1" t="s">
        <v>21</v>
      </c>
      <c r="H1286" s="1">
        <v>15</v>
      </c>
      <c r="I1286" s="1">
        <v>354089</v>
      </c>
      <c r="J1286" s="14" t="s">
        <v>369</v>
      </c>
      <c r="K1286" s="1" t="s">
        <v>23</v>
      </c>
      <c r="L1286" s="1" t="s">
        <v>76</v>
      </c>
      <c r="M1286" s="14">
        <v>1</v>
      </c>
      <c r="N1286" s="2">
        <v>39.47</v>
      </c>
      <c r="O1286" s="16">
        <v>60</v>
      </c>
      <c r="P1286" s="14">
        <v>4</v>
      </c>
      <c r="Q1286" s="14">
        <f t="shared" si="20"/>
        <v>56</v>
      </c>
      <c r="R1286" s="1">
        <v>9</v>
      </c>
      <c r="S1286" s="1">
        <v>200010000733</v>
      </c>
      <c r="T1286" s="1">
        <v>29</v>
      </c>
      <c r="U1286" s="1">
        <v>1</v>
      </c>
      <c r="V1286" s="1">
        <v>4</v>
      </c>
    </row>
    <row r="1287" spans="1:22" x14ac:dyDescent="0.25">
      <c r="A1287" s="3">
        <v>44775</v>
      </c>
      <c r="B1287" s="4">
        <v>0.58399305555555558</v>
      </c>
      <c r="C1287" s="1">
        <v>1479</v>
      </c>
      <c r="D1287" s="1">
        <v>13002581</v>
      </c>
      <c r="E1287" s="1">
        <v>13</v>
      </c>
      <c r="F1287" s="1">
        <v>22589</v>
      </c>
      <c r="G1287" s="1" t="s">
        <v>21</v>
      </c>
      <c r="H1287" s="1">
        <v>18</v>
      </c>
      <c r="I1287" s="1">
        <v>354089</v>
      </c>
      <c r="J1287" s="14" t="s">
        <v>369</v>
      </c>
      <c r="K1287" s="1" t="s">
        <v>23</v>
      </c>
      <c r="L1287" s="1" t="s">
        <v>76</v>
      </c>
      <c r="M1287" s="14">
        <v>1</v>
      </c>
      <c r="N1287" s="2">
        <v>39.47</v>
      </c>
      <c r="O1287" s="16">
        <v>60</v>
      </c>
      <c r="P1287" s="14">
        <v>0</v>
      </c>
      <c r="Q1287" s="14">
        <f t="shared" si="20"/>
        <v>60</v>
      </c>
      <c r="R1287" s="1" t="s">
        <v>25</v>
      </c>
      <c r="S1287" s="1" t="s">
        <v>25</v>
      </c>
      <c r="T1287" s="1">
        <v>29</v>
      </c>
      <c r="U1287" s="1">
        <v>1</v>
      </c>
      <c r="V1287" s="1">
        <v>3</v>
      </c>
    </row>
    <row r="1288" spans="1:22" x14ac:dyDescent="0.25">
      <c r="A1288" s="3">
        <v>44776</v>
      </c>
      <c r="B1288" s="4">
        <v>0.72820601851851852</v>
      </c>
      <c r="C1288" s="1">
        <v>1634</v>
      </c>
      <c r="D1288" s="1">
        <v>13002595</v>
      </c>
      <c r="E1288" s="1">
        <v>13</v>
      </c>
      <c r="F1288" s="1">
        <v>22589</v>
      </c>
      <c r="G1288" s="1" t="s">
        <v>21</v>
      </c>
      <c r="H1288" s="1">
        <v>18</v>
      </c>
      <c r="I1288" s="1">
        <v>354089</v>
      </c>
      <c r="J1288" s="14" t="s">
        <v>369</v>
      </c>
      <c r="K1288" s="1" t="s">
        <v>29</v>
      </c>
      <c r="L1288" s="1" t="s">
        <v>335</v>
      </c>
      <c r="M1288" s="14">
        <v>1</v>
      </c>
      <c r="N1288" s="2">
        <v>39.369999999999997</v>
      </c>
      <c r="O1288" s="16">
        <v>60</v>
      </c>
      <c r="P1288" s="14">
        <v>0</v>
      </c>
      <c r="Q1288" s="14">
        <f t="shared" si="20"/>
        <v>60</v>
      </c>
      <c r="R1288" s="1" t="s">
        <v>25</v>
      </c>
      <c r="S1288" s="1" t="s">
        <v>25</v>
      </c>
      <c r="T1288" s="1">
        <v>29</v>
      </c>
      <c r="U1288" s="1">
        <v>1</v>
      </c>
      <c r="V1288" s="1">
        <v>1</v>
      </c>
    </row>
    <row r="1289" spans="1:22" x14ac:dyDescent="0.25">
      <c r="A1289" s="3">
        <v>44777</v>
      </c>
      <c r="B1289" s="4">
        <v>0.46325231481481483</v>
      </c>
      <c r="C1289" s="1">
        <v>1678</v>
      </c>
      <c r="D1289" s="1">
        <v>13002606</v>
      </c>
      <c r="E1289" s="1">
        <v>13</v>
      </c>
      <c r="F1289" s="1">
        <v>22589</v>
      </c>
      <c r="G1289" s="1" t="s">
        <v>21</v>
      </c>
      <c r="H1289" s="1">
        <v>18</v>
      </c>
      <c r="I1289" s="1">
        <v>354089</v>
      </c>
      <c r="J1289" s="14" t="s">
        <v>369</v>
      </c>
      <c r="K1289" s="1" t="s">
        <v>29</v>
      </c>
      <c r="L1289" s="1" t="s">
        <v>335</v>
      </c>
      <c r="M1289" s="14">
        <v>1</v>
      </c>
      <c r="N1289" s="2">
        <v>39.369999999999997</v>
      </c>
      <c r="O1289" s="16">
        <v>60</v>
      </c>
      <c r="P1289" s="14">
        <v>0</v>
      </c>
      <c r="Q1289" s="14">
        <f t="shared" si="20"/>
        <v>60</v>
      </c>
      <c r="R1289" s="1" t="s">
        <v>25</v>
      </c>
      <c r="S1289" s="1" t="s">
        <v>25</v>
      </c>
      <c r="T1289" s="1">
        <v>50</v>
      </c>
      <c r="U1289" s="1">
        <v>1</v>
      </c>
      <c r="V1289" s="1">
        <v>3</v>
      </c>
    </row>
    <row r="1290" spans="1:22" x14ac:dyDescent="0.25">
      <c r="A1290" s="3">
        <v>44778</v>
      </c>
      <c r="B1290" s="4">
        <v>0.40113425925925927</v>
      </c>
      <c r="C1290" s="1">
        <v>1802</v>
      </c>
      <c r="D1290" s="1">
        <v>13002616</v>
      </c>
      <c r="E1290" s="1">
        <v>13</v>
      </c>
      <c r="F1290" s="1">
        <v>22589</v>
      </c>
      <c r="G1290" s="1" t="s">
        <v>21</v>
      </c>
      <c r="H1290" s="1">
        <v>18</v>
      </c>
      <c r="I1290" s="1">
        <v>354089</v>
      </c>
      <c r="J1290" s="14" t="s">
        <v>369</v>
      </c>
      <c r="K1290" s="1" t="s">
        <v>29</v>
      </c>
      <c r="L1290" s="1" t="s">
        <v>335</v>
      </c>
      <c r="M1290" s="14">
        <v>1</v>
      </c>
      <c r="N1290" s="2">
        <v>39.369999999999997</v>
      </c>
      <c r="O1290" s="16">
        <v>60</v>
      </c>
      <c r="P1290" s="14">
        <v>4</v>
      </c>
      <c r="Q1290" s="14">
        <f t="shared" si="20"/>
        <v>56</v>
      </c>
      <c r="R1290" s="1">
        <v>9</v>
      </c>
      <c r="S1290" s="1">
        <v>200010022555</v>
      </c>
      <c r="T1290" s="1">
        <v>50</v>
      </c>
      <c r="U1290" s="1">
        <v>1</v>
      </c>
      <c r="V1290" s="1">
        <v>1</v>
      </c>
    </row>
    <row r="1291" spans="1:22" x14ac:dyDescent="0.25">
      <c r="A1291" s="3">
        <v>44778</v>
      </c>
      <c r="B1291" s="4">
        <v>0.41776620370370371</v>
      </c>
      <c r="C1291" s="1">
        <v>1810</v>
      </c>
      <c r="D1291" s="1">
        <v>13002616</v>
      </c>
      <c r="E1291" s="1">
        <v>13</v>
      </c>
      <c r="F1291" s="1">
        <v>22589</v>
      </c>
      <c r="G1291" s="1" t="s">
        <v>21</v>
      </c>
      <c r="H1291" s="1">
        <v>15</v>
      </c>
      <c r="I1291" s="1">
        <v>354089</v>
      </c>
      <c r="J1291" s="14" t="s">
        <v>369</v>
      </c>
      <c r="K1291" s="1" t="s">
        <v>29</v>
      </c>
      <c r="L1291" s="1" t="s">
        <v>335</v>
      </c>
      <c r="M1291" s="14">
        <v>1</v>
      </c>
      <c r="N1291" s="2">
        <v>39.369999999999997</v>
      </c>
      <c r="O1291" s="16">
        <v>60</v>
      </c>
      <c r="P1291" s="14">
        <v>4</v>
      </c>
      <c r="Q1291" s="14">
        <f t="shared" si="20"/>
        <v>56</v>
      </c>
      <c r="R1291" s="1">
        <v>9</v>
      </c>
      <c r="S1291" s="1">
        <v>200010002070</v>
      </c>
      <c r="T1291" s="1">
        <v>50</v>
      </c>
      <c r="U1291" s="1">
        <v>1</v>
      </c>
      <c r="V1291" s="1">
        <v>2</v>
      </c>
    </row>
    <row r="1292" spans="1:22" x14ac:dyDescent="0.25">
      <c r="A1292" s="3">
        <v>44778</v>
      </c>
      <c r="B1292" s="4">
        <v>0.44091435185185185</v>
      </c>
      <c r="C1292" s="1">
        <v>1816</v>
      </c>
      <c r="D1292" s="1">
        <v>13002616</v>
      </c>
      <c r="E1292" s="1">
        <v>13</v>
      </c>
      <c r="F1292" s="1">
        <v>22589</v>
      </c>
      <c r="G1292" s="1" t="s">
        <v>21</v>
      </c>
      <c r="H1292" s="1">
        <v>15</v>
      </c>
      <c r="I1292" s="1">
        <v>354089</v>
      </c>
      <c r="J1292" s="14" t="s">
        <v>369</v>
      </c>
      <c r="K1292" s="1" t="s">
        <v>29</v>
      </c>
      <c r="L1292" s="1" t="s">
        <v>335</v>
      </c>
      <c r="M1292" s="14">
        <v>1</v>
      </c>
      <c r="N1292" s="2">
        <v>39.369999999999997</v>
      </c>
      <c r="O1292" s="16">
        <v>60</v>
      </c>
      <c r="P1292" s="14">
        <v>0</v>
      </c>
      <c r="Q1292" s="14">
        <f t="shared" si="20"/>
        <v>60</v>
      </c>
      <c r="R1292" s="1" t="s">
        <v>25</v>
      </c>
      <c r="S1292" s="1" t="s">
        <v>25</v>
      </c>
      <c r="T1292" s="1">
        <v>50</v>
      </c>
      <c r="U1292" s="1">
        <v>1</v>
      </c>
      <c r="V1292" s="1">
        <v>2</v>
      </c>
    </row>
    <row r="1293" spans="1:22" x14ac:dyDescent="0.25">
      <c r="A1293" s="3">
        <v>44778</v>
      </c>
      <c r="B1293" s="4">
        <v>0.60637731481481483</v>
      </c>
      <c r="C1293" s="1">
        <v>1856</v>
      </c>
      <c r="D1293" s="1">
        <v>13002616</v>
      </c>
      <c r="E1293" s="1">
        <v>13</v>
      </c>
      <c r="F1293" s="1">
        <v>22589</v>
      </c>
      <c r="G1293" s="1" t="s">
        <v>21</v>
      </c>
      <c r="H1293" s="1">
        <v>18</v>
      </c>
      <c r="I1293" s="1">
        <v>354089</v>
      </c>
      <c r="J1293" s="14" t="s">
        <v>369</v>
      </c>
      <c r="K1293" s="1" t="s">
        <v>29</v>
      </c>
      <c r="L1293" s="1" t="s">
        <v>335</v>
      </c>
      <c r="M1293" s="14">
        <v>1</v>
      </c>
      <c r="N1293" s="2">
        <v>39.369999999999997</v>
      </c>
      <c r="O1293" s="16">
        <v>60</v>
      </c>
      <c r="P1293" s="14">
        <v>0</v>
      </c>
      <c r="Q1293" s="14">
        <f t="shared" si="20"/>
        <v>60</v>
      </c>
      <c r="R1293" s="1" t="s">
        <v>25</v>
      </c>
      <c r="S1293" s="1" t="s">
        <v>25</v>
      </c>
      <c r="T1293" s="1">
        <v>50</v>
      </c>
      <c r="U1293" s="1">
        <v>1</v>
      </c>
      <c r="V1293" s="1">
        <v>1</v>
      </c>
    </row>
    <row r="1294" spans="1:22" x14ac:dyDescent="0.25">
      <c r="A1294" s="3">
        <v>44776</v>
      </c>
      <c r="B1294" s="4">
        <v>0.42416666666666669</v>
      </c>
      <c r="C1294" s="1">
        <v>1550</v>
      </c>
      <c r="D1294" s="1">
        <v>13002595</v>
      </c>
      <c r="E1294" s="1">
        <v>13</v>
      </c>
      <c r="F1294" s="1">
        <v>22589</v>
      </c>
      <c r="G1294" s="1" t="s">
        <v>21</v>
      </c>
      <c r="H1294" s="1">
        <v>18</v>
      </c>
      <c r="I1294" s="1">
        <v>46153</v>
      </c>
      <c r="J1294" s="14" t="s">
        <v>732</v>
      </c>
      <c r="K1294" s="1" t="s">
        <v>29</v>
      </c>
      <c r="L1294" s="1" t="s">
        <v>118</v>
      </c>
      <c r="M1294" s="14">
        <v>1</v>
      </c>
      <c r="N1294" s="2">
        <v>68.13</v>
      </c>
      <c r="O1294" s="16">
        <v>97</v>
      </c>
      <c r="P1294" s="14">
        <v>6</v>
      </c>
      <c r="Q1294" s="14">
        <f t="shared" si="20"/>
        <v>91</v>
      </c>
      <c r="R1294" s="1">
        <v>9</v>
      </c>
      <c r="S1294" s="1">
        <v>200010003369</v>
      </c>
      <c r="T1294" s="1">
        <v>29</v>
      </c>
      <c r="U1294" s="1">
        <v>1</v>
      </c>
      <c r="V1294" s="1">
        <v>1</v>
      </c>
    </row>
    <row r="1295" spans="1:22" x14ac:dyDescent="0.25">
      <c r="A1295" s="3">
        <v>44778</v>
      </c>
      <c r="B1295" s="4">
        <v>0.65452546296296299</v>
      </c>
      <c r="C1295" s="1">
        <v>1869</v>
      </c>
      <c r="D1295" s="1">
        <v>13002616</v>
      </c>
      <c r="E1295" s="1">
        <v>13</v>
      </c>
      <c r="F1295" s="1">
        <v>22589</v>
      </c>
      <c r="G1295" s="1" t="s">
        <v>21</v>
      </c>
      <c r="H1295" s="1">
        <v>18</v>
      </c>
      <c r="I1295" s="1">
        <v>1279</v>
      </c>
      <c r="J1295" s="14" t="s">
        <v>1189</v>
      </c>
      <c r="K1295" s="1" t="s">
        <v>23</v>
      </c>
      <c r="L1295" s="1" t="s">
        <v>1190</v>
      </c>
      <c r="M1295" s="14">
        <v>1</v>
      </c>
      <c r="N1295" s="2">
        <v>378.31</v>
      </c>
      <c r="O1295" s="16">
        <v>500</v>
      </c>
      <c r="P1295" s="14">
        <v>0</v>
      </c>
      <c r="Q1295" s="14">
        <f t="shared" si="20"/>
        <v>500</v>
      </c>
      <c r="R1295" s="1" t="s">
        <v>25</v>
      </c>
      <c r="S1295" s="1" t="s">
        <v>25</v>
      </c>
      <c r="T1295" s="1">
        <v>50</v>
      </c>
      <c r="U1295" s="1">
        <v>1</v>
      </c>
      <c r="V1295" s="1">
        <v>2</v>
      </c>
    </row>
    <row r="1296" spans="1:22" x14ac:dyDescent="0.25">
      <c r="A1296" s="3">
        <v>44776</v>
      </c>
      <c r="B1296" s="4">
        <v>0.57721064814814815</v>
      </c>
      <c r="C1296" s="1">
        <v>1605</v>
      </c>
      <c r="D1296" s="1">
        <v>13002595</v>
      </c>
      <c r="E1296" s="1">
        <v>13</v>
      </c>
      <c r="F1296" s="1">
        <v>22589</v>
      </c>
      <c r="G1296" s="1" t="s">
        <v>21</v>
      </c>
      <c r="H1296" s="1">
        <v>18</v>
      </c>
      <c r="I1296" s="1">
        <v>23971</v>
      </c>
      <c r="J1296" s="14" t="s">
        <v>839</v>
      </c>
      <c r="K1296" s="1" t="s">
        <v>51</v>
      </c>
      <c r="L1296" s="1" t="s">
        <v>840</v>
      </c>
      <c r="M1296" s="14">
        <v>1</v>
      </c>
      <c r="N1296" s="2">
        <v>1095.5999999999999</v>
      </c>
      <c r="O1296" s="16">
        <v>1206</v>
      </c>
      <c r="P1296" s="14">
        <v>0</v>
      </c>
      <c r="Q1296" s="14">
        <f t="shared" si="20"/>
        <v>1206</v>
      </c>
      <c r="R1296" s="1" t="s">
        <v>25</v>
      </c>
      <c r="S1296" s="1" t="s">
        <v>25</v>
      </c>
      <c r="T1296" s="1">
        <v>29</v>
      </c>
      <c r="U1296" s="1">
        <v>1</v>
      </c>
      <c r="V1296" s="1">
        <v>6</v>
      </c>
    </row>
    <row r="1297" spans="1:22" x14ac:dyDescent="0.25">
      <c r="A1297" s="3">
        <v>44776</v>
      </c>
      <c r="B1297" s="4">
        <v>0.77318287037037037</v>
      </c>
      <c r="C1297" s="1">
        <v>1645</v>
      </c>
      <c r="D1297" s="1">
        <v>13002595</v>
      </c>
      <c r="E1297" s="1">
        <v>13</v>
      </c>
      <c r="F1297" s="1">
        <v>22589</v>
      </c>
      <c r="G1297" s="1" t="s">
        <v>21</v>
      </c>
      <c r="H1297" s="1">
        <v>18</v>
      </c>
      <c r="I1297" s="1">
        <v>4820</v>
      </c>
      <c r="J1297" s="14" t="s">
        <v>906</v>
      </c>
      <c r="K1297" s="1" t="s">
        <v>29</v>
      </c>
      <c r="L1297" s="1" t="s">
        <v>295</v>
      </c>
      <c r="M1297" s="14">
        <v>1</v>
      </c>
      <c r="N1297" s="2">
        <v>372.97</v>
      </c>
      <c r="O1297" s="16">
        <v>448</v>
      </c>
      <c r="P1297" s="14">
        <v>0</v>
      </c>
      <c r="Q1297" s="14">
        <f t="shared" si="20"/>
        <v>448</v>
      </c>
      <c r="R1297" s="1" t="s">
        <v>25</v>
      </c>
      <c r="S1297" s="1" t="s">
        <v>25</v>
      </c>
      <c r="T1297" s="1">
        <v>29</v>
      </c>
      <c r="U1297" s="1">
        <v>1</v>
      </c>
      <c r="V1297" s="1">
        <v>3</v>
      </c>
    </row>
    <row r="1298" spans="1:22" x14ac:dyDescent="0.25">
      <c r="A1298" s="3">
        <v>44774</v>
      </c>
      <c r="B1298" s="4">
        <v>0.81616898148148154</v>
      </c>
      <c r="C1298" s="1">
        <v>1409</v>
      </c>
      <c r="D1298" s="1">
        <v>13002561</v>
      </c>
      <c r="E1298" s="1">
        <v>13</v>
      </c>
      <c r="F1298" s="1">
        <v>22589</v>
      </c>
      <c r="G1298" s="1" t="s">
        <v>21</v>
      </c>
      <c r="H1298" s="1">
        <v>18</v>
      </c>
      <c r="I1298" s="1">
        <v>6402</v>
      </c>
      <c r="J1298" s="14" t="s">
        <v>468</v>
      </c>
      <c r="K1298" s="1" t="s">
        <v>45</v>
      </c>
      <c r="L1298" s="1" t="s">
        <v>76</v>
      </c>
      <c r="M1298" s="14">
        <v>1</v>
      </c>
      <c r="N1298" s="2">
        <v>18.18</v>
      </c>
      <c r="O1298" s="16">
        <v>30</v>
      </c>
      <c r="P1298" s="14">
        <v>2.83</v>
      </c>
      <c r="Q1298" s="14">
        <f t="shared" si="20"/>
        <v>27.17</v>
      </c>
      <c r="R1298" s="1">
        <v>925</v>
      </c>
      <c r="S1298" s="1">
        <v>200000000492</v>
      </c>
      <c r="T1298" s="1">
        <v>29</v>
      </c>
      <c r="U1298" s="1">
        <v>1</v>
      </c>
      <c r="V1298" s="1">
        <v>2</v>
      </c>
    </row>
    <row r="1299" spans="1:22" x14ac:dyDescent="0.25">
      <c r="A1299" s="3">
        <v>44774</v>
      </c>
      <c r="B1299" s="4">
        <v>0.81616898148148154</v>
      </c>
      <c r="C1299" s="1">
        <v>1409</v>
      </c>
      <c r="D1299" s="1">
        <v>13002561</v>
      </c>
      <c r="E1299" s="1">
        <v>13</v>
      </c>
      <c r="F1299" s="1">
        <v>22589</v>
      </c>
      <c r="G1299" s="1" t="s">
        <v>21</v>
      </c>
      <c r="H1299" s="1">
        <v>18</v>
      </c>
      <c r="I1299" s="1">
        <v>6402</v>
      </c>
      <c r="J1299" s="14" t="s">
        <v>468</v>
      </c>
      <c r="K1299" s="1" t="s">
        <v>45</v>
      </c>
      <c r="L1299" s="1" t="s">
        <v>76</v>
      </c>
      <c r="M1299" s="14">
        <v>1</v>
      </c>
      <c r="N1299" s="2">
        <v>18.18</v>
      </c>
      <c r="O1299" s="16">
        <v>30</v>
      </c>
      <c r="P1299" s="14">
        <v>2.82</v>
      </c>
      <c r="Q1299" s="14">
        <f t="shared" si="20"/>
        <v>27.18</v>
      </c>
      <c r="R1299" s="1">
        <v>925</v>
      </c>
      <c r="S1299" s="1">
        <v>200000000492</v>
      </c>
      <c r="T1299" s="1">
        <v>29</v>
      </c>
      <c r="U1299" s="1">
        <v>1</v>
      </c>
      <c r="V1299" s="1">
        <v>3</v>
      </c>
    </row>
    <row r="1300" spans="1:22" x14ac:dyDescent="0.25">
      <c r="A1300" s="3">
        <v>44775</v>
      </c>
      <c r="B1300" s="4">
        <v>0.58399305555555558</v>
      </c>
      <c r="C1300" s="1">
        <v>1479</v>
      </c>
      <c r="D1300" s="1">
        <v>13002581</v>
      </c>
      <c r="E1300" s="1">
        <v>13</v>
      </c>
      <c r="F1300" s="1">
        <v>22589</v>
      </c>
      <c r="G1300" s="1" t="s">
        <v>21</v>
      </c>
      <c r="H1300" s="1">
        <v>18</v>
      </c>
      <c r="I1300" s="1">
        <v>6402</v>
      </c>
      <c r="J1300" s="14" t="s">
        <v>468</v>
      </c>
      <c r="K1300" s="1" t="s">
        <v>45</v>
      </c>
      <c r="L1300" s="1" t="s">
        <v>76</v>
      </c>
      <c r="M1300" s="14">
        <v>1</v>
      </c>
      <c r="N1300" s="2">
        <v>18.18</v>
      </c>
      <c r="O1300" s="16">
        <v>30</v>
      </c>
      <c r="P1300" s="14">
        <v>0</v>
      </c>
      <c r="Q1300" s="14">
        <f t="shared" si="20"/>
        <v>30</v>
      </c>
      <c r="R1300" s="1" t="s">
        <v>25</v>
      </c>
      <c r="S1300" s="1" t="s">
        <v>25</v>
      </c>
      <c r="T1300" s="1">
        <v>29</v>
      </c>
      <c r="U1300" s="1">
        <v>1</v>
      </c>
      <c r="V1300" s="1">
        <v>4</v>
      </c>
    </row>
    <row r="1301" spans="1:22" x14ac:dyDescent="0.25">
      <c r="A1301" s="3">
        <v>44776</v>
      </c>
      <c r="B1301" s="4">
        <v>0.56918981481481479</v>
      </c>
      <c r="C1301" s="1">
        <v>1600</v>
      </c>
      <c r="D1301" s="1">
        <v>13002595</v>
      </c>
      <c r="E1301" s="1">
        <v>13</v>
      </c>
      <c r="F1301" s="1">
        <v>22589</v>
      </c>
      <c r="G1301" s="1" t="s">
        <v>21</v>
      </c>
      <c r="H1301" s="1">
        <v>15</v>
      </c>
      <c r="I1301" s="1">
        <v>6402</v>
      </c>
      <c r="J1301" s="14" t="s">
        <v>468</v>
      </c>
      <c r="K1301" s="1" t="s">
        <v>45</v>
      </c>
      <c r="L1301" s="1" t="s">
        <v>76</v>
      </c>
      <c r="M1301" s="14">
        <v>2</v>
      </c>
      <c r="N1301" s="2">
        <v>18.18</v>
      </c>
      <c r="O1301" s="16">
        <v>30</v>
      </c>
      <c r="P1301" s="14">
        <v>6</v>
      </c>
      <c r="Q1301" s="14">
        <f t="shared" si="20"/>
        <v>54</v>
      </c>
      <c r="R1301" s="1">
        <v>939</v>
      </c>
      <c r="S1301" s="1">
        <v>200000000042</v>
      </c>
      <c r="T1301" s="1">
        <v>29</v>
      </c>
      <c r="U1301" s="1">
        <v>1</v>
      </c>
      <c r="V1301" s="1">
        <v>4</v>
      </c>
    </row>
    <row r="1302" spans="1:22" x14ac:dyDescent="0.25">
      <c r="A1302" s="3">
        <v>44776</v>
      </c>
      <c r="B1302" s="4">
        <v>0.73636574074074079</v>
      </c>
      <c r="C1302" s="1">
        <v>1638</v>
      </c>
      <c r="D1302" s="1">
        <v>13002595</v>
      </c>
      <c r="E1302" s="1">
        <v>13</v>
      </c>
      <c r="F1302" s="1">
        <v>22589</v>
      </c>
      <c r="G1302" s="1" t="s">
        <v>21</v>
      </c>
      <c r="H1302" s="1">
        <v>18</v>
      </c>
      <c r="I1302" s="1">
        <v>6402</v>
      </c>
      <c r="J1302" s="14" t="s">
        <v>468</v>
      </c>
      <c r="K1302" s="1" t="s">
        <v>45</v>
      </c>
      <c r="L1302" s="1" t="s">
        <v>76</v>
      </c>
      <c r="M1302" s="14">
        <v>1</v>
      </c>
      <c r="N1302" s="2">
        <v>18.18</v>
      </c>
      <c r="O1302" s="16">
        <v>30</v>
      </c>
      <c r="P1302" s="14">
        <v>3</v>
      </c>
      <c r="Q1302" s="14">
        <f t="shared" si="20"/>
        <v>27</v>
      </c>
      <c r="R1302" s="1">
        <v>939</v>
      </c>
      <c r="S1302" s="1">
        <v>200000000042</v>
      </c>
      <c r="T1302" s="1">
        <v>29</v>
      </c>
      <c r="U1302" s="1">
        <v>1</v>
      </c>
      <c r="V1302" s="1">
        <v>4</v>
      </c>
    </row>
    <row r="1303" spans="1:22" x14ac:dyDescent="0.25">
      <c r="A1303" s="3">
        <v>44778</v>
      </c>
      <c r="B1303" s="4">
        <v>0.34179398148148149</v>
      </c>
      <c r="C1303" s="1">
        <v>1783</v>
      </c>
      <c r="D1303" s="1">
        <v>13002616</v>
      </c>
      <c r="E1303" s="1">
        <v>13</v>
      </c>
      <c r="F1303" s="1">
        <v>22589</v>
      </c>
      <c r="G1303" s="1" t="s">
        <v>21</v>
      </c>
      <c r="H1303" s="1">
        <v>18</v>
      </c>
      <c r="I1303" s="1">
        <v>6402</v>
      </c>
      <c r="J1303" s="14" t="s">
        <v>468</v>
      </c>
      <c r="K1303" s="1" t="s">
        <v>45</v>
      </c>
      <c r="L1303" s="1" t="s">
        <v>76</v>
      </c>
      <c r="M1303" s="14">
        <v>1</v>
      </c>
      <c r="N1303" s="2">
        <v>18.18</v>
      </c>
      <c r="O1303" s="16">
        <v>30</v>
      </c>
      <c r="P1303" s="14">
        <v>4.67</v>
      </c>
      <c r="Q1303" s="14">
        <f t="shared" si="20"/>
        <v>25.33</v>
      </c>
      <c r="R1303" s="1">
        <v>939</v>
      </c>
      <c r="S1303" s="1">
        <v>200000000042</v>
      </c>
      <c r="T1303" s="1">
        <v>50</v>
      </c>
      <c r="U1303" s="1">
        <v>1</v>
      </c>
      <c r="V1303" s="1">
        <v>6</v>
      </c>
    </row>
    <row r="1304" spans="1:22" x14ac:dyDescent="0.25">
      <c r="A1304" s="3">
        <v>44777</v>
      </c>
      <c r="B1304" s="4">
        <v>0.37998842592592591</v>
      </c>
      <c r="C1304" s="1">
        <v>1667</v>
      </c>
      <c r="D1304" s="1">
        <v>13002606</v>
      </c>
      <c r="E1304" s="1">
        <v>13</v>
      </c>
      <c r="F1304" s="1">
        <v>22589</v>
      </c>
      <c r="G1304" s="1" t="s">
        <v>21</v>
      </c>
      <c r="H1304" s="1">
        <v>15</v>
      </c>
      <c r="I1304" s="1">
        <v>1308</v>
      </c>
      <c r="J1304" s="14" t="s">
        <v>931</v>
      </c>
      <c r="K1304" s="1" t="s">
        <v>252</v>
      </c>
      <c r="L1304" s="1" t="s">
        <v>932</v>
      </c>
      <c r="M1304" s="14">
        <v>1</v>
      </c>
      <c r="N1304" s="2">
        <v>866.26</v>
      </c>
      <c r="O1304" s="16">
        <v>1083</v>
      </c>
      <c r="P1304" s="14">
        <v>75</v>
      </c>
      <c r="Q1304" s="14">
        <f t="shared" si="20"/>
        <v>1008</v>
      </c>
      <c r="R1304" s="1">
        <v>9</v>
      </c>
      <c r="S1304" s="1">
        <v>200010006097</v>
      </c>
      <c r="T1304" s="1">
        <v>50</v>
      </c>
      <c r="U1304" s="1">
        <v>1</v>
      </c>
      <c r="V1304" s="1">
        <v>6</v>
      </c>
    </row>
    <row r="1305" spans="1:22" x14ac:dyDescent="0.25">
      <c r="A1305" s="3">
        <v>44774</v>
      </c>
      <c r="B1305" s="4">
        <v>0.57143518518518521</v>
      </c>
      <c r="C1305" s="1">
        <v>1346</v>
      </c>
      <c r="D1305" s="1">
        <v>13002561</v>
      </c>
      <c r="E1305" s="1">
        <v>13</v>
      </c>
      <c r="F1305" s="1">
        <v>22589</v>
      </c>
      <c r="G1305" s="1" t="s">
        <v>21</v>
      </c>
      <c r="H1305" s="1">
        <v>18</v>
      </c>
      <c r="I1305" s="1">
        <v>78641</v>
      </c>
      <c r="J1305" s="14" t="s">
        <v>298</v>
      </c>
      <c r="K1305" s="1" t="s">
        <v>61</v>
      </c>
      <c r="L1305" s="1" t="s">
        <v>299</v>
      </c>
      <c r="M1305" s="14">
        <v>1</v>
      </c>
      <c r="N1305" s="2">
        <v>333.74</v>
      </c>
      <c r="O1305" s="16">
        <v>441</v>
      </c>
      <c r="P1305" s="14">
        <v>30</v>
      </c>
      <c r="Q1305" s="14">
        <f t="shared" si="20"/>
        <v>411</v>
      </c>
      <c r="R1305" s="1">
        <v>9</v>
      </c>
      <c r="S1305" s="1">
        <v>200010020116</v>
      </c>
      <c r="T1305" s="1">
        <v>29</v>
      </c>
      <c r="U1305" s="1">
        <v>1</v>
      </c>
      <c r="V1305" s="1">
        <v>2</v>
      </c>
    </row>
    <row r="1306" spans="1:22" x14ac:dyDescent="0.25">
      <c r="A1306" s="3">
        <v>44776</v>
      </c>
      <c r="B1306" s="4">
        <v>0.78979166666666667</v>
      </c>
      <c r="C1306" s="1">
        <v>1651</v>
      </c>
      <c r="D1306" s="1">
        <v>13002595</v>
      </c>
      <c r="E1306" s="1">
        <v>13</v>
      </c>
      <c r="F1306" s="1">
        <v>22589</v>
      </c>
      <c r="G1306" s="1" t="s">
        <v>21</v>
      </c>
      <c r="H1306" s="1">
        <v>15</v>
      </c>
      <c r="I1306" s="1">
        <v>20113</v>
      </c>
      <c r="J1306" s="14" t="s">
        <v>915</v>
      </c>
      <c r="K1306" s="1" t="s">
        <v>34</v>
      </c>
      <c r="L1306" s="1" t="s">
        <v>908</v>
      </c>
      <c r="M1306" s="14">
        <v>0.2</v>
      </c>
      <c r="N1306" s="2">
        <v>336.24</v>
      </c>
      <c r="O1306" s="16">
        <v>444</v>
      </c>
      <c r="P1306" s="14">
        <v>5.8</v>
      </c>
      <c r="Q1306" s="14">
        <f t="shared" si="20"/>
        <v>83.000000000000014</v>
      </c>
      <c r="R1306" s="1">
        <v>9</v>
      </c>
      <c r="S1306" s="1">
        <v>200010006181</v>
      </c>
      <c r="T1306" s="1">
        <v>29</v>
      </c>
      <c r="U1306" s="1">
        <v>1</v>
      </c>
      <c r="V1306" s="1">
        <v>2</v>
      </c>
    </row>
    <row r="1307" spans="1:22" x14ac:dyDescent="0.25">
      <c r="A1307" s="3">
        <v>44775</v>
      </c>
      <c r="B1307" s="4">
        <v>0.38119212962962962</v>
      </c>
      <c r="C1307" s="1">
        <v>1422</v>
      </c>
      <c r="D1307" s="1">
        <v>13002581</v>
      </c>
      <c r="E1307" s="1">
        <v>13</v>
      </c>
      <c r="F1307" s="1">
        <v>22589</v>
      </c>
      <c r="G1307" s="1" t="s">
        <v>21</v>
      </c>
      <c r="H1307" s="1">
        <v>18</v>
      </c>
      <c r="I1307" s="1">
        <v>403561</v>
      </c>
      <c r="J1307" s="14" t="s">
        <v>482</v>
      </c>
      <c r="K1307" s="1" t="s">
        <v>51</v>
      </c>
      <c r="L1307" s="1" t="s">
        <v>483</v>
      </c>
      <c r="M1307" s="14">
        <v>1</v>
      </c>
      <c r="N1307" s="2">
        <v>57.56</v>
      </c>
      <c r="O1307" s="16">
        <v>91</v>
      </c>
      <c r="P1307" s="14">
        <v>9</v>
      </c>
      <c r="Q1307" s="14">
        <f t="shared" si="20"/>
        <v>82</v>
      </c>
      <c r="R1307" s="1">
        <v>9</v>
      </c>
      <c r="S1307" s="1">
        <v>200010004069</v>
      </c>
      <c r="T1307" s="1">
        <v>29</v>
      </c>
      <c r="U1307" s="1">
        <v>1</v>
      </c>
      <c r="V1307" s="1">
        <v>9</v>
      </c>
    </row>
    <row r="1308" spans="1:22" x14ac:dyDescent="0.25">
      <c r="A1308" s="3">
        <v>44778</v>
      </c>
      <c r="B1308" s="4">
        <v>0.78437500000000004</v>
      </c>
      <c r="C1308" s="1">
        <v>1894</v>
      </c>
      <c r="D1308" s="1">
        <v>13002616</v>
      </c>
      <c r="E1308" s="1">
        <v>13</v>
      </c>
      <c r="F1308" s="1">
        <v>22589</v>
      </c>
      <c r="G1308" s="1" t="s">
        <v>21</v>
      </c>
      <c r="H1308" s="1">
        <v>15</v>
      </c>
      <c r="I1308" s="1">
        <v>121605</v>
      </c>
      <c r="J1308" s="14" t="s">
        <v>1217</v>
      </c>
      <c r="K1308" s="1" t="s">
        <v>23</v>
      </c>
      <c r="L1308" s="1" t="s">
        <v>547</v>
      </c>
      <c r="M1308" s="14">
        <v>1</v>
      </c>
      <c r="N1308" s="2">
        <v>347.56</v>
      </c>
      <c r="O1308" s="16">
        <v>511</v>
      </c>
      <c r="P1308" s="14">
        <v>51</v>
      </c>
      <c r="Q1308" s="14">
        <f t="shared" si="20"/>
        <v>460</v>
      </c>
      <c r="R1308" s="1">
        <v>9</v>
      </c>
      <c r="S1308" s="1">
        <v>200010015864</v>
      </c>
      <c r="T1308" s="1">
        <v>50</v>
      </c>
      <c r="U1308" s="1">
        <v>1</v>
      </c>
      <c r="V1308" s="1">
        <v>3</v>
      </c>
    </row>
    <row r="1309" spans="1:22" x14ac:dyDescent="0.25">
      <c r="A1309" s="3">
        <v>44778</v>
      </c>
      <c r="B1309" s="4">
        <v>0.46280092592592592</v>
      </c>
      <c r="C1309" s="1">
        <v>1819</v>
      </c>
      <c r="D1309" s="1">
        <v>13002616</v>
      </c>
      <c r="E1309" s="1">
        <v>13</v>
      </c>
      <c r="F1309" s="1">
        <v>22589</v>
      </c>
      <c r="G1309" s="1" t="s">
        <v>21</v>
      </c>
      <c r="H1309" s="1">
        <v>15</v>
      </c>
      <c r="I1309" s="1">
        <v>435558</v>
      </c>
      <c r="J1309" s="14" t="s">
        <v>1111</v>
      </c>
      <c r="K1309" s="1" t="s">
        <v>23</v>
      </c>
      <c r="L1309" s="1" t="s">
        <v>802</v>
      </c>
      <c r="M1309" s="14">
        <v>1</v>
      </c>
      <c r="N1309" s="2">
        <v>248.76</v>
      </c>
      <c r="O1309" s="16">
        <v>336</v>
      </c>
      <c r="P1309" s="14">
        <v>36</v>
      </c>
      <c r="Q1309" s="14">
        <f t="shared" si="20"/>
        <v>300</v>
      </c>
      <c r="R1309" s="1">
        <v>925</v>
      </c>
      <c r="S1309" s="1">
        <v>200000000492</v>
      </c>
      <c r="T1309" s="1">
        <v>50</v>
      </c>
      <c r="U1309" s="1">
        <v>1</v>
      </c>
      <c r="V1309" s="1">
        <v>1</v>
      </c>
    </row>
    <row r="1310" spans="1:22" x14ac:dyDescent="0.25">
      <c r="A1310" s="3">
        <v>44776</v>
      </c>
      <c r="B1310" s="4">
        <v>0.53388888888888886</v>
      </c>
      <c r="C1310" s="1">
        <v>1587</v>
      </c>
      <c r="D1310" s="1">
        <v>13002595</v>
      </c>
      <c r="E1310" s="1">
        <v>13</v>
      </c>
      <c r="F1310" s="1">
        <v>22589</v>
      </c>
      <c r="G1310" s="1" t="s">
        <v>21</v>
      </c>
      <c r="H1310" s="1">
        <v>15</v>
      </c>
      <c r="I1310" s="1">
        <v>157387</v>
      </c>
      <c r="J1310" s="14" t="s">
        <v>811</v>
      </c>
      <c r="K1310" s="1" t="s">
        <v>51</v>
      </c>
      <c r="L1310" s="1" t="s">
        <v>812</v>
      </c>
      <c r="M1310" s="14">
        <v>1</v>
      </c>
      <c r="N1310" s="2">
        <v>132.28</v>
      </c>
      <c r="O1310" s="16">
        <v>206</v>
      </c>
      <c r="P1310" s="14">
        <v>0</v>
      </c>
      <c r="Q1310" s="14">
        <f t="shared" si="20"/>
        <v>206</v>
      </c>
      <c r="R1310" s="1" t="s">
        <v>25</v>
      </c>
      <c r="S1310" s="1" t="s">
        <v>25</v>
      </c>
      <c r="T1310" s="1">
        <v>29</v>
      </c>
      <c r="U1310" s="1">
        <v>1</v>
      </c>
      <c r="V1310" s="1">
        <v>7</v>
      </c>
    </row>
    <row r="1311" spans="1:22" x14ac:dyDescent="0.25">
      <c r="A1311" s="3">
        <v>44774</v>
      </c>
      <c r="B1311" s="4">
        <v>0.5113078703703704</v>
      </c>
      <c r="C1311" s="1">
        <v>1323</v>
      </c>
      <c r="D1311" s="1">
        <v>13002561</v>
      </c>
      <c r="E1311" s="1">
        <v>13</v>
      </c>
      <c r="F1311" s="1">
        <v>22589</v>
      </c>
      <c r="G1311" s="1" t="s">
        <v>21</v>
      </c>
      <c r="H1311" s="1">
        <v>18</v>
      </c>
      <c r="I1311" s="1">
        <v>20840</v>
      </c>
      <c r="J1311" s="14" t="s">
        <v>232</v>
      </c>
      <c r="K1311" s="1" t="s">
        <v>23</v>
      </c>
      <c r="L1311" s="1" t="s">
        <v>233</v>
      </c>
      <c r="M1311" s="14">
        <v>1</v>
      </c>
      <c r="N1311" s="2">
        <v>126.92</v>
      </c>
      <c r="O1311" s="16">
        <v>153</v>
      </c>
      <c r="P1311" s="14">
        <v>7</v>
      </c>
      <c r="Q1311" s="14">
        <f t="shared" si="20"/>
        <v>146</v>
      </c>
      <c r="R1311" s="1">
        <v>9</v>
      </c>
      <c r="S1311" s="1">
        <v>200010015470</v>
      </c>
      <c r="T1311" s="1">
        <v>29</v>
      </c>
      <c r="U1311" s="1">
        <v>1</v>
      </c>
      <c r="V1311" s="1">
        <v>2</v>
      </c>
    </row>
    <row r="1312" spans="1:22" x14ac:dyDescent="0.25">
      <c r="A1312" s="3">
        <v>44778</v>
      </c>
      <c r="B1312" s="4">
        <v>0.5577199074074074</v>
      </c>
      <c r="C1312" s="1">
        <v>1844</v>
      </c>
      <c r="D1312" s="1">
        <v>13002616</v>
      </c>
      <c r="E1312" s="1">
        <v>13</v>
      </c>
      <c r="F1312" s="1">
        <v>22589</v>
      </c>
      <c r="G1312" s="1" t="s">
        <v>21</v>
      </c>
      <c r="H1312" s="1">
        <v>18</v>
      </c>
      <c r="I1312" s="1">
        <v>20840</v>
      </c>
      <c r="J1312" s="14" t="s">
        <v>232</v>
      </c>
      <c r="K1312" s="1" t="s">
        <v>23</v>
      </c>
      <c r="L1312" s="1" t="s">
        <v>233</v>
      </c>
      <c r="M1312" s="14">
        <v>1</v>
      </c>
      <c r="N1312" s="2">
        <v>126.92</v>
      </c>
      <c r="O1312" s="16">
        <v>153</v>
      </c>
      <c r="P1312" s="14">
        <v>0</v>
      </c>
      <c r="Q1312" s="14">
        <f t="shared" si="20"/>
        <v>153</v>
      </c>
      <c r="R1312" s="1" t="s">
        <v>25</v>
      </c>
      <c r="S1312" s="1" t="s">
        <v>25</v>
      </c>
      <c r="T1312" s="1">
        <v>50</v>
      </c>
      <c r="U1312" s="1">
        <v>1</v>
      </c>
      <c r="V1312" s="1">
        <v>8</v>
      </c>
    </row>
    <row r="1313" spans="1:22" x14ac:dyDescent="0.25">
      <c r="A1313" s="3">
        <v>44774</v>
      </c>
      <c r="B1313" s="4">
        <v>0.70020833333333332</v>
      </c>
      <c r="C1313" s="1">
        <v>1380</v>
      </c>
      <c r="D1313" s="1">
        <v>13002561</v>
      </c>
      <c r="E1313" s="1">
        <v>13</v>
      </c>
      <c r="F1313" s="1">
        <v>22589</v>
      </c>
      <c r="G1313" s="1" t="s">
        <v>21</v>
      </c>
      <c r="H1313" s="1">
        <v>18</v>
      </c>
      <c r="I1313" s="1">
        <v>374617</v>
      </c>
      <c r="J1313" s="14" t="s">
        <v>386</v>
      </c>
      <c r="K1313" s="1" t="s">
        <v>23</v>
      </c>
      <c r="L1313" s="1" t="s">
        <v>159</v>
      </c>
      <c r="M1313" s="14">
        <v>1</v>
      </c>
      <c r="N1313" s="2">
        <v>86.9</v>
      </c>
      <c r="O1313" s="16">
        <v>107</v>
      </c>
      <c r="P1313" s="14">
        <v>5</v>
      </c>
      <c r="Q1313" s="14">
        <f t="shared" si="20"/>
        <v>102</v>
      </c>
      <c r="R1313" s="1">
        <v>9</v>
      </c>
      <c r="S1313" s="1">
        <v>200010013152</v>
      </c>
      <c r="T1313" s="1">
        <v>29</v>
      </c>
      <c r="U1313" s="1">
        <v>1</v>
      </c>
      <c r="V1313" s="1">
        <v>6</v>
      </c>
    </row>
    <row r="1314" spans="1:22" x14ac:dyDescent="0.25">
      <c r="A1314" s="3">
        <v>44777</v>
      </c>
      <c r="B1314" s="4">
        <v>0.67782407407407408</v>
      </c>
      <c r="C1314" s="1">
        <v>1745</v>
      </c>
      <c r="D1314" s="1">
        <v>13002606</v>
      </c>
      <c r="E1314" s="1">
        <v>13</v>
      </c>
      <c r="F1314" s="1">
        <v>22589</v>
      </c>
      <c r="G1314" s="1" t="s">
        <v>21</v>
      </c>
      <c r="H1314" s="1">
        <v>18</v>
      </c>
      <c r="I1314" s="1">
        <v>10015</v>
      </c>
      <c r="J1314" s="14" t="s">
        <v>1040</v>
      </c>
      <c r="K1314" s="1" t="s">
        <v>51</v>
      </c>
      <c r="L1314" s="1" t="s">
        <v>32</v>
      </c>
      <c r="M1314" s="14">
        <v>1</v>
      </c>
      <c r="N1314" s="2">
        <v>117.4</v>
      </c>
      <c r="O1314" s="16">
        <v>142</v>
      </c>
      <c r="P1314" s="14">
        <v>7</v>
      </c>
      <c r="Q1314" s="14">
        <f t="shared" si="20"/>
        <v>135</v>
      </c>
      <c r="R1314" s="1">
        <v>9</v>
      </c>
      <c r="S1314" s="1">
        <v>200010026839</v>
      </c>
      <c r="T1314" s="1">
        <v>50</v>
      </c>
      <c r="U1314" s="1">
        <v>1</v>
      </c>
      <c r="V1314" s="1">
        <v>7</v>
      </c>
    </row>
    <row r="1315" spans="1:22" x14ac:dyDescent="0.25">
      <c r="A1315" s="3">
        <v>44775</v>
      </c>
      <c r="B1315" s="4">
        <v>0.48563657407407407</v>
      </c>
      <c r="C1315" s="1">
        <v>1448</v>
      </c>
      <c r="D1315" s="1">
        <v>13002581</v>
      </c>
      <c r="E1315" s="1">
        <v>13</v>
      </c>
      <c r="F1315" s="1">
        <v>22589</v>
      </c>
      <c r="G1315" s="1" t="s">
        <v>21</v>
      </c>
      <c r="H1315" s="1">
        <v>15</v>
      </c>
      <c r="I1315" s="1">
        <v>1329</v>
      </c>
      <c r="J1315" s="14" t="s">
        <v>540</v>
      </c>
      <c r="K1315" s="1" t="s">
        <v>34</v>
      </c>
      <c r="L1315" s="1" t="s">
        <v>541</v>
      </c>
      <c r="M1315" s="14">
        <v>0.2</v>
      </c>
      <c r="N1315" s="2">
        <v>419.66</v>
      </c>
      <c r="O1315" s="16">
        <v>554</v>
      </c>
      <c r="P1315" s="14">
        <v>6.8</v>
      </c>
      <c r="Q1315" s="14">
        <f t="shared" si="20"/>
        <v>104.00000000000001</v>
      </c>
      <c r="R1315" s="1">
        <v>9</v>
      </c>
      <c r="S1315" s="1">
        <v>200010014189</v>
      </c>
      <c r="T1315" s="1">
        <v>29</v>
      </c>
      <c r="U1315" s="1">
        <v>1</v>
      </c>
      <c r="V1315" s="1">
        <v>2</v>
      </c>
    </row>
    <row r="1316" spans="1:22" x14ac:dyDescent="0.25">
      <c r="A1316" s="3">
        <v>44775</v>
      </c>
      <c r="B1316" s="4">
        <v>0.83083333333333331</v>
      </c>
      <c r="C1316" s="1">
        <v>1535</v>
      </c>
      <c r="D1316" s="1">
        <v>13002581</v>
      </c>
      <c r="E1316" s="1">
        <v>13</v>
      </c>
      <c r="F1316" s="1">
        <v>22589</v>
      </c>
      <c r="G1316" s="1" t="s">
        <v>21</v>
      </c>
      <c r="H1316" s="1">
        <v>18</v>
      </c>
      <c r="I1316" s="1">
        <v>1329</v>
      </c>
      <c r="J1316" s="14" t="s">
        <v>540</v>
      </c>
      <c r="K1316" s="1" t="s">
        <v>34</v>
      </c>
      <c r="L1316" s="1" t="s">
        <v>541</v>
      </c>
      <c r="M1316" s="14">
        <v>0.1</v>
      </c>
      <c r="N1316" s="2">
        <v>419.66</v>
      </c>
      <c r="O1316" s="16">
        <v>554</v>
      </c>
      <c r="P1316" s="14">
        <v>3.4</v>
      </c>
      <c r="Q1316" s="14">
        <f t="shared" si="20"/>
        <v>52.000000000000007</v>
      </c>
      <c r="R1316" s="1">
        <v>9</v>
      </c>
      <c r="S1316" s="1">
        <v>200010000847</v>
      </c>
      <c r="T1316" s="1">
        <v>29</v>
      </c>
      <c r="U1316" s="1">
        <v>1</v>
      </c>
      <c r="V1316" s="1">
        <v>1</v>
      </c>
    </row>
    <row r="1317" spans="1:22" x14ac:dyDescent="0.25">
      <c r="A1317" s="3">
        <v>44775</v>
      </c>
      <c r="B1317" s="4">
        <v>0.83083333333333331</v>
      </c>
      <c r="C1317" s="1">
        <v>1535</v>
      </c>
      <c r="D1317" s="1">
        <v>13002581</v>
      </c>
      <c r="E1317" s="1">
        <v>13</v>
      </c>
      <c r="F1317" s="1">
        <v>22589</v>
      </c>
      <c r="G1317" s="1" t="s">
        <v>21</v>
      </c>
      <c r="H1317" s="1">
        <v>18</v>
      </c>
      <c r="I1317" s="1">
        <v>123849</v>
      </c>
      <c r="J1317" s="14" t="s">
        <v>706</v>
      </c>
      <c r="K1317" s="1" t="s">
        <v>51</v>
      </c>
      <c r="L1317" s="1" t="s">
        <v>76</v>
      </c>
      <c r="M1317" s="14">
        <v>1</v>
      </c>
      <c r="N1317" s="2">
        <v>1025.05</v>
      </c>
      <c r="O1317" s="16">
        <v>1135</v>
      </c>
      <c r="P1317" s="14">
        <v>34</v>
      </c>
      <c r="Q1317" s="14">
        <f t="shared" si="20"/>
        <v>1101</v>
      </c>
      <c r="R1317" s="1">
        <v>9</v>
      </c>
      <c r="S1317" s="1">
        <v>200010000847</v>
      </c>
      <c r="T1317" s="1">
        <v>29</v>
      </c>
      <c r="U1317" s="1">
        <v>1</v>
      </c>
      <c r="V1317" s="1">
        <v>2</v>
      </c>
    </row>
    <row r="1318" spans="1:22" x14ac:dyDescent="0.25">
      <c r="A1318" s="3">
        <v>44778</v>
      </c>
      <c r="B1318" s="4">
        <v>0.40113425925925927</v>
      </c>
      <c r="C1318" s="1">
        <v>1802</v>
      </c>
      <c r="D1318" s="1">
        <v>13002616</v>
      </c>
      <c r="E1318" s="1">
        <v>13</v>
      </c>
      <c r="F1318" s="1">
        <v>22589</v>
      </c>
      <c r="G1318" s="1" t="s">
        <v>21</v>
      </c>
      <c r="H1318" s="1">
        <v>18</v>
      </c>
      <c r="I1318" s="1">
        <v>123849</v>
      </c>
      <c r="J1318" s="14" t="s">
        <v>706</v>
      </c>
      <c r="K1318" s="1" t="s">
        <v>23</v>
      </c>
      <c r="L1318" s="1" t="s">
        <v>76</v>
      </c>
      <c r="M1318" s="14">
        <v>1</v>
      </c>
      <c r="N1318" s="2">
        <v>1023.08</v>
      </c>
      <c r="O1318" s="16">
        <v>1133</v>
      </c>
      <c r="P1318" s="14">
        <v>33</v>
      </c>
      <c r="Q1318" s="14">
        <f t="shared" si="20"/>
        <v>1100</v>
      </c>
      <c r="R1318" s="1">
        <v>9</v>
      </c>
      <c r="S1318" s="1">
        <v>200010022555</v>
      </c>
      <c r="T1318" s="1">
        <v>50</v>
      </c>
      <c r="U1318" s="1">
        <v>1</v>
      </c>
      <c r="V1318" s="1">
        <v>2</v>
      </c>
    </row>
    <row r="1319" spans="1:22" x14ac:dyDescent="0.25">
      <c r="A1319" s="3">
        <v>44777</v>
      </c>
      <c r="B1319" s="4">
        <v>0.34461805555555558</v>
      </c>
      <c r="C1319" s="1">
        <v>1663</v>
      </c>
      <c r="D1319" s="1">
        <v>13002606</v>
      </c>
      <c r="E1319" s="1">
        <v>13</v>
      </c>
      <c r="F1319" s="1">
        <v>22589</v>
      </c>
      <c r="G1319" s="1" t="s">
        <v>21</v>
      </c>
      <c r="H1319" s="1">
        <v>18</v>
      </c>
      <c r="I1319" s="1">
        <v>26866</v>
      </c>
      <c r="J1319" s="14" t="s">
        <v>927</v>
      </c>
      <c r="K1319" s="1" t="s">
        <v>29</v>
      </c>
      <c r="L1319" s="1" t="s">
        <v>928</v>
      </c>
      <c r="M1319" s="14">
        <v>1</v>
      </c>
      <c r="N1319" s="2">
        <v>336.35</v>
      </c>
      <c r="O1319" s="16">
        <v>512</v>
      </c>
      <c r="P1319" s="14">
        <v>51</v>
      </c>
      <c r="Q1319" s="14">
        <f t="shared" si="20"/>
        <v>461</v>
      </c>
      <c r="R1319" s="1">
        <v>9</v>
      </c>
      <c r="S1319" s="1">
        <v>200010020474</v>
      </c>
      <c r="T1319" s="1">
        <v>50</v>
      </c>
      <c r="U1319" s="1">
        <v>1</v>
      </c>
      <c r="V1319" s="1">
        <v>1</v>
      </c>
    </row>
    <row r="1320" spans="1:22" x14ac:dyDescent="0.25">
      <c r="A1320" s="3">
        <v>44778</v>
      </c>
      <c r="B1320" s="4">
        <v>0.65452546296296299</v>
      </c>
      <c r="C1320" s="1">
        <v>1869</v>
      </c>
      <c r="D1320" s="1">
        <v>13002616</v>
      </c>
      <c r="E1320" s="1">
        <v>13</v>
      </c>
      <c r="F1320" s="1">
        <v>22589</v>
      </c>
      <c r="G1320" s="1" t="s">
        <v>21</v>
      </c>
      <c r="H1320" s="1">
        <v>18</v>
      </c>
      <c r="I1320" s="1">
        <v>22260</v>
      </c>
      <c r="J1320" s="14" t="s">
        <v>1191</v>
      </c>
      <c r="K1320" s="1" t="s">
        <v>51</v>
      </c>
      <c r="L1320" s="1" t="s">
        <v>1192</v>
      </c>
      <c r="M1320" s="14">
        <v>1</v>
      </c>
      <c r="N1320" s="2">
        <v>112.63</v>
      </c>
      <c r="O1320" s="16">
        <v>175</v>
      </c>
      <c r="P1320" s="14">
        <v>0</v>
      </c>
      <c r="Q1320" s="14">
        <f t="shared" si="20"/>
        <v>175</v>
      </c>
      <c r="R1320" s="1" t="s">
        <v>25</v>
      </c>
      <c r="S1320" s="1" t="s">
        <v>25</v>
      </c>
      <c r="T1320" s="1">
        <v>50</v>
      </c>
      <c r="U1320" s="1">
        <v>1</v>
      </c>
      <c r="V1320" s="1">
        <v>3</v>
      </c>
    </row>
    <row r="1321" spans="1:22" x14ac:dyDescent="0.25">
      <c r="A1321" s="3">
        <v>44775</v>
      </c>
      <c r="B1321" s="4">
        <v>0.74704861111111109</v>
      </c>
      <c r="C1321" s="1">
        <v>1519</v>
      </c>
      <c r="D1321" s="1">
        <v>13002581</v>
      </c>
      <c r="E1321" s="1">
        <v>13</v>
      </c>
      <c r="F1321" s="1">
        <v>22589</v>
      </c>
      <c r="G1321" s="1" t="s">
        <v>21</v>
      </c>
      <c r="H1321" s="1">
        <v>18</v>
      </c>
      <c r="I1321" s="1">
        <v>450544</v>
      </c>
      <c r="J1321" s="14" t="s">
        <v>673</v>
      </c>
      <c r="K1321" s="1" t="s">
        <v>117</v>
      </c>
      <c r="L1321" s="1" t="s">
        <v>383</v>
      </c>
      <c r="M1321" s="14">
        <v>1</v>
      </c>
      <c r="N1321" s="2">
        <v>26.39</v>
      </c>
      <c r="O1321" s="16">
        <v>41</v>
      </c>
      <c r="P1321" s="14">
        <v>0</v>
      </c>
      <c r="Q1321" s="14">
        <f t="shared" si="20"/>
        <v>41</v>
      </c>
      <c r="R1321" s="1" t="s">
        <v>25</v>
      </c>
      <c r="S1321" s="1" t="s">
        <v>25</v>
      </c>
      <c r="T1321" s="1">
        <v>29</v>
      </c>
      <c r="U1321" s="1">
        <v>1</v>
      </c>
      <c r="V1321" s="1">
        <v>2</v>
      </c>
    </row>
    <row r="1322" spans="1:22" x14ac:dyDescent="0.25">
      <c r="A1322" s="3">
        <v>44776</v>
      </c>
      <c r="B1322" s="4">
        <v>0.81172453703703706</v>
      </c>
      <c r="C1322" s="1">
        <v>1656</v>
      </c>
      <c r="D1322" s="1">
        <v>13002595</v>
      </c>
      <c r="E1322" s="1">
        <v>13</v>
      </c>
      <c r="F1322" s="1">
        <v>22589</v>
      </c>
      <c r="G1322" s="1" t="s">
        <v>21</v>
      </c>
      <c r="H1322" s="1">
        <v>15</v>
      </c>
      <c r="I1322" s="1">
        <v>450544</v>
      </c>
      <c r="J1322" s="14" t="s">
        <v>673</v>
      </c>
      <c r="K1322" s="1" t="s">
        <v>117</v>
      </c>
      <c r="L1322" s="1" t="s">
        <v>383</v>
      </c>
      <c r="M1322" s="14">
        <v>1</v>
      </c>
      <c r="N1322" s="2">
        <v>26.39</v>
      </c>
      <c r="O1322" s="16">
        <v>41</v>
      </c>
      <c r="P1322" s="14">
        <v>0</v>
      </c>
      <c r="Q1322" s="14">
        <f t="shared" si="20"/>
        <v>41</v>
      </c>
      <c r="R1322" s="1" t="s">
        <v>25</v>
      </c>
      <c r="S1322" s="1" t="s">
        <v>25</v>
      </c>
      <c r="T1322" s="1">
        <v>29</v>
      </c>
      <c r="U1322" s="1">
        <v>1</v>
      </c>
      <c r="V1322" s="1">
        <v>3</v>
      </c>
    </row>
    <row r="1323" spans="1:22" x14ac:dyDescent="0.25">
      <c r="A1323" s="3">
        <v>44774</v>
      </c>
      <c r="B1323" s="4">
        <v>0.58592592592592596</v>
      </c>
      <c r="C1323" s="1">
        <v>1351</v>
      </c>
      <c r="D1323" s="1">
        <v>13002561</v>
      </c>
      <c r="E1323" s="1">
        <v>13</v>
      </c>
      <c r="F1323" s="1">
        <v>22589</v>
      </c>
      <c r="G1323" s="1" t="s">
        <v>21</v>
      </c>
      <c r="H1323" s="1">
        <v>15</v>
      </c>
      <c r="I1323" s="1">
        <v>30442</v>
      </c>
      <c r="J1323" s="14" t="s">
        <v>319</v>
      </c>
      <c r="K1323" s="1" t="s">
        <v>51</v>
      </c>
      <c r="L1323" s="1" t="s">
        <v>320</v>
      </c>
      <c r="M1323" s="14">
        <v>2</v>
      </c>
      <c r="N1323" s="2">
        <v>139.21</v>
      </c>
      <c r="O1323" s="16">
        <v>216</v>
      </c>
      <c r="P1323" s="14">
        <v>64</v>
      </c>
      <c r="Q1323" s="14">
        <f t="shared" si="20"/>
        <v>368</v>
      </c>
      <c r="R1323" s="1">
        <v>27</v>
      </c>
      <c r="S1323" s="1">
        <v>200010000015</v>
      </c>
      <c r="T1323" s="1">
        <v>29</v>
      </c>
      <c r="U1323" s="1">
        <v>1</v>
      </c>
      <c r="V1323" s="1">
        <v>2</v>
      </c>
    </row>
    <row r="1324" spans="1:22" x14ac:dyDescent="0.25">
      <c r="A1324" s="3">
        <v>44774</v>
      </c>
      <c r="B1324" s="4">
        <v>0.78233796296296299</v>
      </c>
      <c r="C1324" s="1">
        <v>1402</v>
      </c>
      <c r="D1324" s="1">
        <v>13002561</v>
      </c>
      <c r="E1324" s="1">
        <v>13</v>
      </c>
      <c r="F1324" s="1">
        <v>22589</v>
      </c>
      <c r="G1324" s="1" t="s">
        <v>21</v>
      </c>
      <c r="H1324" s="1">
        <v>18</v>
      </c>
      <c r="I1324" s="1">
        <v>338768</v>
      </c>
      <c r="J1324" s="14" t="s">
        <v>443</v>
      </c>
      <c r="K1324" s="1" t="s">
        <v>51</v>
      </c>
      <c r="L1324" s="1" t="s">
        <v>37</v>
      </c>
      <c r="M1324" s="14">
        <v>1</v>
      </c>
      <c r="N1324" s="2">
        <v>88.21</v>
      </c>
      <c r="O1324" s="16">
        <v>121</v>
      </c>
      <c r="P1324" s="14">
        <v>8</v>
      </c>
      <c r="Q1324" s="14">
        <f t="shared" si="20"/>
        <v>113</v>
      </c>
      <c r="R1324" s="1">
        <v>9</v>
      </c>
      <c r="S1324" s="1">
        <v>200010012073</v>
      </c>
      <c r="T1324" s="1">
        <v>29</v>
      </c>
      <c r="U1324" s="1">
        <v>1</v>
      </c>
      <c r="V1324" s="1">
        <v>6</v>
      </c>
    </row>
    <row r="1325" spans="1:22" x14ac:dyDescent="0.25">
      <c r="A1325" s="3">
        <v>44775</v>
      </c>
      <c r="B1325" s="4">
        <v>0.67783564814814812</v>
      </c>
      <c r="C1325" s="1">
        <v>1494</v>
      </c>
      <c r="D1325" s="1">
        <v>13002581</v>
      </c>
      <c r="E1325" s="1">
        <v>13</v>
      </c>
      <c r="F1325" s="1">
        <v>22589</v>
      </c>
      <c r="G1325" s="1" t="s">
        <v>21</v>
      </c>
      <c r="H1325" s="1">
        <v>15</v>
      </c>
      <c r="I1325" s="1">
        <v>1338</v>
      </c>
      <c r="J1325" s="14" t="s">
        <v>639</v>
      </c>
      <c r="K1325" s="1" t="s">
        <v>64</v>
      </c>
      <c r="L1325" s="1" t="s">
        <v>640</v>
      </c>
      <c r="M1325" s="14">
        <v>1</v>
      </c>
      <c r="N1325" s="2">
        <v>227.89</v>
      </c>
      <c r="O1325" s="16">
        <v>308</v>
      </c>
      <c r="P1325" s="14">
        <v>21</v>
      </c>
      <c r="Q1325" s="14">
        <f t="shared" si="20"/>
        <v>287</v>
      </c>
      <c r="R1325" s="1">
        <v>9</v>
      </c>
      <c r="S1325" s="1">
        <v>200010003383</v>
      </c>
      <c r="T1325" s="1">
        <v>29</v>
      </c>
      <c r="U1325" s="1">
        <v>1</v>
      </c>
      <c r="V1325" s="1">
        <v>2</v>
      </c>
    </row>
    <row r="1326" spans="1:22" x14ac:dyDescent="0.25">
      <c r="A1326" s="3">
        <v>44774</v>
      </c>
      <c r="B1326" s="4">
        <v>0.52601851851851855</v>
      </c>
      <c r="C1326" s="1">
        <v>1328</v>
      </c>
      <c r="D1326" s="1">
        <v>13002561</v>
      </c>
      <c r="E1326" s="1">
        <v>13</v>
      </c>
      <c r="F1326" s="1">
        <v>22589</v>
      </c>
      <c r="G1326" s="1" t="s">
        <v>21</v>
      </c>
      <c r="H1326" s="1">
        <v>15</v>
      </c>
      <c r="I1326" s="1">
        <v>342166</v>
      </c>
      <c r="J1326" s="14" t="s">
        <v>256</v>
      </c>
      <c r="K1326" s="1" t="s">
        <v>29</v>
      </c>
      <c r="L1326" s="1" t="s">
        <v>200</v>
      </c>
      <c r="M1326" s="14">
        <v>1</v>
      </c>
      <c r="N1326" s="2">
        <v>50.31</v>
      </c>
      <c r="O1326" s="16">
        <v>72</v>
      </c>
      <c r="P1326" s="14">
        <v>0</v>
      </c>
      <c r="Q1326" s="14">
        <f t="shared" si="20"/>
        <v>72</v>
      </c>
      <c r="R1326" s="1" t="s">
        <v>25</v>
      </c>
      <c r="S1326" s="1" t="s">
        <v>25</v>
      </c>
      <c r="T1326" s="1">
        <v>29</v>
      </c>
      <c r="U1326" s="1">
        <v>1</v>
      </c>
      <c r="V1326" s="1">
        <v>5</v>
      </c>
    </row>
    <row r="1327" spans="1:22" x14ac:dyDescent="0.25">
      <c r="A1327" s="3">
        <v>44775</v>
      </c>
      <c r="B1327" s="4">
        <v>0.44946759259259261</v>
      </c>
      <c r="C1327" s="1">
        <v>1436</v>
      </c>
      <c r="D1327" s="1">
        <v>13002581</v>
      </c>
      <c r="E1327" s="1">
        <v>13</v>
      </c>
      <c r="F1327" s="1">
        <v>22589</v>
      </c>
      <c r="G1327" s="1" t="s">
        <v>21</v>
      </c>
      <c r="H1327" s="1">
        <v>18</v>
      </c>
      <c r="I1327" s="1">
        <v>317995</v>
      </c>
      <c r="J1327" s="14" t="s">
        <v>524</v>
      </c>
      <c r="K1327" s="1" t="s">
        <v>64</v>
      </c>
      <c r="L1327" s="1" t="s">
        <v>306</v>
      </c>
      <c r="M1327" s="14">
        <v>1</v>
      </c>
      <c r="N1327" s="2">
        <v>108.5</v>
      </c>
      <c r="O1327" s="16">
        <v>149</v>
      </c>
      <c r="P1327" s="14">
        <v>10</v>
      </c>
      <c r="Q1327" s="14">
        <f t="shared" si="20"/>
        <v>139</v>
      </c>
      <c r="R1327" s="1">
        <v>9</v>
      </c>
      <c r="S1327" s="1">
        <v>200010011842</v>
      </c>
      <c r="T1327" s="1">
        <v>29</v>
      </c>
      <c r="U1327" s="1">
        <v>1</v>
      </c>
      <c r="V1327" s="1">
        <v>3</v>
      </c>
    </row>
    <row r="1328" spans="1:22" x14ac:dyDescent="0.25">
      <c r="A1328" s="3">
        <v>44774</v>
      </c>
      <c r="B1328" s="4">
        <v>0.78034722222222219</v>
      </c>
      <c r="C1328" s="1">
        <v>1401</v>
      </c>
      <c r="D1328" s="1">
        <v>13002561</v>
      </c>
      <c r="E1328" s="1">
        <v>13</v>
      </c>
      <c r="F1328" s="1">
        <v>22589</v>
      </c>
      <c r="G1328" s="1" t="s">
        <v>21</v>
      </c>
      <c r="H1328" s="1">
        <v>15</v>
      </c>
      <c r="I1328" s="1">
        <v>498325</v>
      </c>
      <c r="J1328" s="14" t="s">
        <v>442</v>
      </c>
      <c r="K1328" s="1" t="s">
        <v>51</v>
      </c>
      <c r="L1328" s="1" t="s">
        <v>65</v>
      </c>
      <c r="M1328" s="14">
        <v>1</v>
      </c>
      <c r="N1328" s="2">
        <v>114.58</v>
      </c>
      <c r="O1328" s="16">
        <v>157</v>
      </c>
      <c r="P1328" s="14">
        <v>0</v>
      </c>
      <c r="Q1328" s="14">
        <f t="shared" si="20"/>
        <v>157</v>
      </c>
      <c r="R1328" s="1" t="s">
        <v>25</v>
      </c>
      <c r="S1328" s="1" t="s">
        <v>25</v>
      </c>
      <c r="T1328" s="1">
        <v>29</v>
      </c>
      <c r="U1328" s="1">
        <v>1</v>
      </c>
      <c r="V1328" s="1">
        <v>1</v>
      </c>
    </row>
    <row r="1329" spans="1:22" x14ac:dyDescent="0.25">
      <c r="A1329" s="3">
        <v>44776</v>
      </c>
      <c r="B1329" s="4">
        <v>0.61141203703703706</v>
      </c>
      <c r="C1329" s="1">
        <v>1611</v>
      </c>
      <c r="D1329" s="1">
        <v>13002595</v>
      </c>
      <c r="E1329" s="1">
        <v>13</v>
      </c>
      <c r="F1329" s="1">
        <v>22589</v>
      </c>
      <c r="G1329" s="1" t="s">
        <v>21</v>
      </c>
      <c r="H1329" s="1">
        <v>18</v>
      </c>
      <c r="I1329" s="1">
        <v>21983</v>
      </c>
      <c r="J1329" s="14" t="s">
        <v>858</v>
      </c>
      <c r="K1329" s="1" t="s">
        <v>51</v>
      </c>
      <c r="L1329" s="1" t="s">
        <v>640</v>
      </c>
      <c r="M1329" s="14">
        <v>1</v>
      </c>
      <c r="N1329" s="2">
        <v>1006.07</v>
      </c>
      <c r="O1329" s="16">
        <v>1258</v>
      </c>
      <c r="P1329" s="14">
        <v>88</v>
      </c>
      <c r="Q1329" s="14">
        <f t="shared" si="20"/>
        <v>1170</v>
      </c>
      <c r="R1329" s="1">
        <v>9</v>
      </c>
      <c r="S1329" s="1">
        <v>200010026815</v>
      </c>
      <c r="T1329" s="1">
        <v>29</v>
      </c>
      <c r="U1329" s="1">
        <v>1</v>
      </c>
      <c r="V1329" s="1">
        <v>3</v>
      </c>
    </row>
    <row r="1330" spans="1:22" x14ac:dyDescent="0.25">
      <c r="A1330" s="3">
        <v>44774</v>
      </c>
      <c r="B1330" s="4">
        <v>0.57680555555555557</v>
      </c>
      <c r="C1330" s="1">
        <v>1348</v>
      </c>
      <c r="D1330" s="1">
        <v>13002561</v>
      </c>
      <c r="E1330" s="1">
        <v>13</v>
      </c>
      <c r="F1330" s="1">
        <v>22589</v>
      </c>
      <c r="G1330" s="1" t="s">
        <v>21</v>
      </c>
      <c r="H1330" s="1">
        <v>15</v>
      </c>
      <c r="I1330" s="1">
        <v>337928</v>
      </c>
      <c r="J1330" s="14" t="s">
        <v>305</v>
      </c>
      <c r="K1330" s="1" t="s">
        <v>117</v>
      </c>
      <c r="L1330" s="1" t="s">
        <v>306</v>
      </c>
      <c r="M1330" s="14">
        <v>1</v>
      </c>
      <c r="N1330" s="2">
        <v>52.17</v>
      </c>
      <c r="O1330" s="16">
        <v>75</v>
      </c>
      <c r="P1330" s="14">
        <v>5</v>
      </c>
      <c r="Q1330" s="14">
        <f t="shared" si="20"/>
        <v>70</v>
      </c>
      <c r="R1330" s="1">
        <v>9</v>
      </c>
      <c r="S1330" s="1">
        <v>200010021953</v>
      </c>
      <c r="T1330" s="1">
        <v>29</v>
      </c>
      <c r="U1330" s="1">
        <v>1</v>
      </c>
      <c r="V1330" s="1">
        <v>8</v>
      </c>
    </row>
    <row r="1331" spans="1:22" x14ac:dyDescent="0.25">
      <c r="A1331" s="3">
        <v>44774</v>
      </c>
      <c r="B1331" s="4">
        <v>0.5113078703703704</v>
      </c>
      <c r="C1331" s="1">
        <v>1323</v>
      </c>
      <c r="D1331" s="1">
        <v>13002561</v>
      </c>
      <c r="E1331" s="1">
        <v>13</v>
      </c>
      <c r="F1331" s="1">
        <v>22589</v>
      </c>
      <c r="G1331" s="1" t="s">
        <v>21</v>
      </c>
      <c r="H1331" s="1">
        <v>18</v>
      </c>
      <c r="I1331" s="1">
        <v>298762</v>
      </c>
      <c r="J1331" s="14" t="s">
        <v>235</v>
      </c>
      <c r="K1331" s="1" t="s">
        <v>45</v>
      </c>
      <c r="L1331" s="1" t="s">
        <v>236</v>
      </c>
      <c r="M1331" s="14">
        <v>1</v>
      </c>
      <c r="N1331" s="2">
        <v>105.68</v>
      </c>
      <c r="O1331" s="16">
        <v>145</v>
      </c>
      <c r="P1331" s="14">
        <v>10</v>
      </c>
      <c r="Q1331" s="14">
        <f t="shared" si="20"/>
        <v>135</v>
      </c>
      <c r="R1331" s="1">
        <v>9</v>
      </c>
      <c r="S1331" s="1">
        <v>200010015470</v>
      </c>
      <c r="T1331" s="1">
        <v>29</v>
      </c>
      <c r="U1331" s="1">
        <v>1</v>
      </c>
      <c r="V1331" s="1">
        <v>3</v>
      </c>
    </row>
    <row r="1332" spans="1:22" x14ac:dyDescent="0.25">
      <c r="A1332" s="3">
        <v>44777</v>
      </c>
      <c r="B1332" s="4">
        <v>0.67237268518518523</v>
      </c>
      <c r="C1332" s="1">
        <v>1743</v>
      </c>
      <c r="D1332" s="1">
        <v>13002606</v>
      </c>
      <c r="E1332" s="1">
        <v>13</v>
      </c>
      <c r="F1332" s="1">
        <v>22589</v>
      </c>
      <c r="G1332" s="1" t="s">
        <v>21</v>
      </c>
      <c r="H1332" s="1">
        <v>18</v>
      </c>
      <c r="I1332" s="1">
        <v>298762</v>
      </c>
      <c r="J1332" s="14" t="s">
        <v>235</v>
      </c>
      <c r="K1332" s="1" t="s">
        <v>45</v>
      </c>
      <c r="L1332" s="1" t="s">
        <v>236</v>
      </c>
      <c r="M1332" s="14">
        <v>1</v>
      </c>
      <c r="N1332" s="2">
        <v>105.68</v>
      </c>
      <c r="O1332" s="16">
        <v>145</v>
      </c>
      <c r="P1332" s="14">
        <v>10</v>
      </c>
      <c r="Q1332" s="14">
        <f t="shared" si="20"/>
        <v>135</v>
      </c>
      <c r="R1332" s="1">
        <v>9</v>
      </c>
      <c r="S1332" s="1">
        <v>200010021345</v>
      </c>
      <c r="T1332" s="1">
        <v>50</v>
      </c>
      <c r="U1332" s="1">
        <v>1</v>
      </c>
      <c r="V1332" s="1">
        <v>5</v>
      </c>
    </row>
    <row r="1333" spans="1:22" x14ac:dyDescent="0.25">
      <c r="A1333" s="3">
        <v>44778</v>
      </c>
      <c r="B1333" s="4">
        <v>0.5577199074074074</v>
      </c>
      <c r="C1333" s="1">
        <v>1844</v>
      </c>
      <c r="D1333" s="1">
        <v>13002616</v>
      </c>
      <c r="E1333" s="1">
        <v>13</v>
      </c>
      <c r="F1333" s="1">
        <v>22589</v>
      </c>
      <c r="G1333" s="1" t="s">
        <v>21</v>
      </c>
      <c r="H1333" s="1">
        <v>18</v>
      </c>
      <c r="I1333" s="1">
        <v>298762</v>
      </c>
      <c r="J1333" s="14" t="s">
        <v>235</v>
      </c>
      <c r="K1333" s="1" t="s">
        <v>45</v>
      </c>
      <c r="L1333" s="1" t="s">
        <v>236</v>
      </c>
      <c r="M1333" s="14">
        <v>1</v>
      </c>
      <c r="N1333" s="2">
        <v>105.68</v>
      </c>
      <c r="O1333" s="16">
        <v>145</v>
      </c>
      <c r="P1333" s="14">
        <v>0</v>
      </c>
      <c r="Q1333" s="14">
        <f t="shared" si="20"/>
        <v>145</v>
      </c>
      <c r="R1333" s="1" t="s">
        <v>25</v>
      </c>
      <c r="S1333" s="1" t="s">
        <v>25</v>
      </c>
      <c r="T1333" s="1">
        <v>50</v>
      </c>
      <c r="U1333" s="1">
        <v>1</v>
      </c>
      <c r="V1333" s="1">
        <v>9</v>
      </c>
    </row>
    <row r="1334" spans="1:22" x14ac:dyDescent="0.25">
      <c r="A1334" s="3">
        <v>44774</v>
      </c>
      <c r="B1334" s="4">
        <v>0.52379629629629632</v>
      </c>
      <c r="C1334" s="1">
        <v>1327</v>
      </c>
      <c r="D1334" s="1">
        <v>13002561</v>
      </c>
      <c r="E1334" s="1">
        <v>13</v>
      </c>
      <c r="F1334" s="1">
        <v>22589</v>
      </c>
      <c r="G1334" s="1" t="s">
        <v>21</v>
      </c>
      <c r="H1334" s="1">
        <v>18</v>
      </c>
      <c r="I1334" s="1">
        <v>295403</v>
      </c>
      <c r="J1334" s="14" t="s">
        <v>247</v>
      </c>
      <c r="K1334" s="1" t="s">
        <v>141</v>
      </c>
      <c r="L1334" s="1" t="s">
        <v>248</v>
      </c>
      <c r="M1334" s="14">
        <v>1</v>
      </c>
      <c r="N1334" s="2">
        <v>26.18</v>
      </c>
      <c r="O1334" s="16">
        <v>32</v>
      </c>
      <c r="P1334" s="14">
        <v>0</v>
      </c>
      <c r="Q1334" s="14">
        <f t="shared" si="20"/>
        <v>32</v>
      </c>
      <c r="R1334" s="1" t="s">
        <v>25</v>
      </c>
      <c r="S1334" s="1" t="s">
        <v>25</v>
      </c>
      <c r="T1334" s="1">
        <v>29</v>
      </c>
      <c r="U1334" s="1">
        <v>1</v>
      </c>
      <c r="V1334" s="1">
        <v>7</v>
      </c>
    </row>
    <row r="1335" spans="1:22" x14ac:dyDescent="0.25">
      <c r="A1335" s="3">
        <v>44777</v>
      </c>
      <c r="B1335" s="4">
        <v>0.6758912037037037</v>
      </c>
      <c r="C1335" s="1">
        <v>1744</v>
      </c>
      <c r="D1335" s="1">
        <v>13002606</v>
      </c>
      <c r="E1335" s="1">
        <v>13</v>
      </c>
      <c r="F1335" s="1">
        <v>22589</v>
      </c>
      <c r="G1335" s="1" t="s">
        <v>21</v>
      </c>
      <c r="H1335" s="1">
        <v>15</v>
      </c>
      <c r="I1335" s="1">
        <v>94783</v>
      </c>
      <c r="J1335" s="14" t="s">
        <v>1037</v>
      </c>
      <c r="K1335" s="1" t="s">
        <v>34</v>
      </c>
      <c r="L1335" s="1" t="s">
        <v>810</v>
      </c>
      <c r="M1335" s="14">
        <v>6.6666669999999997E-2</v>
      </c>
      <c r="N1335" s="2">
        <v>2988.82</v>
      </c>
      <c r="O1335" s="16">
        <v>4095</v>
      </c>
      <c r="P1335" s="14">
        <v>0</v>
      </c>
      <c r="Q1335" s="14">
        <f t="shared" si="20"/>
        <v>273.00001364999997</v>
      </c>
      <c r="R1335" s="1" t="s">
        <v>25</v>
      </c>
      <c r="S1335" s="1" t="s">
        <v>25</v>
      </c>
      <c r="T1335" s="1">
        <v>50</v>
      </c>
      <c r="U1335" s="1">
        <v>1</v>
      </c>
      <c r="V1335" s="1">
        <v>2</v>
      </c>
    </row>
    <row r="1336" spans="1:22" x14ac:dyDescent="0.25">
      <c r="A1336" s="3">
        <v>44777</v>
      </c>
      <c r="B1336" s="4">
        <v>0.39839120370370368</v>
      </c>
      <c r="C1336" s="1">
        <v>1669</v>
      </c>
      <c r="D1336" s="1">
        <v>13002606</v>
      </c>
      <c r="E1336" s="1">
        <v>13</v>
      </c>
      <c r="F1336" s="1">
        <v>22589</v>
      </c>
      <c r="G1336" s="1" t="s">
        <v>21</v>
      </c>
      <c r="H1336" s="1">
        <v>15</v>
      </c>
      <c r="I1336" s="1">
        <v>50107</v>
      </c>
      <c r="J1336" s="14" t="s">
        <v>935</v>
      </c>
      <c r="K1336" s="1" t="s">
        <v>34</v>
      </c>
      <c r="L1336" s="1" t="s">
        <v>810</v>
      </c>
      <c r="M1336" s="14">
        <v>0.2</v>
      </c>
      <c r="N1336" s="2">
        <v>1195.4100000000001</v>
      </c>
      <c r="O1336" s="16">
        <v>1638</v>
      </c>
      <c r="P1336" s="14">
        <v>0</v>
      </c>
      <c r="Q1336" s="14">
        <f t="shared" si="20"/>
        <v>327.60000000000002</v>
      </c>
      <c r="R1336" s="1" t="s">
        <v>25</v>
      </c>
      <c r="S1336" s="1" t="s">
        <v>25</v>
      </c>
      <c r="T1336" s="1">
        <v>50</v>
      </c>
      <c r="U1336" s="1">
        <v>1</v>
      </c>
      <c r="V1336" s="1">
        <v>1</v>
      </c>
    </row>
    <row r="1337" spans="1:22" x14ac:dyDescent="0.25">
      <c r="A1337" s="3">
        <v>44776</v>
      </c>
      <c r="B1337" s="4">
        <v>0.53063657407407405</v>
      </c>
      <c r="C1337" s="1">
        <v>1586</v>
      </c>
      <c r="D1337" s="1">
        <v>13002595</v>
      </c>
      <c r="E1337" s="1">
        <v>13</v>
      </c>
      <c r="F1337" s="1">
        <v>22589</v>
      </c>
      <c r="G1337" s="1" t="s">
        <v>21</v>
      </c>
      <c r="H1337" s="1">
        <v>15</v>
      </c>
      <c r="I1337" s="1">
        <v>99346</v>
      </c>
      <c r="J1337" s="14" t="s">
        <v>809</v>
      </c>
      <c r="K1337" s="1" t="s">
        <v>117</v>
      </c>
      <c r="L1337" s="1" t="s">
        <v>810</v>
      </c>
      <c r="M1337" s="14">
        <v>0.12</v>
      </c>
      <c r="N1337" s="2">
        <v>364.98</v>
      </c>
      <c r="O1337" s="16">
        <v>537</v>
      </c>
      <c r="P1337" s="14">
        <v>0</v>
      </c>
      <c r="Q1337" s="14">
        <f t="shared" si="20"/>
        <v>64.44</v>
      </c>
      <c r="R1337" s="1" t="s">
        <v>25</v>
      </c>
      <c r="S1337" s="1" t="s">
        <v>25</v>
      </c>
      <c r="T1337" s="1">
        <v>29</v>
      </c>
      <c r="U1337" s="1">
        <v>1</v>
      </c>
      <c r="V1337" s="1">
        <v>2</v>
      </c>
    </row>
    <row r="1338" spans="1:22" x14ac:dyDescent="0.25">
      <c r="A1338" s="3">
        <v>44776</v>
      </c>
      <c r="B1338" s="4">
        <v>0.56142361111111116</v>
      </c>
      <c r="C1338" s="1">
        <v>1597</v>
      </c>
      <c r="D1338" s="1">
        <v>13002595</v>
      </c>
      <c r="E1338" s="1">
        <v>13</v>
      </c>
      <c r="F1338" s="1">
        <v>22589</v>
      </c>
      <c r="G1338" s="1" t="s">
        <v>21</v>
      </c>
      <c r="H1338" s="1">
        <v>18</v>
      </c>
      <c r="I1338" s="1">
        <v>108630</v>
      </c>
      <c r="J1338" s="14" t="s">
        <v>826</v>
      </c>
      <c r="K1338" s="1" t="s">
        <v>117</v>
      </c>
      <c r="L1338" s="1" t="s">
        <v>810</v>
      </c>
      <c r="M1338" s="14">
        <v>0.24</v>
      </c>
      <c r="N1338" s="2">
        <v>1085.72</v>
      </c>
      <c r="O1338" s="16">
        <v>1488</v>
      </c>
      <c r="P1338" s="14">
        <v>35.119999999999997</v>
      </c>
      <c r="Q1338" s="14">
        <f t="shared" si="20"/>
        <v>322</v>
      </c>
      <c r="R1338" s="1">
        <v>9</v>
      </c>
      <c r="S1338" s="1">
        <v>200010018142</v>
      </c>
      <c r="T1338" s="1">
        <v>29</v>
      </c>
      <c r="U1338" s="1">
        <v>1</v>
      </c>
      <c r="V1338" s="1">
        <v>1</v>
      </c>
    </row>
    <row r="1339" spans="1:22" x14ac:dyDescent="0.25">
      <c r="A1339" s="3">
        <v>44777</v>
      </c>
      <c r="B1339" s="4">
        <v>0.57207175925925924</v>
      </c>
      <c r="C1339" s="1">
        <v>1721</v>
      </c>
      <c r="D1339" s="1">
        <v>13002606</v>
      </c>
      <c r="E1339" s="1">
        <v>13</v>
      </c>
      <c r="F1339" s="1">
        <v>22589</v>
      </c>
      <c r="G1339" s="1" t="s">
        <v>21</v>
      </c>
      <c r="H1339" s="1">
        <v>15</v>
      </c>
      <c r="I1339" s="1">
        <v>99349</v>
      </c>
      <c r="J1339" s="14" t="s">
        <v>1011</v>
      </c>
      <c r="K1339" s="1" t="s">
        <v>34</v>
      </c>
      <c r="L1339" s="1" t="s">
        <v>810</v>
      </c>
      <c r="M1339" s="14">
        <v>0.04</v>
      </c>
      <c r="N1339" s="2">
        <v>438.6</v>
      </c>
      <c r="O1339" s="16">
        <v>645</v>
      </c>
      <c r="P1339" s="14">
        <v>0</v>
      </c>
      <c r="Q1339" s="14">
        <f t="shared" si="20"/>
        <v>25.8</v>
      </c>
      <c r="R1339" s="1" t="s">
        <v>25</v>
      </c>
      <c r="S1339" s="1" t="s">
        <v>25</v>
      </c>
      <c r="T1339" s="1">
        <v>50</v>
      </c>
      <c r="U1339" s="1">
        <v>1</v>
      </c>
      <c r="V1339" s="1">
        <v>1</v>
      </c>
    </row>
    <row r="1340" spans="1:22" x14ac:dyDescent="0.25">
      <c r="A1340" s="3">
        <v>44775</v>
      </c>
      <c r="B1340" s="4">
        <v>0.38670138888888889</v>
      </c>
      <c r="C1340" s="1">
        <v>1426</v>
      </c>
      <c r="D1340" s="1">
        <v>13002581</v>
      </c>
      <c r="E1340" s="1">
        <v>13</v>
      </c>
      <c r="F1340" s="1">
        <v>22589</v>
      </c>
      <c r="G1340" s="1" t="s">
        <v>21</v>
      </c>
      <c r="H1340" s="1">
        <v>18</v>
      </c>
      <c r="I1340" s="1">
        <v>137821</v>
      </c>
      <c r="J1340" s="14" t="s">
        <v>496</v>
      </c>
      <c r="K1340" s="1" t="s">
        <v>34</v>
      </c>
      <c r="L1340" s="1" t="s">
        <v>497</v>
      </c>
      <c r="M1340" s="14">
        <v>1</v>
      </c>
      <c r="N1340" s="2">
        <v>123.42</v>
      </c>
      <c r="O1340" s="16">
        <v>192</v>
      </c>
      <c r="P1340" s="14">
        <v>19</v>
      </c>
      <c r="Q1340" s="14">
        <f t="shared" si="20"/>
        <v>173</v>
      </c>
      <c r="R1340" s="1">
        <v>9</v>
      </c>
      <c r="S1340" s="1">
        <v>200010004820</v>
      </c>
      <c r="T1340" s="1">
        <v>29</v>
      </c>
      <c r="U1340" s="1">
        <v>1</v>
      </c>
      <c r="V1340" s="1">
        <v>1</v>
      </c>
    </row>
    <row r="1341" spans="1:22" x14ac:dyDescent="0.25">
      <c r="A1341" s="3">
        <v>44777</v>
      </c>
      <c r="B1341" s="4">
        <v>0.69791666666666663</v>
      </c>
      <c r="C1341" s="1">
        <v>1753</v>
      </c>
      <c r="D1341" s="1">
        <v>13002606</v>
      </c>
      <c r="E1341" s="1">
        <v>13</v>
      </c>
      <c r="F1341" s="1">
        <v>22589</v>
      </c>
      <c r="G1341" s="1" t="s">
        <v>21</v>
      </c>
      <c r="H1341" s="1">
        <v>15</v>
      </c>
      <c r="I1341" s="1">
        <v>48879</v>
      </c>
      <c r="J1341" s="14" t="s">
        <v>1052</v>
      </c>
      <c r="K1341" s="1" t="s">
        <v>34</v>
      </c>
      <c r="L1341" s="1" t="s">
        <v>810</v>
      </c>
      <c r="M1341" s="14">
        <v>1</v>
      </c>
      <c r="N1341" s="2">
        <v>137.82</v>
      </c>
      <c r="O1341" s="16">
        <v>214</v>
      </c>
      <c r="P1341" s="14">
        <v>0</v>
      </c>
      <c r="Q1341" s="14">
        <f t="shared" si="20"/>
        <v>214</v>
      </c>
      <c r="R1341" s="1" t="s">
        <v>25</v>
      </c>
      <c r="S1341" s="1" t="s">
        <v>25</v>
      </c>
      <c r="T1341" s="1">
        <v>50</v>
      </c>
      <c r="U1341" s="1">
        <v>1</v>
      </c>
      <c r="V1341" s="1">
        <v>2</v>
      </c>
    </row>
    <row r="1342" spans="1:22" x14ac:dyDescent="0.25">
      <c r="A1342" s="3">
        <v>44774</v>
      </c>
      <c r="B1342" s="4">
        <v>0.53118055555555554</v>
      </c>
      <c r="C1342" s="1">
        <v>1330</v>
      </c>
      <c r="D1342" s="1">
        <v>13002561</v>
      </c>
      <c r="E1342" s="1">
        <v>13</v>
      </c>
      <c r="F1342" s="1">
        <v>22589</v>
      </c>
      <c r="G1342" s="1" t="s">
        <v>21</v>
      </c>
      <c r="H1342" s="1">
        <v>15</v>
      </c>
      <c r="I1342" s="1">
        <v>278598</v>
      </c>
      <c r="J1342" s="14" t="s">
        <v>263</v>
      </c>
      <c r="K1342" s="1" t="s">
        <v>23</v>
      </c>
      <c r="L1342" s="1" t="s">
        <v>99</v>
      </c>
      <c r="M1342" s="14">
        <v>1</v>
      </c>
      <c r="N1342" s="2">
        <v>17.7</v>
      </c>
      <c r="O1342" s="16">
        <v>29</v>
      </c>
      <c r="P1342" s="14">
        <v>0</v>
      </c>
      <c r="Q1342" s="14">
        <f t="shared" si="20"/>
        <v>29</v>
      </c>
      <c r="R1342" s="1" t="s">
        <v>25</v>
      </c>
      <c r="S1342" s="1" t="s">
        <v>25</v>
      </c>
      <c r="T1342" s="1">
        <v>29</v>
      </c>
      <c r="U1342" s="1">
        <v>1</v>
      </c>
      <c r="V1342" s="1">
        <v>1</v>
      </c>
    </row>
    <row r="1343" spans="1:22" x14ac:dyDescent="0.25">
      <c r="A1343" s="3">
        <v>44774</v>
      </c>
      <c r="B1343" s="4">
        <v>0.43896990740740743</v>
      </c>
      <c r="C1343" s="1">
        <v>1290</v>
      </c>
      <c r="D1343" s="1">
        <v>13002561</v>
      </c>
      <c r="E1343" s="1">
        <v>13</v>
      </c>
      <c r="F1343" s="1">
        <v>22589</v>
      </c>
      <c r="G1343" s="1" t="s">
        <v>21</v>
      </c>
      <c r="H1343" s="1">
        <v>15</v>
      </c>
      <c r="I1343" s="1">
        <v>278599</v>
      </c>
      <c r="J1343" s="14" t="s">
        <v>98</v>
      </c>
      <c r="K1343" s="1" t="s">
        <v>23</v>
      </c>
      <c r="L1343" s="1" t="s">
        <v>99</v>
      </c>
      <c r="M1343" s="14">
        <v>2</v>
      </c>
      <c r="N1343" s="2">
        <v>30.62</v>
      </c>
      <c r="O1343" s="16">
        <v>50</v>
      </c>
      <c r="P1343" s="14">
        <v>10</v>
      </c>
      <c r="Q1343" s="14">
        <f t="shared" si="20"/>
        <v>90</v>
      </c>
      <c r="R1343" s="1">
        <v>9</v>
      </c>
      <c r="S1343" s="1">
        <v>200010000065</v>
      </c>
      <c r="T1343" s="1">
        <v>29</v>
      </c>
      <c r="U1343" s="1">
        <v>1</v>
      </c>
      <c r="V1343" s="1">
        <v>8</v>
      </c>
    </row>
    <row r="1344" spans="1:22" x14ac:dyDescent="0.25">
      <c r="A1344" s="3">
        <v>44775</v>
      </c>
      <c r="B1344" s="4">
        <v>0.49315972222222221</v>
      </c>
      <c r="C1344" s="1">
        <v>1450</v>
      </c>
      <c r="D1344" s="1">
        <v>13002581</v>
      </c>
      <c r="E1344" s="1">
        <v>13</v>
      </c>
      <c r="F1344" s="1">
        <v>22589</v>
      </c>
      <c r="G1344" s="1" t="s">
        <v>21</v>
      </c>
      <c r="H1344" s="1">
        <v>15</v>
      </c>
      <c r="I1344" s="1">
        <v>278599</v>
      </c>
      <c r="J1344" s="14" t="s">
        <v>98</v>
      </c>
      <c r="K1344" s="1" t="s">
        <v>23</v>
      </c>
      <c r="L1344" s="1" t="s">
        <v>99</v>
      </c>
      <c r="M1344" s="14">
        <v>2</v>
      </c>
      <c r="N1344" s="2">
        <v>30.62</v>
      </c>
      <c r="O1344" s="16">
        <v>50</v>
      </c>
      <c r="P1344" s="14">
        <v>10</v>
      </c>
      <c r="Q1344" s="14">
        <f t="shared" si="20"/>
        <v>90</v>
      </c>
      <c r="R1344" s="1">
        <v>9</v>
      </c>
      <c r="S1344" s="1">
        <v>200010019550</v>
      </c>
      <c r="T1344" s="1">
        <v>29</v>
      </c>
      <c r="U1344" s="1">
        <v>1</v>
      </c>
      <c r="V1344" s="1">
        <v>3</v>
      </c>
    </row>
    <row r="1345" spans="1:22" x14ac:dyDescent="0.25">
      <c r="A1345" s="3">
        <v>44778</v>
      </c>
      <c r="B1345" s="4">
        <v>0.65141203703703698</v>
      </c>
      <c r="C1345" s="1">
        <v>1867</v>
      </c>
      <c r="D1345" s="1">
        <v>13002616</v>
      </c>
      <c r="E1345" s="1">
        <v>13</v>
      </c>
      <c r="F1345" s="1">
        <v>22589</v>
      </c>
      <c r="G1345" s="1" t="s">
        <v>21</v>
      </c>
      <c r="H1345" s="1">
        <v>15</v>
      </c>
      <c r="I1345" s="1">
        <v>278599</v>
      </c>
      <c r="J1345" s="14" t="s">
        <v>98</v>
      </c>
      <c r="K1345" s="1" t="s">
        <v>23</v>
      </c>
      <c r="L1345" s="1" t="s">
        <v>99</v>
      </c>
      <c r="M1345" s="14">
        <v>3</v>
      </c>
      <c r="N1345" s="2">
        <v>30.62</v>
      </c>
      <c r="O1345" s="16">
        <v>50</v>
      </c>
      <c r="P1345" s="14">
        <v>15</v>
      </c>
      <c r="Q1345" s="14">
        <f t="shared" si="20"/>
        <v>135</v>
      </c>
      <c r="R1345" s="1">
        <v>9</v>
      </c>
      <c r="S1345" s="1">
        <v>200010014429</v>
      </c>
      <c r="T1345" s="1">
        <v>50</v>
      </c>
      <c r="U1345" s="1">
        <v>1</v>
      </c>
      <c r="V1345" s="1">
        <v>5</v>
      </c>
    </row>
    <row r="1346" spans="1:22" x14ac:dyDescent="0.25">
      <c r="A1346" s="3">
        <v>44775</v>
      </c>
      <c r="B1346" s="4">
        <v>0.55350694444444448</v>
      </c>
      <c r="C1346" s="1">
        <v>1473</v>
      </c>
      <c r="D1346" s="1">
        <v>13002581</v>
      </c>
      <c r="E1346" s="1">
        <v>13</v>
      </c>
      <c r="F1346" s="1">
        <v>22589</v>
      </c>
      <c r="G1346" s="1" t="s">
        <v>21</v>
      </c>
      <c r="H1346" s="1">
        <v>15</v>
      </c>
      <c r="I1346" s="1">
        <v>347235</v>
      </c>
      <c r="J1346" s="14" t="s">
        <v>593</v>
      </c>
      <c r="K1346" s="1" t="s">
        <v>34</v>
      </c>
      <c r="L1346" s="1" t="s">
        <v>383</v>
      </c>
      <c r="M1346" s="14">
        <v>1</v>
      </c>
      <c r="N1346" s="2">
        <v>11.55</v>
      </c>
      <c r="O1346" s="16">
        <v>14</v>
      </c>
      <c r="P1346" s="14">
        <v>0</v>
      </c>
      <c r="Q1346" s="14">
        <f t="shared" ref="Q1346:Q1409" si="21">M1346*O1346-P1346</f>
        <v>14</v>
      </c>
      <c r="R1346" s="1" t="s">
        <v>25</v>
      </c>
      <c r="S1346" s="1" t="s">
        <v>25</v>
      </c>
      <c r="T1346" s="1">
        <v>29</v>
      </c>
      <c r="U1346" s="1">
        <v>1</v>
      </c>
      <c r="V1346" s="1">
        <v>3</v>
      </c>
    </row>
    <row r="1347" spans="1:22" x14ac:dyDescent="0.25">
      <c r="A1347" s="3">
        <v>44775</v>
      </c>
      <c r="B1347" s="4">
        <v>0.67112268518518514</v>
      </c>
      <c r="C1347" s="1">
        <v>1492</v>
      </c>
      <c r="D1347" s="1">
        <v>13002581</v>
      </c>
      <c r="E1347" s="1">
        <v>13</v>
      </c>
      <c r="F1347" s="1">
        <v>22589</v>
      </c>
      <c r="G1347" s="1" t="s">
        <v>21</v>
      </c>
      <c r="H1347" s="1">
        <v>18</v>
      </c>
      <c r="I1347" s="1">
        <v>455371</v>
      </c>
      <c r="J1347" s="14" t="s">
        <v>636</v>
      </c>
      <c r="K1347" s="1" t="s">
        <v>51</v>
      </c>
      <c r="L1347" s="1" t="s">
        <v>397</v>
      </c>
      <c r="M1347" s="14">
        <v>1</v>
      </c>
      <c r="N1347" s="2">
        <v>23.14</v>
      </c>
      <c r="O1347" s="16">
        <v>28</v>
      </c>
      <c r="P1347" s="14">
        <v>1</v>
      </c>
      <c r="Q1347" s="14">
        <f t="shared" si="21"/>
        <v>27</v>
      </c>
      <c r="R1347" s="1">
        <v>9</v>
      </c>
      <c r="S1347" s="1">
        <v>200010026807</v>
      </c>
      <c r="T1347" s="1">
        <v>29</v>
      </c>
      <c r="U1347" s="1">
        <v>1</v>
      </c>
      <c r="V1347" s="1">
        <v>3</v>
      </c>
    </row>
    <row r="1348" spans="1:22" x14ac:dyDescent="0.25">
      <c r="A1348" s="3">
        <v>44775</v>
      </c>
      <c r="B1348" s="4">
        <v>0.66707175925925921</v>
      </c>
      <c r="C1348" s="1">
        <v>1491</v>
      </c>
      <c r="D1348" s="1">
        <v>13002581</v>
      </c>
      <c r="E1348" s="1">
        <v>13</v>
      </c>
      <c r="F1348" s="1">
        <v>22589</v>
      </c>
      <c r="G1348" s="1" t="s">
        <v>21</v>
      </c>
      <c r="H1348" s="1">
        <v>15</v>
      </c>
      <c r="I1348" s="1">
        <v>22045</v>
      </c>
      <c r="J1348" s="14" t="s">
        <v>632</v>
      </c>
      <c r="K1348" s="1" t="s">
        <v>23</v>
      </c>
      <c r="L1348" s="1" t="s">
        <v>633</v>
      </c>
      <c r="M1348" s="14">
        <v>1</v>
      </c>
      <c r="N1348" s="2">
        <v>383.15</v>
      </c>
      <c r="O1348" s="16">
        <v>506</v>
      </c>
      <c r="P1348" s="14">
        <v>35</v>
      </c>
      <c r="Q1348" s="14">
        <f t="shared" si="21"/>
        <v>471</v>
      </c>
      <c r="R1348" s="1">
        <v>9</v>
      </c>
      <c r="S1348" s="1">
        <v>200010013439</v>
      </c>
      <c r="T1348" s="1">
        <v>29</v>
      </c>
      <c r="U1348" s="1">
        <v>1</v>
      </c>
      <c r="V1348" s="1">
        <v>1</v>
      </c>
    </row>
    <row r="1349" spans="1:22" x14ac:dyDescent="0.25">
      <c r="A1349" s="3">
        <v>44775</v>
      </c>
      <c r="B1349" s="4">
        <v>0.77778935185185183</v>
      </c>
      <c r="C1349" s="1">
        <v>1525</v>
      </c>
      <c r="D1349" s="1">
        <v>13002581</v>
      </c>
      <c r="E1349" s="1">
        <v>13</v>
      </c>
      <c r="F1349" s="1">
        <v>22589</v>
      </c>
      <c r="G1349" s="1" t="s">
        <v>21</v>
      </c>
      <c r="H1349" s="1">
        <v>18</v>
      </c>
      <c r="I1349" s="1">
        <v>24992</v>
      </c>
      <c r="J1349" s="14" t="s">
        <v>682</v>
      </c>
      <c r="K1349" s="1" t="s">
        <v>51</v>
      </c>
      <c r="L1349" s="1" t="s">
        <v>377</v>
      </c>
      <c r="M1349" s="14">
        <v>0.33333332999999998</v>
      </c>
      <c r="N1349" s="2">
        <v>1209.3</v>
      </c>
      <c r="O1349" s="16">
        <v>1512</v>
      </c>
      <c r="P1349" s="14">
        <v>0</v>
      </c>
      <c r="Q1349" s="14">
        <f t="shared" si="21"/>
        <v>503.99999495999998</v>
      </c>
      <c r="R1349" s="1" t="s">
        <v>25</v>
      </c>
      <c r="S1349" s="1" t="s">
        <v>25</v>
      </c>
      <c r="T1349" s="1">
        <v>29</v>
      </c>
      <c r="U1349" s="1">
        <v>1</v>
      </c>
      <c r="V1349" s="1">
        <v>2</v>
      </c>
    </row>
    <row r="1350" spans="1:22" x14ac:dyDescent="0.25">
      <c r="A1350" s="3">
        <v>44776</v>
      </c>
      <c r="B1350" s="4">
        <v>0.79831018518518515</v>
      </c>
      <c r="C1350" s="1">
        <v>1652</v>
      </c>
      <c r="D1350" s="1">
        <v>13002595</v>
      </c>
      <c r="E1350" s="1">
        <v>13</v>
      </c>
      <c r="F1350" s="1">
        <v>22589</v>
      </c>
      <c r="G1350" s="1" t="s">
        <v>21</v>
      </c>
      <c r="H1350" s="1">
        <v>15</v>
      </c>
      <c r="I1350" s="1">
        <v>1365</v>
      </c>
      <c r="J1350" s="14" t="s">
        <v>916</v>
      </c>
      <c r="K1350" s="1" t="s">
        <v>51</v>
      </c>
      <c r="L1350" s="1" t="s">
        <v>917</v>
      </c>
      <c r="M1350" s="14">
        <v>1</v>
      </c>
      <c r="N1350" s="2">
        <v>97.54</v>
      </c>
      <c r="O1350" s="16">
        <v>122</v>
      </c>
      <c r="P1350" s="14">
        <v>0</v>
      </c>
      <c r="Q1350" s="14">
        <f t="shared" si="21"/>
        <v>122</v>
      </c>
      <c r="R1350" s="1" t="s">
        <v>25</v>
      </c>
      <c r="S1350" s="1" t="s">
        <v>25</v>
      </c>
      <c r="T1350" s="1">
        <v>29</v>
      </c>
      <c r="U1350" s="1">
        <v>1</v>
      </c>
      <c r="V1350" s="1">
        <v>6</v>
      </c>
    </row>
    <row r="1351" spans="1:22" x14ac:dyDescent="0.25">
      <c r="A1351" s="3">
        <v>44778</v>
      </c>
      <c r="B1351" s="4">
        <v>0.53781250000000003</v>
      </c>
      <c r="C1351" s="1">
        <v>1841</v>
      </c>
      <c r="D1351" s="1">
        <v>13002616</v>
      </c>
      <c r="E1351" s="1">
        <v>13</v>
      </c>
      <c r="F1351" s="1">
        <v>22589</v>
      </c>
      <c r="G1351" s="1" t="s">
        <v>21</v>
      </c>
      <c r="H1351" s="1">
        <v>18</v>
      </c>
      <c r="I1351" s="1">
        <v>190687</v>
      </c>
      <c r="J1351" s="14" t="s">
        <v>1142</v>
      </c>
      <c r="K1351" s="1" t="s">
        <v>51</v>
      </c>
      <c r="L1351" s="1" t="s">
        <v>248</v>
      </c>
      <c r="M1351" s="14">
        <v>1</v>
      </c>
      <c r="N1351" s="2">
        <v>82.51</v>
      </c>
      <c r="O1351" s="16">
        <v>103</v>
      </c>
      <c r="P1351" s="14">
        <v>0</v>
      </c>
      <c r="Q1351" s="14">
        <f t="shared" si="21"/>
        <v>103</v>
      </c>
      <c r="R1351" s="1" t="s">
        <v>25</v>
      </c>
      <c r="S1351" s="1" t="s">
        <v>25</v>
      </c>
      <c r="T1351" s="1">
        <v>50</v>
      </c>
      <c r="U1351" s="1">
        <v>1</v>
      </c>
      <c r="V1351" s="1">
        <v>5</v>
      </c>
    </row>
    <row r="1352" spans="1:22" x14ac:dyDescent="0.25">
      <c r="A1352" s="3">
        <v>44776</v>
      </c>
      <c r="B1352" s="4">
        <v>0.39349537037037036</v>
      </c>
      <c r="C1352" s="1">
        <v>1545</v>
      </c>
      <c r="D1352" s="1">
        <v>13002595</v>
      </c>
      <c r="E1352" s="1">
        <v>13</v>
      </c>
      <c r="F1352" s="1">
        <v>22589</v>
      </c>
      <c r="G1352" s="1" t="s">
        <v>21</v>
      </c>
      <c r="H1352" s="1">
        <v>18</v>
      </c>
      <c r="I1352" s="1">
        <v>7162</v>
      </c>
      <c r="J1352" s="14" t="s">
        <v>721</v>
      </c>
      <c r="K1352" s="1" t="s">
        <v>34</v>
      </c>
      <c r="L1352" s="1" t="s">
        <v>35</v>
      </c>
      <c r="M1352" s="14">
        <v>1</v>
      </c>
      <c r="N1352" s="2">
        <v>134.07</v>
      </c>
      <c r="O1352" s="16">
        <v>161</v>
      </c>
      <c r="P1352" s="14">
        <v>8</v>
      </c>
      <c r="Q1352" s="14">
        <f t="shared" si="21"/>
        <v>153</v>
      </c>
      <c r="R1352" s="1">
        <v>9</v>
      </c>
      <c r="S1352" s="1">
        <v>200010020285</v>
      </c>
      <c r="T1352" s="1">
        <v>29</v>
      </c>
      <c r="U1352" s="1">
        <v>1</v>
      </c>
      <c r="V1352" s="1">
        <v>2</v>
      </c>
    </row>
    <row r="1353" spans="1:22" x14ac:dyDescent="0.25">
      <c r="A1353" s="3">
        <v>44778</v>
      </c>
      <c r="B1353" s="4">
        <v>0.43732638888888886</v>
      </c>
      <c r="C1353" s="1">
        <v>1813</v>
      </c>
      <c r="D1353" s="1">
        <v>13002616</v>
      </c>
      <c r="E1353" s="1">
        <v>13</v>
      </c>
      <c r="F1353" s="1">
        <v>22589</v>
      </c>
      <c r="G1353" s="1" t="s">
        <v>21</v>
      </c>
      <c r="H1353" s="1">
        <v>15</v>
      </c>
      <c r="I1353" s="1">
        <v>157879</v>
      </c>
      <c r="J1353" s="14" t="s">
        <v>1107</v>
      </c>
      <c r="K1353" s="1" t="s">
        <v>51</v>
      </c>
      <c r="L1353" s="1" t="s">
        <v>35</v>
      </c>
      <c r="M1353" s="14">
        <v>1</v>
      </c>
      <c r="N1353" s="2">
        <v>213.39</v>
      </c>
      <c r="O1353" s="16">
        <v>254</v>
      </c>
      <c r="P1353" s="14">
        <v>12</v>
      </c>
      <c r="Q1353" s="14">
        <f t="shared" si="21"/>
        <v>242</v>
      </c>
      <c r="R1353" s="1">
        <v>9</v>
      </c>
      <c r="S1353" s="1">
        <v>200010000853</v>
      </c>
      <c r="T1353" s="1">
        <v>50</v>
      </c>
      <c r="U1353" s="1">
        <v>1</v>
      </c>
      <c r="V1353" s="1">
        <v>1</v>
      </c>
    </row>
    <row r="1354" spans="1:22" x14ac:dyDescent="0.25">
      <c r="A1354" s="3">
        <v>44776</v>
      </c>
      <c r="B1354" s="4">
        <v>0.36964120370370368</v>
      </c>
      <c r="C1354" s="1">
        <v>1543</v>
      </c>
      <c r="D1354" s="1">
        <v>13002595</v>
      </c>
      <c r="E1354" s="1">
        <v>13</v>
      </c>
      <c r="F1354" s="1">
        <v>22589</v>
      </c>
      <c r="G1354" s="1" t="s">
        <v>21</v>
      </c>
      <c r="H1354" s="1">
        <v>18</v>
      </c>
      <c r="I1354" s="1">
        <v>339756</v>
      </c>
      <c r="J1354" s="14" t="s">
        <v>715</v>
      </c>
      <c r="K1354" s="1" t="s">
        <v>51</v>
      </c>
      <c r="L1354" s="1" t="s">
        <v>218</v>
      </c>
      <c r="M1354" s="14">
        <v>1</v>
      </c>
      <c r="N1354" s="2">
        <v>28.01</v>
      </c>
      <c r="O1354" s="16">
        <v>39</v>
      </c>
      <c r="P1354" s="14">
        <v>0</v>
      </c>
      <c r="Q1354" s="14">
        <f t="shared" si="21"/>
        <v>39</v>
      </c>
      <c r="R1354" s="1" t="s">
        <v>25</v>
      </c>
      <c r="S1354" s="1" t="s">
        <v>25</v>
      </c>
      <c r="T1354" s="1">
        <v>29</v>
      </c>
      <c r="U1354" s="1">
        <v>1</v>
      </c>
      <c r="V1354" s="1">
        <v>6</v>
      </c>
    </row>
    <row r="1355" spans="1:22" x14ac:dyDescent="0.25">
      <c r="A1355" s="3">
        <v>44776</v>
      </c>
      <c r="B1355" s="4">
        <v>0.36964120370370368</v>
      </c>
      <c r="C1355" s="1">
        <v>1543</v>
      </c>
      <c r="D1355" s="1">
        <v>13002595</v>
      </c>
      <c r="E1355" s="1">
        <v>13</v>
      </c>
      <c r="F1355" s="1">
        <v>22589</v>
      </c>
      <c r="G1355" s="1" t="s">
        <v>21</v>
      </c>
      <c r="H1355" s="1">
        <v>18</v>
      </c>
      <c r="I1355" s="1">
        <v>339756</v>
      </c>
      <c r="J1355" s="14" t="s">
        <v>715</v>
      </c>
      <c r="K1355" s="1" t="s">
        <v>51</v>
      </c>
      <c r="L1355" s="1" t="s">
        <v>218</v>
      </c>
      <c r="M1355" s="14">
        <v>1</v>
      </c>
      <c r="N1355" s="2">
        <v>28.01</v>
      </c>
      <c r="O1355" s="16">
        <v>39</v>
      </c>
      <c r="P1355" s="14">
        <v>0</v>
      </c>
      <c r="Q1355" s="14">
        <f t="shared" si="21"/>
        <v>39</v>
      </c>
      <c r="R1355" s="1" t="s">
        <v>25</v>
      </c>
      <c r="S1355" s="1" t="s">
        <v>25</v>
      </c>
      <c r="T1355" s="1">
        <v>29</v>
      </c>
      <c r="U1355" s="1">
        <v>1</v>
      </c>
      <c r="V1355" s="1">
        <v>7</v>
      </c>
    </row>
    <row r="1356" spans="1:22" x14ac:dyDescent="0.25">
      <c r="A1356" s="3">
        <v>44776</v>
      </c>
      <c r="B1356" s="4">
        <v>0.36964120370370368</v>
      </c>
      <c r="C1356" s="1">
        <v>1543</v>
      </c>
      <c r="D1356" s="1">
        <v>13002595</v>
      </c>
      <c r="E1356" s="1">
        <v>13</v>
      </c>
      <c r="F1356" s="1">
        <v>22589</v>
      </c>
      <c r="G1356" s="1" t="s">
        <v>21</v>
      </c>
      <c r="H1356" s="1">
        <v>18</v>
      </c>
      <c r="I1356" s="1">
        <v>339756</v>
      </c>
      <c r="J1356" s="14" t="s">
        <v>715</v>
      </c>
      <c r="K1356" s="1" t="s">
        <v>51</v>
      </c>
      <c r="L1356" s="1" t="s">
        <v>218</v>
      </c>
      <c r="M1356" s="14">
        <v>1</v>
      </c>
      <c r="N1356" s="2">
        <v>28.01</v>
      </c>
      <c r="O1356" s="16">
        <v>39</v>
      </c>
      <c r="P1356" s="14">
        <v>0</v>
      </c>
      <c r="Q1356" s="14">
        <f t="shared" si="21"/>
        <v>39</v>
      </c>
      <c r="R1356" s="1" t="s">
        <v>25</v>
      </c>
      <c r="S1356" s="1" t="s">
        <v>25</v>
      </c>
      <c r="T1356" s="1">
        <v>29</v>
      </c>
      <c r="U1356" s="1">
        <v>1</v>
      </c>
      <c r="V1356" s="1">
        <v>8</v>
      </c>
    </row>
    <row r="1357" spans="1:22" x14ac:dyDescent="0.25">
      <c r="A1357" s="3">
        <v>44777</v>
      </c>
      <c r="B1357" s="4">
        <v>0.47372685185185187</v>
      </c>
      <c r="C1357" s="1">
        <v>1681</v>
      </c>
      <c r="D1357" s="1">
        <v>13002606</v>
      </c>
      <c r="E1357" s="1">
        <v>13</v>
      </c>
      <c r="F1357" s="1">
        <v>22589</v>
      </c>
      <c r="G1357" s="1" t="s">
        <v>21</v>
      </c>
      <c r="H1357" s="1">
        <v>18</v>
      </c>
      <c r="I1357" s="1">
        <v>494048</v>
      </c>
      <c r="J1357" s="14" t="s">
        <v>957</v>
      </c>
      <c r="K1357" s="1" t="s">
        <v>117</v>
      </c>
      <c r="L1357" s="1" t="s">
        <v>453</v>
      </c>
      <c r="M1357" s="14">
        <v>1</v>
      </c>
      <c r="N1357" s="2">
        <v>455</v>
      </c>
      <c r="O1357" s="16">
        <v>601</v>
      </c>
      <c r="P1357" s="14">
        <v>90</v>
      </c>
      <c r="Q1357" s="14">
        <f t="shared" si="21"/>
        <v>511</v>
      </c>
      <c r="R1357" s="1">
        <v>27</v>
      </c>
      <c r="S1357" s="1">
        <v>200010000015</v>
      </c>
      <c r="T1357" s="1">
        <v>50</v>
      </c>
      <c r="U1357" s="1">
        <v>1</v>
      </c>
      <c r="V1357" s="1">
        <v>2</v>
      </c>
    </row>
    <row r="1358" spans="1:22" x14ac:dyDescent="0.25">
      <c r="A1358" s="3">
        <v>44776</v>
      </c>
      <c r="B1358" s="4">
        <v>0.44354166666666667</v>
      </c>
      <c r="C1358" s="1">
        <v>1557</v>
      </c>
      <c r="D1358" s="1">
        <v>13002595</v>
      </c>
      <c r="E1358" s="1">
        <v>13</v>
      </c>
      <c r="F1358" s="1">
        <v>22589</v>
      </c>
      <c r="G1358" s="1" t="s">
        <v>21</v>
      </c>
      <c r="H1358" s="1">
        <v>15</v>
      </c>
      <c r="I1358" s="1">
        <v>339757</v>
      </c>
      <c r="J1358" s="14" t="s">
        <v>744</v>
      </c>
      <c r="K1358" s="1" t="s">
        <v>51</v>
      </c>
      <c r="L1358" s="1" t="s">
        <v>218</v>
      </c>
      <c r="M1358" s="14">
        <v>1</v>
      </c>
      <c r="N1358" s="2">
        <v>29.93</v>
      </c>
      <c r="O1358" s="16">
        <v>38</v>
      </c>
      <c r="P1358" s="14">
        <v>1</v>
      </c>
      <c r="Q1358" s="14">
        <f t="shared" si="21"/>
        <v>37</v>
      </c>
      <c r="R1358" s="1">
        <v>9</v>
      </c>
      <c r="S1358" s="1">
        <v>200010020276</v>
      </c>
      <c r="T1358" s="1">
        <v>29</v>
      </c>
      <c r="U1358" s="1">
        <v>1</v>
      </c>
      <c r="V1358" s="1">
        <v>3</v>
      </c>
    </row>
    <row r="1359" spans="1:22" x14ac:dyDescent="0.25">
      <c r="A1359" s="3">
        <v>44776</v>
      </c>
      <c r="B1359" s="4">
        <v>0.44354166666666667</v>
      </c>
      <c r="C1359" s="1">
        <v>1557</v>
      </c>
      <c r="D1359" s="1">
        <v>13002595</v>
      </c>
      <c r="E1359" s="1">
        <v>13</v>
      </c>
      <c r="F1359" s="1">
        <v>22589</v>
      </c>
      <c r="G1359" s="1" t="s">
        <v>21</v>
      </c>
      <c r="H1359" s="1">
        <v>15</v>
      </c>
      <c r="I1359" s="1">
        <v>339757</v>
      </c>
      <c r="J1359" s="14" t="s">
        <v>744</v>
      </c>
      <c r="K1359" s="1" t="s">
        <v>51</v>
      </c>
      <c r="L1359" s="1" t="s">
        <v>218</v>
      </c>
      <c r="M1359" s="14">
        <v>1</v>
      </c>
      <c r="N1359" s="2">
        <v>29.93</v>
      </c>
      <c r="O1359" s="16">
        <v>38</v>
      </c>
      <c r="P1359" s="14">
        <v>1</v>
      </c>
      <c r="Q1359" s="14">
        <f t="shared" si="21"/>
        <v>37</v>
      </c>
      <c r="R1359" s="1">
        <v>9</v>
      </c>
      <c r="S1359" s="1">
        <v>200010020276</v>
      </c>
      <c r="T1359" s="1">
        <v>29</v>
      </c>
      <c r="U1359" s="1">
        <v>1</v>
      </c>
      <c r="V1359" s="1">
        <v>4</v>
      </c>
    </row>
    <row r="1360" spans="1:22" x14ac:dyDescent="0.25">
      <c r="A1360" s="3">
        <v>44776</v>
      </c>
      <c r="B1360" s="4">
        <v>0.44354166666666667</v>
      </c>
      <c r="C1360" s="1">
        <v>1557</v>
      </c>
      <c r="D1360" s="1">
        <v>13002595</v>
      </c>
      <c r="E1360" s="1">
        <v>13</v>
      </c>
      <c r="F1360" s="1">
        <v>22589</v>
      </c>
      <c r="G1360" s="1" t="s">
        <v>21</v>
      </c>
      <c r="H1360" s="1">
        <v>15</v>
      </c>
      <c r="I1360" s="1">
        <v>339757</v>
      </c>
      <c r="J1360" s="14" t="s">
        <v>744</v>
      </c>
      <c r="K1360" s="1" t="s">
        <v>51</v>
      </c>
      <c r="L1360" s="1" t="s">
        <v>218</v>
      </c>
      <c r="M1360" s="14">
        <v>1</v>
      </c>
      <c r="N1360" s="2">
        <v>29.93</v>
      </c>
      <c r="O1360" s="16">
        <v>38</v>
      </c>
      <c r="P1360" s="14">
        <v>1</v>
      </c>
      <c r="Q1360" s="14">
        <f t="shared" si="21"/>
        <v>37</v>
      </c>
      <c r="R1360" s="1">
        <v>9</v>
      </c>
      <c r="S1360" s="1">
        <v>200010020276</v>
      </c>
      <c r="T1360" s="1">
        <v>29</v>
      </c>
      <c r="U1360" s="1">
        <v>1</v>
      </c>
      <c r="V1360" s="1">
        <v>5</v>
      </c>
    </row>
    <row r="1361" spans="1:22" x14ac:dyDescent="0.25">
      <c r="A1361" s="3">
        <v>44776</v>
      </c>
      <c r="B1361" s="4">
        <v>0.44354166666666667</v>
      </c>
      <c r="C1361" s="1">
        <v>1557</v>
      </c>
      <c r="D1361" s="1">
        <v>13002595</v>
      </c>
      <c r="E1361" s="1">
        <v>13</v>
      </c>
      <c r="F1361" s="1">
        <v>22589</v>
      </c>
      <c r="G1361" s="1" t="s">
        <v>21</v>
      </c>
      <c r="H1361" s="1">
        <v>15</v>
      </c>
      <c r="I1361" s="1">
        <v>339757</v>
      </c>
      <c r="J1361" s="14" t="s">
        <v>744</v>
      </c>
      <c r="K1361" s="1" t="s">
        <v>51</v>
      </c>
      <c r="L1361" s="1" t="s">
        <v>218</v>
      </c>
      <c r="M1361" s="14">
        <v>1</v>
      </c>
      <c r="N1361" s="2">
        <v>29.93</v>
      </c>
      <c r="O1361" s="16">
        <v>38</v>
      </c>
      <c r="P1361" s="14">
        <v>1</v>
      </c>
      <c r="Q1361" s="14">
        <f t="shared" si="21"/>
        <v>37</v>
      </c>
      <c r="R1361" s="1">
        <v>9</v>
      </c>
      <c r="S1361" s="1">
        <v>200010020276</v>
      </c>
      <c r="T1361" s="1">
        <v>29</v>
      </c>
      <c r="U1361" s="1">
        <v>1</v>
      </c>
      <c r="V1361" s="1">
        <v>6</v>
      </c>
    </row>
    <row r="1362" spans="1:22" x14ac:dyDescent="0.25">
      <c r="A1362" s="3">
        <v>44776</v>
      </c>
      <c r="B1362" s="4">
        <v>0.44354166666666667</v>
      </c>
      <c r="C1362" s="1">
        <v>1557</v>
      </c>
      <c r="D1362" s="1">
        <v>13002595</v>
      </c>
      <c r="E1362" s="1">
        <v>13</v>
      </c>
      <c r="F1362" s="1">
        <v>22589</v>
      </c>
      <c r="G1362" s="1" t="s">
        <v>21</v>
      </c>
      <c r="H1362" s="1">
        <v>15</v>
      </c>
      <c r="I1362" s="1">
        <v>339757</v>
      </c>
      <c r="J1362" s="14" t="s">
        <v>744</v>
      </c>
      <c r="K1362" s="1" t="s">
        <v>51</v>
      </c>
      <c r="L1362" s="1" t="s">
        <v>218</v>
      </c>
      <c r="M1362" s="14">
        <v>1</v>
      </c>
      <c r="N1362" s="2">
        <v>29.93</v>
      </c>
      <c r="O1362" s="16">
        <v>38</v>
      </c>
      <c r="P1362" s="14">
        <v>1</v>
      </c>
      <c r="Q1362" s="14">
        <f t="shared" si="21"/>
        <v>37</v>
      </c>
      <c r="R1362" s="1">
        <v>9</v>
      </c>
      <c r="S1362" s="1">
        <v>200010020276</v>
      </c>
      <c r="T1362" s="1">
        <v>29</v>
      </c>
      <c r="U1362" s="1">
        <v>1</v>
      </c>
      <c r="V1362" s="1">
        <v>7</v>
      </c>
    </row>
    <row r="1363" spans="1:22" x14ac:dyDescent="0.25">
      <c r="A1363" s="3">
        <v>44776</v>
      </c>
      <c r="B1363" s="4">
        <v>0.44354166666666667</v>
      </c>
      <c r="C1363" s="1">
        <v>1557</v>
      </c>
      <c r="D1363" s="1">
        <v>13002595</v>
      </c>
      <c r="E1363" s="1">
        <v>13</v>
      </c>
      <c r="F1363" s="1">
        <v>22589</v>
      </c>
      <c r="G1363" s="1" t="s">
        <v>21</v>
      </c>
      <c r="H1363" s="1">
        <v>15</v>
      </c>
      <c r="I1363" s="1">
        <v>339757</v>
      </c>
      <c r="J1363" s="14" t="s">
        <v>744</v>
      </c>
      <c r="K1363" s="1" t="s">
        <v>51</v>
      </c>
      <c r="L1363" s="1" t="s">
        <v>218</v>
      </c>
      <c r="M1363" s="14">
        <v>1</v>
      </c>
      <c r="N1363" s="2">
        <v>29.93</v>
      </c>
      <c r="O1363" s="16">
        <v>38</v>
      </c>
      <c r="P1363" s="14">
        <v>1</v>
      </c>
      <c r="Q1363" s="14">
        <f t="shared" si="21"/>
        <v>37</v>
      </c>
      <c r="R1363" s="1">
        <v>9</v>
      </c>
      <c r="S1363" s="1">
        <v>200010020276</v>
      </c>
      <c r="T1363" s="1">
        <v>29</v>
      </c>
      <c r="U1363" s="1">
        <v>1</v>
      </c>
      <c r="V1363" s="1">
        <v>8</v>
      </c>
    </row>
    <row r="1364" spans="1:22" x14ac:dyDescent="0.25">
      <c r="A1364" s="3">
        <v>44776</v>
      </c>
      <c r="B1364" s="4">
        <v>0.44354166666666667</v>
      </c>
      <c r="C1364" s="1">
        <v>1557</v>
      </c>
      <c r="D1364" s="1">
        <v>13002595</v>
      </c>
      <c r="E1364" s="1">
        <v>13</v>
      </c>
      <c r="F1364" s="1">
        <v>22589</v>
      </c>
      <c r="G1364" s="1" t="s">
        <v>21</v>
      </c>
      <c r="H1364" s="1">
        <v>15</v>
      </c>
      <c r="I1364" s="1">
        <v>339757</v>
      </c>
      <c r="J1364" s="14" t="s">
        <v>744</v>
      </c>
      <c r="K1364" s="1" t="s">
        <v>51</v>
      </c>
      <c r="L1364" s="1" t="s">
        <v>218</v>
      </c>
      <c r="M1364" s="14">
        <v>1</v>
      </c>
      <c r="N1364" s="2">
        <v>29.93</v>
      </c>
      <c r="O1364" s="16">
        <v>38</v>
      </c>
      <c r="P1364" s="14">
        <v>1</v>
      </c>
      <c r="Q1364" s="14">
        <f t="shared" si="21"/>
        <v>37</v>
      </c>
      <c r="R1364" s="1">
        <v>9</v>
      </c>
      <c r="S1364" s="1">
        <v>200010020276</v>
      </c>
      <c r="T1364" s="1">
        <v>29</v>
      </c>
      <c r="U1364" s="1">
        <v>1</v>
      </c>
      <c r="V1364" s="1">
        <v>9</v>
      </c>
    </row>
    <row r="1365" spans="1:22" x14ac:dyDescent="0.25">
      <c r="A1365" s="3">
        <v>44776</v>
      </c>
      <c r="B1365" s="4">
        <v>0.44354166666666667</v>
      </c>
      <c r="C1365" s="1">
        <v>1557</v>
      </c>
      <c r="D1365" s="1">
        <v>13002595</v>
      </c>
      <c r="E1365" s="1">
        <v>13</v>
      </c>
      <c r="F1365" s="1">
        <v>22589</v>
      </c>
      <c r="G1365" s="1" t="s">
        <v>21</v>
      </c>
      <c r="H1365" s="1">
        <v>15</v>
      </c>
      <c r="I1365" s="1">
        <v>339757</v>
      </c>
      <c r="J1365" s="14" t="s">
        <v>744</v>
      </c>
      <c r="K1365" s="1" t="s">
        <v>51</v>
      </c>
      <c r="L1365" s="1" t="s">
        <v>218</v>
      </c>
      <c r="M1365" s="14">
        <v>1</v>
      </c>
      <c r="N1365" s="2">
        <v>29.93</v>
      </c>
      <c r="O1365" s="16">
        <v>38</v>
      </c>
      <c r="P1365" s="14">
        <v>1</v>
      </c>
      <c r="Q1365" s="14">
        <f t="shared" si="21"/>
        <v>37</v>
      </c>
      <c r="R1365" s="1">
        <v>9</v>
      </c>
      <c r="S1365" s="1">
        <v>200010020276</v>
      </c>
      <c r="T1365" s="1">
        <v>29</v>
      </c>
      <c r="U1365" s="1">
        <v>1</v>
      </c>
      <c r="V1365" s="1">
        <v>10</v>
      </c>
    </row>
    <row r="1366" spans="1:22" x14ac:dyDescent="0.25">
      <c r="A1366" s="3">
        <v>44776</v>
      </c>
      <c r="B1366" s="4">
        <v>0.44354166666666667</v>
      </c>
      <c r="C1366" s="1">
        <v>1557</v>
      </c>
      <c r="D1366" s="1">
        <v>13002595</v>
      </c>
      <c r="E1366" s="1">
        <v>13</v>
      </c>
      <c r="F1366" s="1">
        <v>22589</v>
      </c>
      <c r="G1366" s="1" t="s">
        <v>21</v>
      </c>
      <c r="H1366" s="1">
        <v>15</v>
      </c>
      <c r="I1366" s="1">
        <v>339757</v>
      </c>
      <c r="J1366" s="14" t="s">
        <v>744</v>
      </c>
      <c r="K1366" s="1" t="s">
        <v>51</v>
      </c>
      <c r="L1366" s="1" t="s">
        <v>218</v>
      </c>
      <c r="M1366" s="14">
        <v>1</v>
      </c>
      <c r="N1366" s="2">
        <v>29.93</v>
      </c>
      <c r="O1366" s="16">
        <v>38</v>
      </c>
      <c r="P1366" s="14">
        <v>1</v>
      </c>
      <c r="Q1366" s="14">
        <f t="shared" si="21"/>
        <v>37</v>
      </c>
      <c r="R1366" s="1">
        <v>9</v>
      </c>
      <c r="S1366" s="1">
        <v>200010020276</v>
      </c>
      <c r="T1366" s="1">
        <v>29</v>
      </c>
      <c r="U1366" s="1">
        <v>1</v>
      </c>
      <c r="V1366" s="1">
        <v>11</v>
      </c>
    </row>
    <row r="1367" spans="1:22" x14ac:dyDescent="0.25">
      <c r="A1367" s="3">
        <v>44776</v>
      </c>
      <c r="B1367" s="4">
        <v>0.60665509259259254</v>
      </c>
      <c r="C1367" s="1">
        <v>1609</v>
      </c>
      <c r="D1367" s="1">
        <v>13002595</v>
      </c>
      <c r="E1367" s="1">
        <v>13</v>
      </c>
      <c r="F1367" s="1">
        <v>22589</v>
      </c>
      <c r="G1367" s="1" t="s">
        <v>21</v>
      </c>
      <c r="H1367" s="1">
        <v>18</v>
      </c>
      <c r="I1367" s="1">
        <v>343363</v>
      </c>
      <c r="J1367" s="14" t="s">
        <v>854</v>
      </c>
      <c r="K1367" s="1" t="s">
        <v>34</v>
      </c>
      <c r="L1367" s="1" t="s">
        <v>855</v>
      </c>
      <c r="M1367" s="14">
        <v>1</v>
      </c>
      <c r="N1367" s="2">
        <v>28.17</v>
      </c>
      <c r="O1367" s="16">
        <v>37</v>
      </c>
      <c r="P1367" s="14">
        <v>0</v>
      </c>
      <c r="Q1367" s="14">
        <f t="shared" si="21"/>
        <v>37</v>
      </c>
      <c r="R1367" s="1" t="s">
        <v>25</v>
      </c>
      <c r="S1367" s="1" t="s">
        <v>25</v>
      </c>
      <c r="T1367" s="1">
        <v>29</v>
      </c>
      <c r="U1367" s="1">
        <v>1</v>
      </c>
      <c r="V1367" s="1">
        <v>5</v>
      </c>
    </row>
    <row r="1368" spans="1:22" x14ac:dyDescent="0.25">
      <c r="A1368" s="3">
        <v>44776</v>
      </c>
      <c r="B1368" s="4">
        <v>0.60665509259259254</v>
      </c>
      <c r="C1368" s="1">
        <v>1609</v>
      </c>
      <c r="D1368" s="1">
        <v>13002595</v>
      </c>
      <c r="E1368" s="1">
        <v>13</v>
      </c>
      <c r="F1368" s="1">
        <v>22589</v>
      </c>
      <c r="G1368" s="1" t="s">
        <v>21</v>
      </c>
      <c r="H1368" s="1">
        <v>18</v>
      </c>
      <c r="I1368" s="1">
        <v>343363</v>
      </c>
      <c r="J1368" s="14" t="s">
        <v>854</v>
      </c>
      <c r="K1368" s="1" t="s">
        <v>34</v>
      </c>
      <c r="L1368" s="1" t="s">
        <v>855</v>
      </c>
      <c r="M1368" s="14">
        <v>1</v>
      </c>
      <c r="N1368" s="2">
        <v>28.17</v>
      </c>
      <c r="O1368" s="16">
        <v>37</v>
      </c>
      <c r="P1368" s="14">
        <v>0</v>
      </c>
      <c r="Q1368" s="14">
        <f t="shared" si="21"/>
        <v>37</v>
      </c>
      <c r="R1368" s="1" t="s">
        <v>25</v>
      </c>
      <c r="S1368" s="1" t="s">
        <v>25</v>
      </c>
      <c r="T1368" s="1">
        <v>29</v>
      </c>
      <c r="U1368" s="1">
        <v>1</v>
      </c>
      <c r="V1368" s="1">
        <v>6</v>
      </c>
    </row>
    <row r="1369" spans="1:22" x14ac:dyDescent="0.25">
      <c r="A1369" s="3">
        <v>44776</v>
      </c>
      <c r="B1369" s="4">
        <v>0.60665509259259254</v>
      </c>
      <c r="C1369" s="1">
        <v>1609</v>
      </c>
      <c r="D1369" s="1">
        <v>13002595</v>
      </c>
      <c r="E1369" s="1">
        <v>13</v>
      </c>
      <c r="F1369" s="1">
        <v>22589</v>
      </c>
      <c r="G1369" s="1" t="s">
        <v>21</v>
      </c>
      <c r="H1369" s="1">
        <v>18</v>
      </c>
      <c r="I1369" s="1">
        <v>343363</v>
      </c>
      <c r="J1369" s="14" t="s">
        <v>854</v>
      </c>
      <c r="K1369" s="1" t="s">
        <v>34</v>
      </c>
      <c r="L1369" s="1" t="s">
        <v>855</v>
      </c>
      <c r="M1369" s="14">
        <v>1</v>
      </c>
      <c r="N1369" s="2">
        <v>28.17</v>
      </c>
      <c r="O1369" s="16">
        <v>37</v>
      </c>
      <c r="P1369" s="14">
        <v>0</v>
      </c>
      <c r="Q1369" s="14">
        <f t="shared" si="21"/>
        <v>37</v>
      </c>
      <c r="R1369" s="1" t="s">
        <v>25</v>
      </c>
      <c r="S1369" s="1" t="s">
        <v>25</v>
      </c>
      <c r="T1369" s="1">
        <v>29</v>
      </c>
      <c r="U1369" s="1">
        <v>1</v>
      </c>
      <c r="V1369" s="1">
        <v>7</v>
      </c>
    </row>
    <row r="1370" spans="1:22" x14ac:dyDescent="0.25">
      <c r="A1370" s="3">
        <v>44776</v>
      </c>
      <c r="B1370" s="4">
        <v>0.60665509259259254</v>
      </c>
      <c r="C1370" s="1">
        <v>1609</v>
      </c>
      <c r="D1370" s="1">
        <v>13002595</v>
      </c>
      <c r="E1370" s="1">
        <v>13</v>
      </c>
      <c r="F1370" s="1">
        <v>22589</v>
      </c>
      <c r="G1370" s="1" t="s">
        <v>21</v>
      </c>
      <c r="H1370" s="1">
        <v>18</v>
      </c>
      <c r="I1370" s="1">
        <v>343363</v>
      </c>
      <c r="J1370" s="14" t="s">
        <v>854</v>
      </c>
      <c r="K1370" s="1" t="s">
        <v>34</v>
      </c>
      <c r="L1370" s="1" t="s">
        <v>855</v>
      </c>
      <c r="M1370" s="14">
        <v>1</v>
      </c>
      <c r="N1370" s="2">
        <v>28.17</v>
      </c>
      <c r="O1370" s="16">
        <v>37</v>
      </c>
      <c r="P1370" s="14">
        <v>0</v>
      </c>
      <c r="Q1370" s="14">
        <f t="shared" si="21"/>
        <v>37</v>
      </c>
      <c r="R1370" s="1" t="s">
        <v>25</v>
      </c>
      <c r="S1370" s="1" t="s">
        <v>25</v>
      </c>
      <c r="T1370" s="1">
        <v>29</v>
      </c>
      <c r="U1370" s="1">
        <v>1</v>
      </c>
      <c r="V1370" s="1">
        <v>8</v>
      </c>
    </row>
    <row r="1371" spans="1:22" x14ac:dyDescent="0.25">
      <c r="A1371" s="3">
        <v>44776</v>
      </c>
      <c r="B1371" s="4">
        <v>0.60665509259259254</v>
      </c>
      <c r="C1371" s="1">
        <v>1609</v>
      </c>
      <c r="D1371" s="1">
        <v>13002595</v>
      </c>
      <c r="E1371" s="1">
        <v>13</v>
      </c>
      <c r="F1371" s="1">
        <v>22589</v>
      </c>
      <c r="G1371" s="1" t="s">
        <v>21</v>
      </c>
      <c r="H1371" s="1">
        <v>18</v>
      </c>
      <c r="I1371" s="1">
        <v>343363</v>
      </c>
      <c r="J1371" s="14" t="s">
        <v>854</v>
      </c>
      <c r="K1371" s="1" t="s">
        <v>34</v>
      </c>
      <c r="L1371" s="1" t="s">
        <v>855</v>
      </c>
      <c r="M1371" s="14">
        <v>1</v>
      </c>
      <c r="N1371" s="2">
        <v>28.17</v>
      </c>
      <c r="O1371" s="16">
        <v>37</v>
      </c>
      <c r="P1371" s="14">
        <v>0</v>
      </c>
      <c r="Q1371" s="14">
        <f t="shared" si="21"/>
        <v>37</v>
      </c>
      <c r="R1371" s="1" t="s">
        <v>25</v>
      </c>
      <c r="S1371" s="1" t="s">
        <v>25</v>
      </c>
      <c r="T1371" s="1">
        <v>29</v>
      </c>
      <c r="U1371" s="1">
        <v>1</v>
      </c>
      <c r="V1371" s="1">
        <v>9</v>
      </c>
    </row>
    <row r="1372" spans="1:22" x14ac:dyDescent="0.25">
      <c r="A1372" s="3">
        <v>44776</v>
      </c>
      <c r="B1372" s="4">
        <v>0.60665509259259254</v>
      </c>
      <c r="C1372" s="1">
        <v>1609</v>
      </c>
      <c r="D1372" s="1">
        <v>13002595</v>
      </c>
      <c r="E1372" s="1">
        <v>13</v>
      </c>
      <c r="F1372" s="1">
        <v>22589</v>
      </c>
      <c r="G1372" s="1" t="s">
        <v>21</v>
      </c>
      <c r="H1372" s="1">
        <v>18</v>
      </c>
      <c r="I1372" s="1">
        <v>343363</v>
      </c>
      <c r="J1372" s="14" t="s">
        <v>854</v>
      </c>
      <c r="K1372" s="1" t="s">
        <v>34</v>
      </c>
      <c r="L1372" s="1" t="s">
        <v>855</v>
      </c>
      <c r="M1372" s="14">
        <v>1</v>
      </c>
      <c r="N1372" s="2">
        <v>28.17</v>
      </c>
      <c r="O1372" s="16">
        <v>37</v>
      </c>
      <c r="P1372" s="14">
        <v>0</v>
      </c>
      <c r="Q1372" s="14">
        <f t="shared" si="21"/>
        <v>37</v>
      </c>
      <c r="R1372" s="1" t="s">
        <v>25</v>
      </c>
      <c r="S1372" s="1" t="s">
        <v>25</v>
      </c>
      <c r="T1372" s="1">
        <v>29</v>
      </c>
      <c r="U1372" s="1">
        <v>1</v>
      </c>
      <c r="V1372" s="1">
        <v>10</v>
      </c>
    </row>
    <row r="1373" spans="1:22" x14ac:dyDescent="0.25">
      <c r="A1373" s="3">
        <v>44776</v>
      </c>
      <c r="B1373" s="4">
        <v>0.60665509259259254</v>
      </c>
      <c r="C1373" s="1">
        <v>1609</v>
      </c>
      <c r="D1373" s="1">
        <v>13002595</v>
      </c>
      <c r="E1373" s="1">
        <v>13</v>
      </c>
      <c r="F1373" s="1">
        <v>22589</v>
      </c>
      <c r="G1373" s="1" t="s">
        <v>21</v>
      </c>
      <c r="H1373" s="1">
        <v>18</v>
      </c>
      <c r="I1373" s="1">
        <v>343363</v>
      </c>
      <c r="J1373" s="14" t="s">
        <v>854</v>
      </c>
      <c r="K1373" s="1" t="s">
        <v>34</v>
      </c>
      <c r="L1373" s="1" t="s">
        <v>855</v>
      </c>
      <c r="M1373" s="14">
        <v>1</v>
      </c>
      <c r="N1373" s="2">
        <v>28.17</v>
      </c>
      <c r="O1373" s="16">
        <v>37</v>
      </c>
      <c r="P1373" s="14">
        <v>0</v>
      </c>
      <c r="Q1373" s="14">
        <f t="shared" si="21"/>
        <v>37</v>
      </c>
      <c r="R1373" s="1" t="s">
        <v>25</v>
      </c>
      <c r="S1373" s="1" t="s">
        <v>25</v>
      </c>
      <c r="T1373" s="1">
        <v>29</v>
      </c>
      <c r="U1373" s="1">
        <v>1</v>
      </c>
      <c r="V1373" s="1">
        <v>11</v>
      </c>
    </row>
    <row r="1374" spans="1:22" x14ac:dyDescent="0.25">
      <c r="A1374" s="3">
        <v>44776</v>
      </c>
      <c r="B1374" s="4">
        <v>0.60665509259259254</v>
      </c>
      <c r="C1374" s="1">
        <v>1609</v>
      </c>
      <c r="D1374" s="1">
        <v>13002595</v>
      </c>
      <c r="E1374" s="1">
        <v>13</v>
      </c>
      <c r="F1374" s="1">
        <v>22589</v>
      </c>
      <c r="G1374" s="1" t="s">
        <v>21</v>
      </c>
      <c r="H1374" s="1">
        <v>18</v>
      </c>
      <c r="I1374" s="1">
        <v>343363</v>
      </c>
      <c r="J1374" s="14" t="s">
        <v>854</v>
      </c>
      <c r="K1374" s="1" t="s">
        <v>34</v>
      </c>
      <c r="L1374" s="1" t="s">
        <v>855</v>
      </c>
      <c r="M1374" s="14">
        <v>1</v>
      </c>
      <c r="N1374" s="2">
        <v>28.17</v>
      </c>
      <c r="O1374" s="16">
        <v>37</v>
      </c>
      <c r="P1374" s="14">
        <v>0</v>
      </c>
      <c r="Q1374" s="14">
        <f t="shared" si="21"/>
        <v>37</v>
      </c>
      <c r="R1374" s="1" t="s">
        <v>25</v>
      </c>
      <c r="S1374" s="1" t="s">
        <v>25</v>
      </c>
      <c r="T1374" s="1">
        <v>29</v>
      </c>
      <c r="U1374" s="1">
        <v>1</v>
      </c>
      <c r="V1374" s="1">
        <v>12</v>
      </c>
    </row>
    <row r="1375" spans="1:22" x14ac:dyDescent="0.25">
      <c r="A1375" s="3">
        <v>44776</v>
      </c>
      <c r="B1375" s="4">
        <v>0.60665509259259254</v>
      </c>
      <c r="C1375" s="1">
        <v>1609</v>
      </c>
      <c r="D1375" s="1">
        <v>13002595</v>
      </c>
      <c r="E1375" s="1">
        <v>13</v>
      </c>
      <c r="F1375" s="1">
        <v>22589</v>
      </c>
      <c r="G1375" s="1" t="s">
        <v>21</v>
      </c>
      <c r="H1375" s="1">
        <v>18</v>
      </c>
      <c r="I1375" s="1">
        <v>343363</v>
      </c>
      <c r="J1375" s="14" t="s">
        <v>854</v>
      </c>
      <c r="K1375" s="1" t="s">
        <v>34</v>
      </c>
      <c r="L1375" s="1" t="s">
        <v>855</v>
      </c>
      <c r="M1375" s="14">
        <v>1</v>
      </c>
      <c r="N1375" s="2">
        <v>28.17</v>
      </c>
      <c r="O1375" s="16">
        <v>37</v>
      </c>
      <c r="P1375" s="14">
        <v>0</v>
      </c>
      <c r="Q1375" s="14">
        <f t="shared" si="21"/>
        <v>37</v>
      </c>
      <c r="R1375" s="1" t="s">
        <v>25</v>
      </c>
      <c r="S1375" s="1" t="s">
        <v>25</v>
      </c>
      <c r="T1375" s="1">
        <v>29</v>
      </c>
      <c r="U1375" s="1">
        <v>1</v>
      </c>
      <c r="V1375" s="1">
        <v>13</v>
      </c>
    </row>
    <row r="1376" spans="1:22" x14ac:dyDescent="0.25">
      <c r="A1376" s="3">
        <v>44776</v>
      </c>
      <c r="B1376" s="4">
        <v>0.60665509259259254</v>
      </c>
      <c r="C1376" s="1">
        <v>1609</v>
      </c>
      <c r="D1376" s="1">
        <v>13002595</v>
      </c>
      <c r="E1376" s="1">
        <v>13</v>
      </c>
      <c r="F1376" s="1">
        <v>22589</v>
      </c>
      <c r="G1376" s="1" t="s">
        <v>21</v>
      </c>
      <c r="H1376" s="1">
        <v>18</v>
      </c>
      <c r="I1376" s="1">
        <v>343363</v>
      </c>
      <c r="J1376" s="14" t="s">
        <v>854</v>
      </c>
      <c r="K1376" s="1" t="s">
        <v>34</v>
      </c>
      <c r="L1376" s="1" t="s">
        <v>855</v>
      </c>
      <c r="M1376" s="14">
        <v>1</v>
      </c>
      <c r="N1376" s="2">
        <v>28.17</v>
      </c>
      <c r="O1376" s="16">
        <v>37</v>
      </c>
      <c r="P1376" s="14">
        <v>0</v>
      </c>
      <c r="Q1376" s="14">
        <f t="shared" si="21"/>
        <v>37</v>
      </c>
      <c r="R1376" s="1" t="s">
        <v>25</v>
      </c>
      <c r="S1376" s="1" t="s">
        <v>25</v>
      </c>
      <c r="T1376" s="1">
        <v>29</v>
      </c>
      <c r="U1376" s="1">
        <v>1</v>
      </c>
      <c r="V1376" s="1">
        <v>14</v>
      </c>
    </row>
    <row r="1377" spans="1:22" x14ac:dyDescent="0.25">
      <c r="A1377" s="3">
        <v>44774</v>
      </c>
      <c r="B1377" s="4">
        <v>0.4432638888888889</v>
      </c>
      <c r="C1377" s="1">
        <v>1294</v>
      </c>
      <c r="D1377" s="1">
        <v>13002561</v>
      </c>
      <c r="E1377" s="1">
        <v>13</v>
      </c>
      <c r="F1377" s="1">
        <v>22589</v>
      </c>
      <c r="G1377" s="1" t="s">
        <v>21</v>
      </c>
      <c r="H1377" s="1">
        <v>18</v>
      </c>
      <c r="I1377" s="1">
        <v>338912</v>
      </c>
      <c r="J1377" s="14" t="s">
        <v>122</v>
      </c>
      <c r="K1377" s="1" t="s">
        <v>61</v>
      </c>
      <c r="L1377" s="1" t="s">
        <v>123</v>
      </c>
      <c r="M1377" s="14">
        <v>1</v>
      </c>
      <c r="N1377" s="2">
        <v>37.950000000000003</v>
      </c>
      <c r="O1377" s="16">
        <v>47.04</v>
      </c>
      <c r="P1377" s="14">
        <v>0</v>
      </c>
      <c r="Q1377" s="14">
        <f t="shared" si="21"/>
        <v>47.04</v>
      </c>
      <c r="R1377" s="1" t="s">
        <v>25</v>
      </c>
      <c r="S1377" s="1" t="s">
        <v>25</v>
      </c>
      <c r="T1377" s="1">
        <v>29</v>
      </c>
      <c r="U1377" s="1">
        <v>1</v>
      </c>
      <c r="V1377" s="1">
        <v>4</v>
      </c>
    </row>
    <row r="1378" spans="1:22" x14ac:dyDescent="0.25">
      <c r="A1378" s="3">
        <v>44775</v>
      </c>
      <c r="B1378" s="4">
        <v>0.37431712962962965</v>
      </c>
      <c r="C1378" s="1">
        <v>1421</v>
      </c>
      <c r="D1378" s="1">
        <v>13002581</v>
      </c>
      <c r="E1378" s="1">
        <v>13</v>
      </c>
      <c r="F1378" s="1">
        <v>22589</v>
      </c>
      <c r="G1378" s="1" t="s">
        <v>21</v>
      </c>
      <c r="H1378" s="1">
        <v>15</v>
      </c>
      <c r="I1378" s="1">
        <v>338912</v>
      </c>
      <c r="J1378" s="14" t="s">
        <v>122</v>
      </c>
      <c r="K1378" s="1" t="s">
        <v>64</v>
      </c>
      <c r="L1378" s="1" t="s">
        <v>123</v>
      </c>
      <c r="M1378" s="14">
        <v>1</v>
      </c>
      <c r="N1378" s="2">
        <v>37.96</v>
      </c>
      <c r="O1378" s="16">
        <v>47.05</v>
      </c>
      <c r="P1378" s="14">
        <v>2.0499999999999998</v>
      </c>
      <c r="Q1378" s="14">
        <f t="shared" si="21"/>
        <v>45</v>
      </c>
      <c r="R1378" s="1">
        <v>9</v>
      </c>
      <c r="S1378" s="1">
        <v>200010011822</v>
      </c>
      <c r="T1378" s="1">
        <v>29</v>
      </c>
      <c r="U1378" s="1">
        <v>1</v>
      </c>
      <c r="V1378" s="1">
        <v>1</v>
      </c>
    </row>
    <row r="1379" spans="1:22" x14ac:dyDescent="0.25">
      <c r="A1379" s="3">
        <v>44775</v>
      </c>
      <c r="B1379" s="4">
        <v>0.5696296296296296</v>
      </c>
      <c r="C1379" s="1">
        <v>1476</v>
      </c>
      <c r="D1379" s="1">
        <v>13002581</v>
      </c>
      <c r="E1379" s="1">
        <v>13</v>
      </c>
      <c r="F1379" s="1">
        <v>22589</v>
      </c>
      <c r="G1379" s="1" t="s">
        <v>21</v>
      </c>
      <c r="H1379" s="1">
        <v>18</v>
      </c>
      <c r="I1379" s="1">
        <v>133150</v>
      </c>
      <c r="J1379" s="14" t="s">
        <v>598</v>
      </c>
      <c r="K1379" s="1" t="s">
        <v>51</v>
      </c>
      <c r="L1379" s="1" t="s">
        <v>547</v>
      </c>
      <c r="M1379" s="14">
        <v>1</v>
      </c>
      <c r="N1379" s="2">
        <v>201.02</v>
      </c>
      <c r="O1379" s="16">
        <v>306</v>
      </c>
      <c r="P1379" s="14">
        <v>30</v>
      </c>
      <c r="Q1379" s="14">
        <f t="shared" si="21"/>
        <v>276</v>
      </c>
      <c r="R1379" s="1">
        <v>9</v>
      </c>
      <c r="S1379" s="1">
        <v>200010022389</v>
      </c>
      <c r="T1379" s="1">
        <v>29</v>
      </c>
      <c r="U1379" s="1">
        <v>1</v>
      </c>
      <c r="V1379" s="1">
        <v>8</v>
      </c>
    </row>
    <row r="1380" spans="1:22" x14ac:dyDescent="0.25">
      <c r="A1380" s="3">
        <v>44775</v>
      </c>
      <c r="B1380" s="4">
        <v>0.62817129629629631</v>
      </c>
      <c r="C1380" s="1">
        <v>1485</v>
      </c>
      <c r="D1380" s="1">
        <v>13002581</v>
      </c>
      <c r="E1380" s="1">
        <v>13</v>
      </c>
      <c r="F1380" s="1">
        <v>22589</v>
      </c>
      <c r="G1380" s="1" t="s">
        <v>21</v>
      </c>
      <c r="H1380" s="1">
        <v>18</v>
      </c>
      <c r="I1380" s="1">
        <v>45399</v>
      </c>
      <c r="J1380" s="14" t="s">
        <v>623</v>
      </c>
      <c r="K1380" s="1" t="s">
        <v>23</v>
      </c>
      <c r="L1380" s="1" t="s">
        <v>82</v>
      </c>
      <c r="M1380" s="14">
        <v>1</v>
      </c>
      <c r="N1380" s="2">
        <v>40.14</v>
      </c>
      <c r="O1380" s="16">
        <v>50</v>
      </c>
      <c r="P1380" s="14">
        <v>0</v>
      </c>
      <c r="Q1380" s="14">
        <f t="shared" si="21"/>
        <v>50</v>
      </c>
      <c r="R1380" s="1" t="s">
        <v>25</v>
      </c>
      <c r="S1380" s="1" t="s">
        <v>25</v>
      </c>
      <c r="T1380" s="1">
        <v>29</v>
      </c>
      <c r="U1380" s="1">
        <v>1</v>
      </c>
      <c r="V1380" s="1">
        <v>1</v>
      </c>
    </row>
    <row r="1381" spans="1:22" x14ac:dyDescent="0.25">
      <c r="A1381" s="3">
        <v>44774</v>
      </c>
      <c r="B1381" s="4">
        <v>0.52068287037037042</v>
      </c>
      <c r="C1381" s="1">
        <v>1325</v>
      </c>
      <c r="D1381" s="1">
        <v>13002561</v>
      </c>
      <c r="E1381" s="1">
        <v>13</v>
      </c>
      <c r="F1381" s="1">
        <v>22589</v>
      </c>
      <c r="G1381" s="1" t="s">
        <v>21</v>
      </c>
      <c r="H1381" s="1">
        <v>15</v>
      </c>
      <c r="I1381" s="1">
        <v>129036</v>
      </c>
      <c r="J1381" s="14" t="s">
        <v>242</v>
      </c>
      <c r="K1381" s="1" t="s">
        <v>29</v>
      </c>
      <c r="L1381" s="1" t="s">
        <v>35</v>
      </c>
      <c r="M1381" s="14">
        <v>1</v>
      </c>
      <c r="N1381" s="2">
        <v>223.96</v>
      </c>
      <c r="O1381" s="16">
        <v>303</v>
      </c>
      <c r="P1381" s="14">
        <v>21</v>
      </c>
      <c r="Q1381" s="14">
        <f t="shared" si="21"/>
        <v>282</v>
      </c>
      <c r="R1381" s="1">
        <v>9</v>
      </c>
      <c r="S1381" s="1">
        <v>200010013468</v>
      </c>
      <c r="T1381" s="1">
        <v>29</v>
      </c>
      <c r="U1381" s="1">
        <v>1</v>
      </c>
      <c r="V1381" s="1">
        <v>2</v>
      </c>
    </row>
    <row r="1382" spans="1:22" x14ac:dyDescent="0.25">
      <c r="A1382" s="3">
        <v>44777</v>
      </c>
      <c r="B1382" s="4">
        <v>0.36594907407407407</v>
      </c>
      <c r="C1382" s="1">
        <v>1666</v>
      </c>
      <c r="D1382" s="1">
        <v>13002606</v>
      </c>
      <c r="E1382" s="1">
        <v>13</v>
      </c>
      <c r="F1382" s="1">
        <v>22589</v>
      </c>
      <c r="G1382" s="1" t="s">
        <v>21</v>
      </c>
      <c r="H1382" s="1">
        <v>15</v>
      </c>
      <c r="I1382" s="1">
        <v>129036</v>
      </c>
      <c r="J1382" s="14" t="s">
        <v>242</v>
      </c>
      <c r="K1382" s="1" t="s">
        <v>29</v>
      </c>
      <c r="L1382" s="1" t="s">
        <v>35</v>
      </c>
      <c r="M1382" s="14">
        <v>1</v>
      </c>
      <c r="N1382" s="2">
        <v>223.96</v>
      </c>
      <c r="O1382" s="16">
        <v>303</v>
      </c>
      <c r="P1382" s="14">
        <v>0</v>
      </c>
      <c r="Q1382" s="14">
        <f t="shared" si="21"/>
        <v>303</v>
      </c>
      <c r="R1382" s="1" t="s">
        <v>25</v>
      </c>
      <c r="S1382" s="1" t="s">
        <v>25</v>
      </c>
      <c r="T1382" s="1">
        <v>50</v>
      </c>
      <c r="U1382" s="1">
        <v>1</v>
      </c>
      <c r="V1382" s="1">
        <v>2</v>
      </c>
    </row>
    <row r="1383" spans="1:22" x14ac:dyDescent="0.25">
      <c r="A1383" s="3">
        <v>44775</v>
      </c>
      <c r="B1383" s="4">
        <v>0.46228009259259262</v>
      </c>
      <c r="C1383" s="1">
        <v>1440</v>
      </c>
      <c r="D1383" s="1">
        <v>13002581</v>
      </c>
      <c r="E1383" s="1">
        <v>13</v>
      </c>
      <c r="F1383" s="1">
        <v>22589</v>
      </c>
      <c r="G1383" s="1" t="s">
        <v>21</v>
      </c>
      <c r="H1383" s="1">
        <v>18</v>
      </c>
      <c r="I1383" s="1">
        <v>1398</v>
      </c>
      <c r="J1383" s="14" t="s">
        <v>530</v>
      </c>
      <c r="K1383" s="1" t="s">
        <v>51</v>
      </c>
      <c r="L1383" s="1" t="s">
        <v>531</v>
      </c>
      <c r="M1383" s="14">
        <v>1</v>
      </c>
      <c r="N1383" s="2">
        <v>530.53</v>
      </c>
      <c r="O1383" s="16">
        <v>685</v>
      </c>
      <c r="P1383" s="14">
        <v>0</v>
      </c>
      <c r="Q1383" s="14">
        <f t="shared" si="21"/>
        <v>685</v>
      </c>
      <c r="R1383" s="1" t="s">
        <v>25</v>
      </c>
      <c r="S1383" s="1" t="s">
        <v>25</v>
      </c>
      <c r="T1383" s="1">
        <v>29</v>
      </c>
      <c r="U1383" s="1">
        <v>1</v>
      </c>
      <c r="V1383" s="1">
        <v>3</v>
      </c>
    </row>
    <row r="1384" spans="1:22" x14ac:dyDescent="0.25">
      <c r="A1384" s="3">
        <v>44776</v>
      </c>
      <c r="B1384" s="4">
        <v>0.67645833333333338</v>
      </c>
      <c r="C1384" s="1">
        <v>1625</v>
      </c>
      <c r="D1384" s="1">
        <v>13002595</v>
      </c>
      <c r="E1384" s="1">
        <v>13</v>
      </c>
      <c r="F1384" s="1">
        <v>22589</v>
      </c>
      <c r="G1384" s="1" t="s">
        <v>21</v>
      </c>
      <c r="H1384" s="1">
        <v>15</v>
      </c>
      <c r="I1384" s="1">
        <v>1398</v>
      </c>
      <c r="J1384" s="14" t="s">
        <v>530</v>
      </c>
      <c r="K1384" s="1" t="s">
        <v>23</v>
      </c>
      <c r="L1384" s="1" t="s">
        <v>531</v>
      </c>
      <c r="M1384" s="14">
        <v>1</v>
      </c>
      <c r="N1384" s="2">
        <v>576.44000000000005</v>
      </c>
      <c r="O1384" s="16">
        <v>744</v>
      </c>
      <c r="P1384" s="14">
        <v>52</v>
      </c>
      <c r="Q1384" s="14">
        <f t="shared" si="21"/>
        <v>692</v>
      </c>
      <c r="R1384" s="1">
        <v>9</v>
      </c>
      <c r="S1384" s="1">
        <v>200010026807</v>
      </c>
      <c r="T1384" s="1">
        <v>29</v>
      </c>
      <c r="U1384" s="1">
        <v>1</v>
      </c>
      <c r="V1384" s="1">
        <v>1</v>
      </c>
    </row>
    <row r="1385" spans="1:22" x14ac:dyDescent="0.25">
      <c r="A1385" s="3">
        <v>44778</v>
      </c>
      <c r="B1385" s="4">
        <v>0.68244212962962958</v>
      </c>
      <c r="C1385" s="1">
        <v>1873</v>
      </c>
      <c r="D1385" s="1">
        <v>13002616</v>
      </c>
      <c r="E1385" s="1">
        <v>13</v>
      </c>
      <c r="F1385" s="1">
        <v>22589</v>
      </c>
      <c r="G1385" s="1" t="s">
        <v>21</v>
      </c>
      <c r="H1385" s="1">
        <v>15</v>
      </c>
      <c r="I1385" s="1">
        <v>48362</v>
      </c>
      <c r="J1385" s="14" t="s">
        <v>1195</v>
      </c>
      <c r="K1385" s="1" t="s">
        <v>61</v>
      </c>
      <c r="L1385" s="1" t="s">
        <v>477</v>
      </c>
      <c r="M1385" s="14">
        <v>1</v>
      </c>
      <c r="N1385" s="2">
        <v>632.94000000000005</v>
      </c>
      <c r="O1385" s="16">
        <v>702</v>
      </c>
      <c r="P1385" s="14">
        <v>21</v>
      </c>
      <c r="Q1385" s="14">
        <f t="shared" si="21"/>
        <v>681</v>
      </c>
      <c r="R1385" s="1">
        <v>9</v>
      </c>
      <c r="S1385" s="1">
        <v>200010020479</v>
      </c>
      <c r="T1385" s="1">
        <v>50</v>
      </c>
      <c r="U1385" s="1">
        <v>1</v>
      </c>
      <c r="V1385" s="1">
        <v>2</v>
      </c>
    </row>
    <row r="1386" spans="1:22" x14ac:dyDescent="0.25">
      <c r="A1386" s="3">
        <v>44775</v>
      </c>
      <c r="B1386" s="4">
        <v>0.3550462962962963</v>
      </c>
      <c r="C1386" s="1">
        <v>1417</v>
      </c>
      <c r="D1386" s="1">
        <v>13002581</v>
      </c>
      <c r="E1386" s="1">
        <v>13</v>
      </c>
      <c r="F1386" s="1">
        <v>22589</v>
      </c>
      <c r="G1386" s="1" t="s">
        <v>21</v>
      </c>
      <c r="H1386" s="1">
        <v>18</v>
      </c>
      <c r="I1386" s="1">
        <v>62871</v>
      </c>
      <c r="J1386" s="14" t="s">
        <v>476</v>
      </c>
      <c r="K1386" s="1" t="s">
        <v>141</v>
      </c>
      <c r="L1386" s="1" t="s">
        <v>477</v>
      </c>
      <c r="M1386" s="14">
        <v>1</v>
      </c>
      <c r="N1386" s="2">
        <v>817.18</v>
      </c>
      <c r="O1386" s="16">
        <v>907</v>
      </c>
      <c r="P1386" s="14">
        <v>27</v>
      </c>
      <c r="Q1386" s="14">
        <f t="shared" si="21"/>
        <v>880</v>
      </c>
      <c r="R1386" s="1">
        <v>9</v>
      </c>
      <c r="S1386" s="1">
        <v>200010015571</v>
      </c>
      <c r="T1386" s="1">
        <v>29</v>
      </c>
      <c r="U1386" s="1">
        <v>1</v>
      </c>
      <c r="V1386" s="1">
        <v>1</v>
      </c>
    </row>
    <row r="1387" spans="1:22" x14ac:dyDescent="0.25">
      <c r="A1387" s="3">
        <v>44774</v>
      </c>
      <c r="B1387" s="4">
        <v>0.41947916666666668</v>
      </c>
      <c r="C1387" s="1">
        <v>1286</v>
      </c>
      <c r="D1387" s="1">
        <v>13002561</v>
      </c>
      <c r="E1387" s="1">
        <v>13</v>
      </c>
      <c r="F1387" s="1">
        <v>22589</v>
      </c>
      <c r="G1387" s="1" t="s">
        <v>21</v>
      </c>
      <c r="H1387" s="1">
        <v>18</v>
      </c>
      <c r="I1387" s="1">
        <v>393315</v>
      </c>
      <c r="J1387" s="14" t="s">
        <v>75</v>
      </c>
      <c r="K1387" s="1" t="s">
        <v>51</v>
      </c>
      <c r="L1387" s="1" t="s">
        <v>76</v>
      </c>
      <c r="M1387" s="14">
        <v>1</v>
      </c>
      <c r="N1387" s="2">
        <v>16.21</v>
      </c>
      <c r="O1387" s="16">
        <v>25</v>
      </c>
      <c r="P1387" s="14">
        <v>0</v>
      </c>
      <c r="Q1387" s="14">
        <f t="shared" si="21"/>
        <v>25</v>
      </c>
      <c r="R1387" s="1" t="s">
        <v>25</v>
      </c>
      <c r="S1387" s="1" t="s">
        <v>25</v>
      </c>
      <c r="T1387" s="1">
        <v>29</v>
      </c>
      <c r="U1387" s="1">
        <v>1</v>
      </c>
      <c r="V1387" s="1">
        <v>1</v>
      </c>
    </row>
    <row r="1388" spans="1:22" x14ac:dyDescent="0.25">
      <c r="A1388" s="3">
        <v>44774</v>
      </c>
      <c r="B1388" s="4">
        <v>0.41947916666666668</v>
      </c>
      <c r="C1388" s="1">
        <v>1286</v>
      </c>
      <c r="D1388" s="1">
        <v>13002561</v>
      </c>
      <c r="E1388" s="1">
        <v>13</v>
      </c>
      <c r="F1388" s="1">
        <v>22589</v>
      </c>
      <c r="G1388" s="1" t="s">
        <v>21</v>
      </c>
      <c r="H1388" s="1">
        <v>18</v>
      </c>
      <c r="I1388" s="1">
        <v>393315</v>
      </c>
      <c r="J1388" s="14" t="s">
        <v>75</v>
      </c>
      <c r="K1388" s="1" t="s">
        <v>51</v>
      </c>
      <c r="L1388" s="1" t="s">
        <v>76</v>
      </c>
      <c r="M1388" s="14">
        <v>1</v>
      </c>
      <c r="N1388" s="2">
        <v>16.21</v>
      </c>
      <c r="O1388" s="16">
        <v>25</v>
      </c>
      <c r="P1388" s="14">
        <v>0</v>
      </c>
      <c r="Q1388" s="14">
        <f t="shared" si="21"/>
        <v>25</v>
      </c>
      <c r="R1388" s="1" t="s">
        <v>25</v>
      </c>
      <c r="S1388" s="1" t="s">
        <v>25</v>
      </c>
      <c r="T1388" s="1">
        <v>29</v>
      </c>
      <c r="U1388" s="1">
        <v>1</v>
      </c>
      <c r="V1388" s="1">
        <v>2</v>
      </c>
    </row>
    <row r="1389" spans="1:22" x14ac:dyDescent="0.25">
      <c r="A1389" s="3">
        <v>44774</v>
      </c>
      <c r="B1389" s="4">
        <v>0.62164351851851851</v>
      </c>
      <c r="C1389" s="1">
        <v>1362</v>
      </c>
      <c r="D1389" s="1">
        <v>13002561</v>
      </c>
      <c r="E1389" s="1">
        <v>13</v>
      </c>
      <c r="F1389" s="1">
        <v>22589</v>
      </c>
      <c r="G1389" s="1" t="s">
        <v>21</v>
      </c>
      <c r="H1389" s="1">
        <v>18</v>
      </c>
      <c r="I1389" s="1">
        <v>393315</v>
      </c>
      <c r="J1389" s="14" t="s">
        <v>75</v>
      </c>
      <c r="K1389" s="1" t="s">
        <v>51</v>
      </c>
      <c r="L1389" s="1" t="s">
        <v>76</v>
      </c>
      <c r="M1389" s="14">
        <v>1</v>
      </c>
      <c r="N1389" s="2">
        <v>16.21</v>
      </c>
      <c r="O1389" s="16">
        <v>25</v>
      </c>
      <c r="P1389" s="14">
        <v>0</v>
      </c>
      <c r="Q1389" s="14">
        <f t="shared" si="21"/>
        <v>25</v>
      </c>
      <c r="R1389" s="1" t="s">
        <v>25</v>
      </c>
      <c r="S1389" s="1" t="s">
        <v>25</v>
      </c>
      <c r="T1389" s="1">
        <v>29</v>
      </c>
      <c r="U1389" s="1">
        <v>1</v>
      </c>
      <c r="V1389" s="1">
        <v>3</v>
      </c>
    </row>
    <row r="1390" spans="1:22" x14ac:dyDescent="0.25">
      <c r="A1390" s="3">
        <v>44775</v>
      </c>
      <c r="B1390" s="4">
        <v>0.79348379629629628</v>
      </c>
      <c r="C1390" s="1">
        <v>1529</v>
      </c>
      <c r="D1390" s="1">
        <v>13002581</v>
      </c>
      <c r="E1390" s="1">
        <v>13</v>
      </c>
      <c r="F1390" s="1">
        <v>22589</v>
      </c>
      <c r="G1390" s="1" t="s">
        <v>21</v>
      </c>
      <c r="H1390" s="1">
        <v>15</v>
      </c>
      <c r="I1390" s="1">
        <v>393315</v>
      </c>
      <c r="J1390" s="14" t="s">
        <v>75</v>
      </c>
      <c r="K1390" s="1" t="s">
        <v>51</v>
      </c>
      <c r="L1390" s="1" t="s">
        <v>76</v>
      </c>
      <c r="M1390" s="14">
        <v>1</v>
      </c>
      <c r="N1390" s="2">
        <v>16.21</v>
      </c>
      <c r="O1390" s="16">
        <v>25</v>
      </c>
      <c r="P1390" s="14">
        <v>1</v>
      </c>
      <c r="Q1390" s="14">
        <f t="shared" si="21"/>
        <v>24</v>
      </c>
      <c r="R1390" s="1">
        <v>9</v>
      </c>
      <c r="S1390" s="1">
        <v>200010022022</v>
      </c>
      <c r="T1390" s="1">
        <v>29</v>
      </c>
      <c r="U1390" s="1">
        <v>1</v>
      </c>
      <c r="V1390" s="1">
        <v>4</v>
      </c>
    </row>
    <row r="1391" spans="1:22" x14ac:dyDescent="0.25">
      <c r="A1391" s="3">
        <v>44774</v>
      </c>
      <c r="B1391" s="4">
        <v>0.54072916666666671</v>
      </c>
      <c r="C1391" s="1">
        <v>1335</v>
      </c>
      <c r="D1391" s="1">
        <v>13002561</v>
      </c>
      <c r="E1391" s="1">
        <v>13</v>
      </c>
      <c r="F1391" s="1">
        <v>22589</v>
      </c>
      <c r="G1391" s="1" t="s">
        <v>21</v>
      </c>
      <c r="H1391" s="1">
        <v>15</v>
      </c>
      <c r="I1391" s="1">
        <v>173202</v>
      </c>
      <c r="J1391" s="14" t="s">
        <v>273</v>
      </c>
      <c r="K1391" s="1" t="s">
        <v>23</v>
      </c>
      <c r="L1391" s="1" t="s">
        <v>274</v>
      </c>
      <c r="M1391" s="14">
        <v>1</v>
      </c>
      <c r="N1391" s="2">
        <v>25.78</v>
      </c>
      <c r="O1391" s="16">
        <v>40</v>
      </c>
      <c r="P1391" s="14">
        <v>0</v>
      </c>
      <c r="Q1391" s="14">
        <f t="shared" si="21"/>
        <v>40</v>
      </c>
      <c r="R1391" s="1" t="s">
        <v>25</v>
      </c>
      <c r="S1391" s="1" t="s">
        <v>25</v>
      </c>
      <c r="T1391" s="1">
        <v>29</v>
      </c>
      <c r="U1391" s="1">
        <v>1</v>
      </c>
      <c r="V1391" s="1">
        <v>1</v>
      </c>
    </row>
    <row r="1392" spans="1:22" x14ac:dyDescent="0.25">
      <c r="A1392" s="3">
        <v>44774</v>
      </c>
      <c r="B1392" s="4">
        <v>0.54072916666666671</v>
      </c>
      <c r="C1392" s="1">
        <v>1335</v>
      </c>
      <c r="D1392" s="1">
        <v>13002561</v>
      </c>
      <c r="E1392" s="1">
        <v>13</v>
      </c>
      <c r="F1392" s="1">
        <v>22589</v>
      </c>
      <c r="G1392" s="1" t="s">
        <v>21</v>
      </c>
      <c r="H1392" s="1">
        <v>15</v>
      </c>
      <c r="I1392" s="1">
        <v>173202</v>
      </c>
      <c r="J1392" s="14" t="s">
        <v>273</v>
      </c>
      <c r="K1392" s="1" t="s">
        <v>23</v>
      </c>
      <c r="L1392" s="1" t="s">
        <v>274</v>
      </c>
      <c r="M1392" s="14">
        <v>1</v>
      </c>
      <c r="N1392" s="2">
        <v>25.78</v>
      </c>
      <c r="O1392" s="16">
        <v>40</v>
      </c>
      <c r="P1392" s="14">
        <v>0</v>
      </c>
      <c r="Q1392" s="14">
        <f t="shared" si="21"/>
        <v>40</v>
      </c>
      <c r="R1392" s="1" t="s">
        <v>25</v>
      </c>
      <c r="S1392" s="1" t="s">
        <v>25</v>
      </c>
      <c r="T1392" s="1">
        <v>29</v>
      </c>
      <c r="U1392" s="1">
        <v>1</v>
      </c>
      <c r="V1392" s="1">
        <v>2</v>
      </c>
    </row>
    <row r="1393" spans="1:22" x14ac:dyDescent="0.25">
      <c r="A1393" s="3">
        <v>44775</v>
      </c>
      <c r="B1393" s="4">
        <v>0.42370370370370369</v>
      </c>
      <c r="C1393" s="1">
        <v>1432</v>
      </c>
      <c r="D1393" s="1">
        <v>13002581</v>
      </c>
      <c r="E1393" s="1">
        <v>13</v>
      </c>
      <c r="F1393" s="1">
        <v>22589</v>
      </c>
      <c r="G1393" s="1" t="s">
        <v>21</v>
      </c>
      <c r="H1393" s="1">
        <v>15</v>
      </c>
      <c r="I1393" s="1">
        <v>173202</v>
      </c>
      <c r="J1393" s="14" t="s">
        <v>273</v>
      </c>
      <c r="K1393" s="1" t="s">
        <v>23</v>
      </c>
      <c r="L1393" s="1" t="s">
        <v>274</v>
      </c>
      <c r="M1393" s="14">
        <v>1</v>
      </c>
      <c r="N1393" s="2">
        <v>25.78</v>
      </c>
      <c r="O1393" s="16">
        <v>40</v>
      </c>
      <c r="P1393" s="14">
        <v>2</v>
      </c>
      <c r="Q1393" s="14">
        <f t="shared" si="21"/>
        <v>38</v>
      </c>
      <c r="R1393" s="1">
        <v>9</v>
      </c>
      <c r="S1393" s="1">
        <v>200010001077</v>
      </c>
      <c r="T1393" s="1">
        <v>29</v>
      </c>
      <c r="U1393" s="1">
        <v>1</v>
      </c>
      <c r="V1393" s="1">
        <v>2</v>
      </c>
    </row>
    <row r="1394" spans="1:22" x14ac:dyDescent="0.25">
      <c r="A1394" s="3">
        <v>44775</v>
      </c>
      <c r="B1394" s="4">
        <v>0.72925925925925927</v>
      </c>
      <c r="C1394" s="1">
        <v>1511</v>
      </c>
      <c r="D1394" s="1">
        <v>13002581</v>
      </c>
      <c r="E1394" s="1">
        <v>13</v>
      </c>
      <c r="F1394" s="1">
        <v>22589</v>
      </c>
      <c r="G1394" s="1" t="s">
        <v>21</v>
      </c>
      <c r="H1394" s="1">
        <v>18</v>
      </c>
      <c r="I1394" s="1">
        <v>173202</v>
      </c>
      <c r="J1394" s="14" t="s">
        <v>273</v>
      </c>
      <c r="K1394" s="1" t="s">
        <v>23</v>
      </c>
      <c r="L1394" s="1" t="s">
        <v>274</v>
      </c>
      <c r="M1394" s="14">
        <v>1</v>
      </c>
      <c r="N1394" s="2">
        <v>25.78</v>
      </c>
      <c r="O1394" s="16">
        <v>40</v>
      </c>
      <c r="P1394" s="14">
        <v>2</v>
      </c>
      <c r="Q1394" s="14">
        <f t="shared" si="21"/>
        <v>38</v>
      </c>
      <c r="R1394" s="1">
        <v>9</v>
      </c>
      <c r="S1394" s="1">
        <v>200010005098</v>
      </c>
      <c r="T1394" s="1">
        <v>29</v>
      </c>
      <c r="U1394" s="1">
        <v>1</v>
      </c>
      <c r="V1394" s="1">
        <v>1</v>
      </c>
    </row>
    <row r="1395" spans="1:22" x14ac:dyDescent="0.25">
      <c r="A1395" s="3">
        <v>44776</v>
      </c>
      <c r="B1395" s="4">
        <v>0.75740740740740742</v>
      </c>
      <c r="C1395" s="1">
        <v>1643</v>
      </c>
      <c r="D1395" s="1">
        <v>13002595</v>
      </c>
      <c r="E1395" s="1">
        <v>13</v>
      </c>
      <c r="F1395" s="1">
        <v>22589</v>
      </c>
      <c r="G1395" s="1" t="s">
        <v>21</v>
      </c>
      <c r="H1395" s="1">
        <v>15</v>
      </c>
      <c r="I1395" s="1">
        <v>173202</v>
      </c>
      <c r="J1395" s="14" t="s">
        <v>273</v>
      </c>
      <c r="K1395" s="1" t="s">
        <v>23</v>
      </c>
      <c r="L1395" s="1" t="s">
        <v>274</v>
      </c>
      <c r="M1395" s="14">
        <v>1</v>
      </c>
      <c r="N1395" s="2">
        <v>25.78</v>
      </c>
      <c r="O1395" s="16">
        <v>40</v>
      </c>
      <c r="P1395" s="14">
        <v>0</v>
      </c>
      <c r="Q1395" s="14">
        <f t="shared" si="21"/>
        <v>40</v>
      </c>
      <c r="R1395" s="1" t="s">
        <v>25</v>
      </c>
      <c r="S1395" s="1" t="s">
        <v>25</v>
      </c>
      <c r="T1395" s="1">
        <v>29</v>
      </c>
      <c r="U1395" s="1">
        <v>1</v>
      </c>
      <c r="V1395" s="1">
        <v>2</v>
      </c>
    </row>
    <row r="1396" spans="1:22" x14ac:dyDescent="0.25">
      <c r="A1396" s="3">
        <v>44777</v>
      </c>
      <c r="B1396" s="4">
        <v>0.48922453703703705</v>
      </c>
      <c r="C1396" s="1">
        <v>1686</v>
      </c>
      <c r="D1396" s="1">
        <v>13002606</v>
      </c>
      <c r="E1396" s="1">
        <v>13</v>
      </c>
      <c r="F1396" s="1">
        <v>22589</v>
      </c>
      <c r="G1396" s="1" t="s">
        <v>21</v>
      </c>
      <c r="H1396" s="1">
        <v>15</v>
      </c>
      <c r="I1396" s="1">
        <v>173202</v>
      </c>
      <c r="J1396" s="14" t="s">
        <v>273</v>
      </c>
      <c r="K1396" s="1" t="s">
        <v>51</v>
      </c>
      <c r="L1396" s="1" t="s">
        <v>274</v>
      </c>
      <c r="M1396" s="14">
        <v>1</v>
      </c>
      <c r="N1396" s="2">
        <v>21.92</v>
      </c>
      <c r="O1396" s="16">
        <v>34</v>
      </c>
      <c r="P1396" s="14">
        <v>0</v>
      </c>
      <c r="Q1396" s="14">
        <f t="shared" si="21"/>
        <v>34</v>
      </c>
      <c r="R1396" s="1" t="s">
        <v>25</v>
      </c>
      <c r="S1396" s="1" t="s">
        <v>25</v>
      </c>
      <c r="T1396" s="1">
        <v>50</v>
      </c>
      <c r="U1396" s="1">
        <v>1</v>
      </c>
      <c r="V1396" s="1">
        <v>2</v>
      </c>
    </row>
    <row r="1397" spans="1:22" x14ac:dyDescent="0.25">
      <c r="A1397" s="3">
        <v>44774</v>
      </c>
      <c r="B1397" s="4">
        <v>0.53487268518518516</v>
      </c>
      <c r="C1397" s="1">
        <v>1334</v>
      </c>
      <c r="D1397" s="1">
        <v>13002561</v>
      </c>
      <c r="E1397" s="1">
        <v>13</v>
      </c>
      <c r="F1397" s="1">
        <v>22589</v>
      </c>
      <c r="G1397" s="1" t="s">
        <v>21</v>
      </c>
      <c r="H1397" s="1">
        <v>15</v>
      </c>
      <c r="I1397" s="1">
        <v>393314</v>
      </c>
      <c r="J1397" s="14" t="s">
        <v>270</v>
      </c>
      <c r="K1397" s="1" t="s">
        <v>51</v>
      </c>
      <c r="L1397" s="1" t="s">
        <v>76</v>
      </c>
      <c r="M1397" s="14">
        <v>1</v>
      </c>
      <c r="N1397" s="2">
        <v>42.82</v>
      </c>
      <c r="O1397" s="16">
        <v>66</v>
      </c>
      <c r="P1397" s="14">
        <v>4</v>
      </c>
      <c r="Q1397" s="14">
        <f t="shared" si="21"/>
        <v>62</v>
      </c>
      <c r="R1397" s="1">
        <v>9</v>
      </c>
      <c r="S1397" s="1">
        <v>200010005104</v>
      </c>
      <c r="T1397" s="1">
        <v>29</v>
      </c>
      <c r="U1397" s="1">
        <v>1</v>
      </c>
      <c r="V1397" s="1">
        <v>3</v>
      </c>
    </row>
    <row r="1398" spans="1:22" x14ac:dyDescent="0.25">
      <c r="A1398" s="3">
        <v>44774</v>
      </c>
      <c r="B1398" s="4">
        <v>0.71243055555555557</v>
      </c>
      <c r="C1398" s="1">
        <v>1383</v>
      </c>
      <c r="D1398" s="1">
        <v>13002561</v>
      </c>
      <c r="E1398" s="1">
        <v>13</v>
      </c>
      <c r="F1398" s="1">
        <v>22589</v>
      </c>
      <c r="G1398" s="1" t="s">
        <v>21</v>
      </c>
      <c r="H1398" s="1">
        <v>15</v>
      </c>
      <c r="I1398" s="1">
        <v>393314</v>
      </c>
      <c r="J1398" s="14" t="s">
        <v>270</v>
      </c>
      <c r="K1398" s="1" t="s">
        <v>51</v>
      </c>
      <c r="L1398" s="1" t="s">
        <v>76</v>
      </c>
      <c r="M1398" s="14">
        <v>1</v>
      </c>
      <c r="N1398" s="2">
        <v>42.82</v>
      </c>
      <c r="O1398" s="16">
        <v>66</v>
      </c>
      <c r="P1398" s="14">
        <v>0</v>
      </c>
      <c r="Q1398" s="14">
        <f t="shared" si="21"/>
        <v>66</v>
      </c>
      <c r="R1398" s="1" t="s">
        <v>25</v>
      </c>
      <c r="S1398" s="1" t="s">
        <v>25</v>
      </c>
      <c r="T1398" s="1">
        <v>29</v>
      </c>
      <c r="U1398" s="1">
        <v>1</v>
      </c>
      <c r="V1398" s="1">
        <v>1</v>
      </c>
    </row>
    <row r="1399" spans="1:22" x14ac:dyDescent="0.25">
      <c r="A1399" s="3">
        <v>44774</v>
      </c>
      <c r="B1399" s="4">
        <v>0.71243055555555557</v>
      </c>
      <c r="C1399" s="1">
        <v>1383</v>
      </c>
      <c r="D1399" s="1">
        <v>13002561</v>
      </c>
      <c r="E1399" s="1">
        <v>13</v>
      </c>
      <c r="F1399" s="1">
        <v>22589</v>
      </c>
      <c r="G1399" s="1" t="s">
        <v>21</v>
      </c>
      <c r="H1399" s="1">
        <v>15</v>
      </c>
      <c r="I1399" s="1">
        <v>393314</v>
      </c>
      <c r="J1399" s="14" t="s">
        <v>270</v>
      </c>
      <c r="K1399" s="1" t="s">
        <v>51</v>
      </c>
      <c r="L1399" s="1" t="s">
        <v>76</v>
      </c>
      <c r="M1399" s="14">
        <v>1</v>
      </c>
      <c r="N1399" s="2">
        <v>42.82</v>
      </c>
      <c r="O1399" s="16">
        <v>66</v>
      </c>
      <c r="P1399" s="14">
        <v>0</v>
      </c>
      <c r="Q1399" s="14">
        <f t="shared" si="21"/>
        <v>66</v>
      </c>
      <c r="R1399" s="1" t="s">
        <v>25</v>
      </c>
      <c r="S1399" s="1" t="s">
        <v>25</v>
      </c>
      <c r="T1399" s="1">
        <v>29</v>
      </c>
      <c r="U1399" s="1">
        <v>1</v>
      </c>
      <c r="V1399" s="1">
        <v>2</v>
      </c>
    </row>
    <row r="1400" spans="1:22" x14ac:dyDescent="0.25">
      <c r="A1400" s="3">
        <v>44774</v>
      </c>
      <c r="B1400" s="4">
        <v>0.71243055555555557</v>
      </c>
      <c r="C1400" s="1">
        <v>1383</v>
      </c>
      <c r="D1400" s="1">
        <v>13002561</v>
      </c>
      <c r="E1400" s="1">
        <v>13</v>
      </c>
      <c r="F1400" s="1">
        <v>22589</v>
      </c>
      <c r="G1400" s="1" t="s">
        <v>21</v>
      </c>
      <c r="H1400" s="1">
        <v>15</v>
      </c>
      <c r="I1400" s="1">
        <v>393314</v>
      </c>
      <c r="J1400" s="14" t="s">
        <v>270</v>
      </c>
      <c r="K1400" s="1" t="s">
        <v>51</v>
      </c>
      <c r="L1400" s="1" t="s">
        <v>76</v>
      </c>
      <c r="M1400" s="14">
        <v>1</v>
      </c>
      <c r="N1400" s="2">
        <v>42.82</v>
      </c>
      <c r="O1400" s="16">
        <v>66</v>
      </c>
      <c r="P1400" s="14">
        <v>0</v>
      </c>
      <c r="Q1400" s="14">
        <f t="shared" si="21"/>
        <v>66</v>
      </c>
      <c r="R1400" s="1" t="s">
        <v>25</v>
      </c>
      <c r="S1400" s="1" t="s">
        <v>25</v>
      </c>
      <c r="T1400" s="1">
        <v>29</v>
      </c>
      <c r="U1400" s="1">
        <v>1</v>
      </c>
      <c r="V1400" s="1">
        <v>3</v>
      </c>
    </row>
    <row r="1401" spans="1:22" x14ac:dyDescent="0.25">
      <c r="A1401" s="3">
        <v>44778</v>
      </c>
      <c r="B1401" s="4">
        <v>0.71643518518518523</v>
      </c>
      <c r="C1401" s="1">
        <v>1878</v>
      </c>
      <c r="D1401" s="1">
        <v>13002616</v>
      </c>
      <c r="E1401" s="1">
        <v>13</v>
      </c>
      <c r="F1401" s="1">
        <v>22589</v>
      </c>
      <c r="G1401" s="1" t="s">
        <v>21</v>
      </c>
      <c r="H1401" s="1">
        <v>15</v>
      </c>
      <c r="I1401" s="1">
        <v>393314</v>
      </c>
      <c r="J1401" s="14" t="s">
        <v>270</v>
      </c>
      <c r="K1401" s="1" t="s">
        <v>51</v>
      </c>
      <c r="L1401" s="1" t="s">
        <v>76</v>
      </c>
      <c r="M1401" s="14">
        <v>1</v>
      </c>
      <c r="N1401" s="2">
        <v>42.82</v>
      </c>
      <c r="O1401" s="16">
        <v>66</v>
      </c>
      <c r="P1401" s="14">
        <v>0</v>
      </c>
      <c r="Q1401" s="14">
        <f t="shared" si="21"/>
        <v>66</v>
      </c>
      <c r="R1401" s="1" t="s">
        <v>25</v>
      </c>
      <c r="S1401" s="1" t="s">
        <v>25</v>
      </c>
      <c r="T1401" s="1">
        <v>50</v>
      </c>
      <c r="U1401" s="1">
        <v>1</v>
      </c>
      <c r="V1401" s="1">
        <v>6</v>
      </c>
    </row>
    <row r="1402" spans="1:22" x14ac:dyDescent="0.25">
      <c r="A1402" s="3">
        <v>44778</v>
      </c>
      <c r="B1402" s="4">
        <v>0.78909722222222223</v>
      </c>
      <c r="C1402" s="1">
        <v>1895</v>
      </c>
      <c r="D1402" s="1">
        <v>13002616</v>
      </c>
      <c r="E1402" s="1">
        <v>13</v>
      </c>
      <c r="F1402" s="1">
        <v>22589</v>
      </c>
      <c r="G1402" s="1" t="s">
        <v>21</v>
      </c>
      <c r="H1402" s="1">
        <v>18</v>
      </c>
      <c r="I1402" s="1">
        <v>393314</v>
      </c>
      <c r="J1402" s="14" t="s">
        <v>270</v>
      </c>
      <c r="K1402" s="1" t="s">
        <v>51</v>
      </c>
      <c r="L1402" s="1" t="s">
        <v>76</v>
      </c>
      <c r="M1402" s="14">
        <v>1</v>
      </c>
      <c r="N1402" s="2">
        <v>42.82</v>
      </c>
      <c r="O1402" s="16">
        <v>66</v>
      </c>
      <c r="P1402" s="14">
        <v>0</v>
      </c>
      <c r="Q1402" s="14">
        <f t="shared" si="21"/>
        <v>66</v>
      </c>
      <c r="R1402" s="1" t="s">
        <v>25</v>
      </c>
      <c r="S1402" s="1" t="s">
        <v>25</v>
      </c>
      <c r="T1402" s="1">
        <v>50</v>
      </c>
      <c r="U1402" s="1">
        <v>1</v>
      </c>
      <c r="V1402" s="1">
        <v>2</v>
      </c>
    </row>
    <row r="1403" spans="1:22" x14ac:dyDescent="0.25">
      <c r="A1403" s="3">
        <v>44778</v>
      </c>
      <c r="B1403" s="4">
        <v>0.5577199074074074</v>
      </c>
      <c r="C1403" s="1">
        <v>1844</v>
      </c>
      <c r="D1403" s="1">
        <v>13002616</v>
      </c>
      <c r="E1403" s="1">
        <v>13</v>
      </c>
      <c r="F1403" s="1">
        <v>22589</v>
      </c>
      <c r="G1403" s="1" t="s">
        <v>21</v>
      </c>
      <c r="H1403" s="1">
        <v>18</v>
      </c>
      <c r="I1403" s="1">
        <v>186354</v>
      </c>
      <c r="J1403" s="14" t="s">
        <v>1151</v>
      </c>
      <c r="K1403" s="1" t="s">
        <v>51</v>
      </c>
      <c r="L1403" s="1" t="s">
        <v>1152</v>
      </c>
      <c r="M1403" s="14">
        <v>1</v>
      </c>
      <c r="N1403" s="2">
        <v>140.66999999999999</v>
      </c>
      <c r="O1403" s="16">
        <v>219</v>
      </c>
      <c r="P1403" s="14">
        <v>0</v>
      </c>
      <c r="Q1403" s="14">
        <f t="shared" si="21"/>
        <v>219</v>
      </c>
      <c r="R1403" s="1" t="s">
        <v>25</v>
      </c>
      <c r="S1403" s="1" t="s">
        <v>25</v>
      </c>
      <c r="T1403" s="1">
        <v>50</v>
      </c>
      <c r="U1403" s="1">
        <v>1</v>
      </c>
      <c r="V1403" s="1">
        <v>10</v>
      </c>
    </row>
    <row r="1404" spans="1:22" x14ac:dyDescent="0.25">
      <c r="A1404" s="3">
        <v>44776</v>
      </c>
      <c r="B1404" s="4">
        <v>0.45534722222222224</v>
      </c>
      <c r="C1404" s="1">
        <v>1560</v>
      </c>
      <c r="D1404" s="1">
        <v>13002595</v>
      </c>
      <c r="E1404" s="1">
        <v>13</v>
      </c>
      <c r="F1404" s="1">
        <v>22589</v>
      </c>
      <c r="G1404" s="1" t="s">
        <v>21</v>
      </c>
      <c r="H1404" s="1">
        <v>15</v>
      </c>
      <c r="I1404" s="1">
        <v>277903</v>
      </c>
      <c r="J1404" s="14" t="s">
        <v>751</v>
      </c>
      <c r="K1404" s="1" t="s">
        <v>64</v>
      </c>
      <c r="L1404" s="1" t="s">
        <v>752</v>
      </c>
      <c r="M1404" s="14">
        <v>1</v>
      </c>
      <c r="N1404" s="2">
        <v>343.33</v>
      </c>
      <c r="O1404" s="16">
        <v>505</v>
      </c>
      <c r="P1404" s="14">
        <v>50</v>
      </c>
      <c r="Q1404" s="14">
        <f t="shared" si="21"/>
        <v>455</v>
      </c>
      <c r="R1404" s="1">
        <v>9</v>
      </c>
      <c r="S1404" s="1">
        <v>200010006106</v>
      </c>
      <c r="T1404" s="1">
        <v>29</v>
      </c>
      <c r="U1404" s="1">
        <v>1</v>
      </c>
      <c r="V1404" s="1">
        <v>3</v>
      </c>
    </row>
    <row r="1405" spans="1:22" x14ac:dyDescent="0.25">
      <c r="A1405" s="3">
        <v>44774</v>
      </c>
      <c r="B1405" s="4">
        <v>0.44200231481481483</v>
      </c>
      <c r="C1405" s="1">
        <v>1293</v>
      </c>
      <c r="D1405" s="1">
        <v>13002561</v>
      </c>
      <c r="E1405" s="1">
        <v>13</v>
      </c>
      <c r="F1405" s="1">
        <v>22589</v>
      </c>
      <c r="G1405" s="1" t="s">
        <v>21</v>
      </c>
      <c r="H1405" s="1">
        <v>18</v>
      </c>
      <c r="I1405" s="1">
        <v>19646</v>
      </c>
      <c r="J1405" s="14" t="s">
        <v>116</v>
      </c>
      <c r="K1405" s="1" t="s">
        <v>117</v>
      </c>
      <c r="L1405" s="1" t="s">
        <v>118</v>
      </c>
      <c r="M1405" s="14">
        <v>1</v>
      </c>
      <c r="N1405" s="2">
        <v>88.91</v>
      </c>
      <c r="O1405" s="16">
        <v>127</v>
      </c>
      <c r="P1405" s="14">
        <v>0</v>
      </c>
      <c r="Q1405" s="14">
        <f t="shared" si="21"/>
        <v>127</v>
      </c>
      <c r="R1405" s="1" t="s">
        <v>25</v>
      </c>
      <c r="S1405" s="1" t="s">
        <v>25</v>
      </c>
      <c r="T1405" s="1">
        <v>29</v>
      </c>
      <c r="U1405" s="1">
        <v>1</v>
      </c>
      <c r="V1405" s="1">
        <v>1</v>
      </c>
    </row>
    <row r="1406" spans="1:22" x14ac:dyDescent="0.25">
      <c r="A1406" s="3">
        <v>44774</v>
      </c>
      <c r="B1406" s="4">
        <v>0.55306712962962967</v>
      </c>
      <c r="C1406" s="1">
        <v>1338</v>
      </c>
      <c r="D1406" s="1">
        <v>13002561</v>
      </c>
      <c r="E1406" s="1">
        <v>13</v>
      </c>
      <c r="F1406" s="1">
        <v>22589</v>
      </c>
      <c r="G1406" s="1" t="s">
        <v>21</v>
      </c>
      <c r="H1406" s="1">
        <v>15</v>
      </c>
      <c r="I1406" s="1">
        <v>336402</v>
      </c>
      <c r="J1406" s="14" t="s">
        <v>282</v>
      </c>
      <c r="K1406" s="1" t="s">
        <v>58</v>
      </c>
      <c r="L1406" s="1" t="s">
        <v>99</v>
      </c>
      <c r="M1406" s="14">
        <v>1</v>
      </c>
      <c r="N1406" s="2">
        <v>100.59</v>
      </c>
      <c r="O1406" s="16">
        <v>156</v>
      </c>
      <c r="P1406" s="14">
        <v>15</v>
      </c>
      <c r="Q1406" s="14">
        <f t="shared" si="21"/>
        <v>141</v>
      </c>
      <c r="R1406" s="1">
        <v>9</v>
      </c>
      <c r="S1406" s="1">
        <v>200010018363</v>
      </c>
      <c r="T1406" s="1">
        <v>29</v>
      </c>
      <c r="U1406" s="1">
        <v>1</v>
      </c>
      <c r="V1406" s="1">
        <v>2</v>
      </c>
    </row>
    <row r="1407" spans="1:22" x14ac:dyDescent="0.25">
      <c r="A1407" s="3">
        <v>44774</v>
      </c>
      <c r="B1407" s="4">
        <v>0.72908564814814814</v>
      </c>
      <c r="C1407" s="1">
        <v>1387</v>
      </c>
      <c r="D1407" s="1">
        <v>13002561</v>
      </c>
      <c r="E1407" s="1">
        <v>13</v>
      </c>
      <c r="F1407" s="1">
        <v>22589</v>
      </c>
      <c r="G1407" s="1" t="s">
        <v>21</v>
      </c>
      <c r="H1407" s="1">
        <v>18</v>
      </c>
      <c r="I1407" s="1">
        <v>354211</v>
      </c>
      <c r="J1407" s="14" t="s">
        <v>408</v>
      </c>
      <c r="K1407" s="1" t="s">
        <v>48</v>
      </c>
      <c r="L1407" s="1" t="s">
        <v>99</v>
      </c>
      <c r="M1407" s="14">
        <v>1</v>
      </c>
      <c r="N1407" s="2">
        <v>14.4</v>
      </c>
      <c r="O1407" s="16">
        <v>24</v>
      </c>
      <c r="P1407" s="14">
        <v>2</v>
      </c>
      <c r="Q1407" s="14">
        <f t="shared" si="21"/>
        <v>22</v>
      </c>
      <c r="R1407" s="1">
        <v>9</v>
      </c>
      <c r="S1407" s="1">
        <v>200010023529</v>
      </c>
      <c r="T1407" s="1">
        <v>29</v>
      </c>
      <c r="U1407" s="1">
        <v>1</v>
      </c>
      <c r="V1407" s="1">
        <v>2</v>
      </c>
    </row>
    <row r="1408" spans="1:22" x14ac:dyDescent="0.25">
      <c r="A1408" s="3">
        <v>44774</v>
      </c>
      <c r="B1408" s="4">
        <v>0.72908564814814814</v>
      </c>
      <c r="C1408" s="1">
        <v>1387</v>
      </c>
      <c r="D1408" s="1">
        <v>13002561</v>
      </c>
      <c r="E1408" s="1">
        <v>13</v>
      </c>
      <c r="F1408" s="1">
        <v>22589</v>
      </c>
      <c r="G1408" s="1" t="s">
        <v>21</v>
      </c>
      <c r="H1408" s="1">
        <v>18</v>
      </c>
      <c r="I1408" s="1">
        <v>354211</v>
      </c>
      <c r="J1408" s="14" t="s">
        <v>408</v>
      </c>
      <c r="K1408" s="1" t="s">
        <v>48</v>
      </c>
      <c r="L1408" s="1" t="s">
        <v>99</v>
      </c>
      <c r="M1408" s="14">
        <v>1</v>
      </c>
      <c r="N1408" s="2">
        <v>14.4</v>
      </c>
      <c r="O1408" s="16">
        <v>24</v>
      </c>
      <c r="P1408" s="14">
        <v>2</v>
      </c>
      <c r="Q1408" s="14">
        <f t="shared" si="21"/>
        <v>22</v>
      </c>
      <c r="R1408" s="1">
        <v>9</v>
      </c>
      <c r="S1408" s="1">
        <v>200010023529</v>
      </c>
      <c r="T1408" s="1">
        <v>29</v>
      </c>
      <c r="U1408" s="1">
        <v>1</v>
      </c>
      <c r="V1408" s="1">
        <v>3</v>
      </c>
    </row>
    <row r="1409" spans="1:22" x14ac:dyDescent="0.25">
      <c r="A1409" s="3">
        <v>44775</v>
      </c>
      <c r="B1409" s="4">
        <v>0.67931712962962965</v>
      </c>
      <c r="C1409" s="1">
        <v>1495</v>
      </c>
      <c r="D1409" s="1">
        <v>13002581</v>
      </c>
      <c r="E1409" s="1">
        <v>13</v>
      </c>
      <c r="F1409" s="1">
        <v>22589</v>
      </c>
      <c r="G1409" s="1" t="s">
        <v>21</v>
      </c>
      <c r="H1409" s="1">
        <v>15</v>
      </c>
      <c r="I1409" s="1">
        <v>354211</v>
      </c>
      <c r="J1409" s="14" t="s">
        <v>408</v>
      </c>
      <c r="K1409" s="1" t="s">
        <v>48</v>
      </c>
      <c r="L1409" s="1" t="s">
        <v>99</v>
      </c>
      <c r="M1409" s="14">
        <v>1</v>
      </c>
      <c r="N1409" s="2">
        <v>14.4</v>
      </c>
      <c r="O1409" s="16">
        <v>24</v>
      </c>
      <c r="P1409" s="14">
        <v>0</v>
      </c>
      <c r="Q1409" s="14">
        <f t="shared" si="21"/>
        <v>24</v>
      </c>
      <c r="R1409" s="1" t="s">
        <v>25</v>
      </c>
      <c r="S1409" s="1" t="s">
        <v>25</v>
      </c>
      <c r="T1409" s="1">
        <v>29</v>
      </c>
      <c r="U1409" s="1">
        <v>1</v>
      </c>
      <c r="V1409" s="1">
        <v>4</v>
      </c>
    </row>
    <row r="1410" spans="1:22" x14ac:dyDescent="0.25">
      <c r="A1410" s="3">
        <v>44778</v>
      </c>
      <c r="B1410" s="4">
        <v>0.41885416666666669</v>
      </c>
      <c r="C1410" s="1">
        <v>1811</v>
      </c>
      <c r="D1410" s="1">
        <v>13002616</v>
      </c>
      <c r="E1410" s="1">
        <v>13</v>
      </c>
      <c r="F1410" s="1">
        <v>22589</v>
      </c>
      <c r="G1410" s="1" t="s">
        <v>21</v>
      </c>
      <c r="H1410" s="1">
        <v>15</v>
      </c>
      <c r="I1410" s="1">
        <v>141007</v>
      </c>
      <c r="J1410" s="14" t="s">
        <v>1105</v>
      </c>
      <c r="K1410" s="1" t="s">
        <v>252</v>
      </c>
      <c r="L1410" s="1" t="s">
        <v>1106</v>
      </c>
      <c r="M1410" s="14">
        <v>1</v>
      </c>
      <c r="N1410" s="2">
        <v>61.92</v>
      </c>
      <c r="O1410" s="16">
        <v>98</v>
      </c>
      <c r="P1410" s="14">
        <v>0</v>
      </c>
      <c r="Q1410" s="14">
        <f t="shared" ref="Q1410:Q1473" si="22">M1410*O1410-P1410</f>
        <v>98</v>
      </c>
      <c r="R1410" s="1" t="s">
        <v>25</v>
      </c>
      <c r="S1410" s="1" t="s">
        <v>25</v>
      </c>
      <c r="T1410" s="1">
        <v>50</v>
      </c>
      <c r="U1410" s="1">
        <v>1</v>
      </c>
      <c r="V1410" s="1">
        <v>1</v>
      </c>
    </row>
    <row r="1411" spans="1:22" x14ac:dyDescent="0.25">
      <c r="A1411" s="3">
        <v>44774</v>
      </c>
      <c r="B1411" s="4">
        <v>0.43451388888888887</v>
      </c>
      <c r="C1411" s="1">
        <v>1288</v>
      </c>
      <c r="D1411" s="1">
        <v>13002561</v>
      </c>
      <c r="E1411" s="1">
        <v>13</v>
      </c>
      <c r="F1411" s="1">
        <v>22589</v>
      </c>
      <c r="G1411" s="1" t="s">
        <v>21</v>
      </c>
      <c r="H1411" s="1">
        <v>15</v>
      </c>
      <c r="I1411" s="1">
        <v>23396</v>
      </c>
      <c r="J1411" s="14" t="s">
        <v>83</v>
      </c>
      <c r="K1411" s="1" t="s">
        <v>84</v>
      </c>
      <c r="L1411" s="1" t="s">
        <v>85</v>
      </c>
      <c r="M1411" s="14">
        <v>2</v>
      </c>
      <c r="N1411" s="2">
        <v>248.26</v>
      </c>
      <c r="O1411" s="16">
        <v>336</v>
      </c>
      <c r="P1411" s="14">
        <v>0</v>
      </c>
      <c r="Q1411" s="14">
        <f t="shared" si="22"/>
        <v>672</v>
      </c>
      <c r="R1411" s="1" t="s">
        <v>25</v>
      </c>
      <c r="S1411" s="1" t="s">
        <v>25</v>
      </c>
      <c r="T1411" s="1">
        <v>29</v>
      </c>
      <c r="U1411" s="1">
        <v>1</v>
      </c>
      <c r="V1411" s="1">
        <v>1</v>
      </c>
    </row>
    <row r="1412" spans="1:22" x14ac:dyDescent="0.25">
      <c r="A1412" s="3">
        <v>44778</v>
      </c>
      <c r="B1412" s="4">
        <v>0.62300925925925921</v>
      </c>
      <c r="C1412" s="1">
        <v>1861</v>
      </c>
      <c r="D1412" s="1">
        <v>13002616</v>
      </c>
      <c r="E1412" s="1">
        <v>13</v>
      </c>
      <c r="F1412" s="1">
        <v>22589</v>
      </c>
      <c r="G1412" s="1" t="s">
        <v>21</v>
      </c>
      <c r="H1412" s="1">
        <v>18</v>
      </c>
      <c r="I1412" s="1">
        <v>193385</v>
      </c>
      <c r="J1412" s="14" t="s">
        <v>1181</v>
      </c>
      <c r="K1412" s="1" t="s">
        <v>51</v>
      </c>
      <c r="L1412" s="1" t="s">
        <v>80</v>
      </c>
      <c r="M1412" s="14">
        <v>1</v>
      </c>
      <c r="N1412" s="2">
        <v>64.77</v>
      </c>
      <c r="O1412" s="16">
        <v>102</v>
      </c>
      <c r="P1412" s="14">
        <v>10</v>
      </c>
      <c r="Q1412" s="14">
        <f t="shared" si="22"/>
        <v>92</v>
      </c>
      <c r="R1412" s="1">
        <v>9</v>
      </c>
      <c r="S1412" s="1">
        <v>200010023583</v>
      </c>
      <c r="T1412" s="1">
        <v>50</v>
      </c>
      <c r="U1412" s="1">
        <v>1</v>
      </c>
      <c r="V1412" s="1">
        <v>2</v>
      </c>
    </row>
    <row r="1413" spans="1:22" x14ac:dyDescent="0.25">
      <c r="A1413" s="3">
        <v>44777</v>
      </c>
      <c r="B1413" s="4">
        <v>0.54795138888888884</v>
      </c>
      <c r="C1413" s="1">
        <v>1714</v>
      </c>
      <c r="D1413" s="1">
        <v>13002606</v>
      </c>
      <c r="E1413" s="1">
        <v>13</v>
      </c>
      <c r="F1413" s="1">
        <v>22589</v>
      </c>
      <c r="G1413" s="1" t="s">
        <v>21</v>
      </c>
      <c r="H1413" s="1">
        <v>18</v>
      </c>
      <c r="I1413" s="1">
        <v>148617</v>
      </c>
      <c r="J1413" s="14" t="s">
        <v>1004</v>
      </c>
      <c r="K1413" s="1" t="s">
        <v>51</v>
      </c>
      <c r="L1413" s="1" t="s">
        <v>80</v>
      </c>
      <c r="M1413" s="14">
        <v>2</v>
      </c>
      <c r="N1413" s="2">
        <v>36.22</v>
      </c>
      <c r="O1413" s="16">
        <v>59</v>
      </c>
      <c r="P1413" s="14">
        <v>11</v>
      </c>
      <c r="Q1413" s="14">
        <f t="shared" si="22"/>
        <v>107</v>
      </c>
      <c r="R1413" s="1">
        <v>9</v>
      </c>
      <c r="S1413" s="1">
        <v>200010018671</v>
      </c>
      <c r="T1413" s="1">
        <v>50</v>
      </c>
      <c r="U1413" s="1">
        <v>1</v>
      </c>
      <c r="V1413" s="1">
        <v>4</v>
      </c>
    </row>
    <row r="1414" spans="1:22" x14ac:dyDescent="0.25">
      <c r="A1414" s="3">
        <v>44778</v>
      </c>
      <c r="B1414" s="4">
        <v>0.77109953703703704</v>
      </c>
      <c r="C1414" s="1">
        <v>1890</v>
      </c>
      <c r="D1414" s="1">
        <v>13002616</v>
      </c>
      <c r="E1414" s="1">
        <v>13</v>
      </c>
      <c r="F1414" s="1">
        <v>22589</v>
      </c>
      <c r="G1414" s="1" t="s">
        <v>21</v>
      </c>
      <c r="H1414" s="1">
        <v>18</v>
      </c>
      <c r="I1414" s="1">
        <v>148617</v>
      </c>
      <c r="J1414" s="14" t="s">
        <v>1004</v>
      </c>
      <c r="K1414" s="1" t="s">
        <v>51</v>
      </c>
      <c r="L1414" s="1" t="s">
        <v>80</v>
      </c>
      <c r="M1414" s="14">
        <v>1</v>
      </c>
      <c r="N1414" s="2">
        <v>36.22</v>
      </c>
      <c r="O1414" s="16">
        <v>59</v>
      </c>
      <c r="P1414" s="14">
        <v>0</v>
      </c>
      <c r="Q1414" s="14">
        <f t="shared" si="22"/>
        <v>59</v>
      </c>
      <c r="R1414" s="1" t="s">
        <v>25</v>
      </c>
      <c r="S1414" s="1" t="s">
        <v>25</v>
      </c>
      <c r="T1414" s="1">
        <v>50</v>
      </c>
      <c r="U1414" s="1">
        <v>1</v>
      </c>
      <c r="V1414" s="1">
        <v>3</v>
      </c>
    </row>
    <row r="1415" spans="1:22" x14ac:dyDescent="0.25">
      <c r="A1415" s="3">
        <v>44776</v>
      </c>
      <c r="B1415" s="4">
        <v>0.56376157407407412</v>
      </c>
      <c r="C1415" s="1">
        <v>1598</v>
      </c>
      <c r="D1415" s="1">
        <v>13002595</v>
      </c>
      <c r="E1415" s="1">
        <v>13</v>
      </c>
      <c r="F1415" s="1">
        <v>22589</v>
      </c>
      <c r="G1415" s="1" t="s">
        <v>21</v>
      </c>
      <c r="H1415" s="1">
        <v>15</v>
      </c>
      <c r="I1415" s="1">
        <v>9029</v>
      </c>
      <c r="J1415" s="14" t="s">
        <v>827</v>
      </c>
      <c r="K1415" s="1" t="s">
        <v>23</v>
      </c>
      <c r="L1415" s="1" t="s">
        <v>734</v>
      </c>
      <c r="M1415" s="14">
        <v>1</v>
      </c>
      <c r="N1415" s="2">
        <v>110.23</v>
      </c>
      <c r="O1415" s="16">
        <v>133</v>
      </c>
      <c r="P1415" s="14">
        <v>6</v>
      </c>
      <c r="Q1415" s="14">
        <f t="shared" si="22"/>
        <v>127</v>
      </c>
      <c r="R1415" s="1">
        <v>9</v>
      </c>
      <c r="S1415" s="1">
        <v>200010001803</v>
      </c>
      <c r="T1415" s="1">
        <v>29</v>
      </c>
      <c r="U1415" s="1">
        <v>1</v>
      </c>
      <c r="V1415" s="1">
        <v>7</v>
      </c>
    </row>
    <row r="1416" spans="1:22" x14ac:dyDescent="0.25">
      <c r="A1416" s="3">
        <v>44774</v>
      </c>
      <c r="B1416" s="4">
        <v>0.41548611111111111</v>
      </c>
      <c r="C1416" s="1">
        <v>1284</v>
      </c>
      <c r="D1416" s="1">
        <v>13002561</v>
      </c>
      <c r="E1416" s="1">
        <v>13</v>
      </c>
      <c r="F1416" s="1">
        <v>22589</v>
      </c>
      <c r="G1416" s="1" t="s">
        <v>21</v>
      </c>
      <c r="H1416" s="1">
        <v>15</v>
      </c>
      <c r="I1416" s="1">
        <v>530607</v>
      </c>
      <c r="J1416" s="14" t="s">
        <v>71</v>
      </c>
      <c r="K1416" s="1" t="s">
        <v>58</v>
      </c>
      <c r="L1416" s="1" t="s">
        <v>72</v>
      </c>
      <c r="M1416" s="14">
        <v>2</v>
      </c>
      <c r="N1416" s="2">
        <v>619.88</v>
      </c>
      <c r="O1416" s="16">
        <v>862</v>
      </c>
      <c r="P1416" s="14">
        <v>172</v>
      </c>
      <c r="Q1416" s="14">
        <f t="shared" si="22"/>
        <v>1552</v>
      </c>
      <c r="R1416" s="1">
        <v>9</v>
      </c>
      <c r="S1416" s="1">
        <v>200010017394</v>
      </c>
      <c r="T1416" s="1">
        <v>29</v>
      </c>
      <c r="U1416" s="1">
        <v>1</v>
      </c>
      <c r="V1416" s="1">
        <v>1</v>
      </c>
    </row>
    <row r="1417" spans="1:22" x14ac:dyDescent="0.25">
      <c r="A1417" s="3">
        <v>44774</v>
      </c>
      <c r="B1417" s="4">
        <v>0.3719675925925926</v>
      </c>
      <c r="C1417" s="1">
        <v>1274</v>
      </c>
      <c r="D1417" s="1">
        <v>13002561</v>
      </c>
      <c r="E1417" s="1">
        <v>13</v>
      </c>
      <c r="F1417" s="1">
        <v>22589</v>
      </c>
      <c r="G1417" s="1" t="s">
        <v>21</v>
      </c>
      <c r="H1417" s="1">
        <v>18</v>
      </c>
      <c r="I1417" s="1">
        <v>190635</v>
      </c>
      <c r="J1417" s="14" t="s">
        <v>28</v>
      </c>
      <c r="K1417" s="1" t="s">
        <v>29</v>
      </c>
      <c r="L1417" s="1" t="s">
        <v>30</v>
      </c>
      <c r="M1417" s="14">
        <v>1</v>
      </c>
      <c r="N1417" s="2">
        <v>2320.9899999999998</v>
      </c>
      <c r="O1417" s="16">
        <v>2563</v>
      </c>
      <c r="P1417" s="14">
        <v>76</v>
      </c>
      <c r="Q1417" s="14">
        <f t="shared" si="22"/>
        <v>2487</v>
      </c>
      <c r="R1417" s="1">
        <v>9</v>
      </c>
      <c r="S1417" s="1">
        <v>200010018491</v>
      </c>
      <c r="T1417" s="1">
        <v>29</v>
      </c>
      <c r="U1417" s="1">
        <v>1</v>
      </c>
      <c r="V1417" s="1">
        <v>1</v>
      </c>
    </row>
    <row r="1418" spans="1:22" x14ac:dyDescent="0.25">
      <c r="A1418" s="3">
        <v>44775</v>
      </c>
      <c r="B1418" s="4">
        <v>0.51202546296296292</v>
      </c>
      <c r="C1418" s="1">
        <v>1459</v>
      </c>
      <c r="D1418" s="1">
        <v>13002581</v>
      </c>
      <c r="E1418" s="1">
        <v>13</v>
      </c>
      <c r="F1418" s="1">
        <v>22589</v>
      </c>
      <c r="G1418" s="1" t="s">
        <v>21</v>
      </c>
      <c r="H1418" s="1">
        <v>15</v>
      </c>
      <c r="I1418" s="1">
        <v>190635</v>
      </c>
      <c r="J1418" s="14" t="s">
        <v>28</v>
      </c>
      <c r="K1418" s="1" t="s">
        <v>29</v>
      </c>
      <c r="L1418" s="1" t="s">
        <v>30</v>
      </c>
      <c r="M1418" s="14">
        <v>1</v>
      </c>
      <c r="N1418" s="2">
        <v>2320.9899999999998</v>
      </c>
      <c r="O1418" s="16">
        <v>2563</v>
      </c>
      <c r="P1418" s="14">
        <v>76</v>
      </c>
      <c r="Q1418" s="14">
        <f t="shared" si="22"/>
        <v>2487</v>
      </c>
      <c r="R1418" s="1">
        <v>9</v>
      </c>
      <c r="S1418" s="1">
        <v>200010002982</v>
      </c>
      <c r="T1418" s="1">
        <v>29</v>
      </c>
      <c r="U1418" s="1">
        <v>1</v>
      </c>
      <c r="V1418" s="1">
        <v>4</v>
      </c>
    </row>
    <row r="1419" spans="1:22" x14ac:dyDescent="0.25">
      <c r="A1419" s="3">
        <v>44776</v>
      </c>
      <c r="B1419" s="4">
        <v>0.44743055555555555</v>
      </c>
      <c r="C1419" s="1">
        <v>1559</v>
      </c>
      <c r="D1419" s="1">
        <v>13002595</v>
      </c>
      <c r="E1419" s="1">
        <v>13</v>
      </c>
      <c r="F1419" s="1">
        <v>22589</v>
      </c>
      <c r="G1419" s="1" t="s">
        <v>21</v>
      </c>
      <c r="H1419" s="1">
        <v>15</v>
      </c>
      <c r="I1419" s="1">
        <v>101391</v>
      </c>
      <c r="J1419" s="14" t="s">
        <v>749</v>
      </c>
      <c r="K1419" s="1" t="s">
        <v>29</v>
      </c>
      <c r="L1419" s="1" t="s">
        <v>750</v>
      </c>
      <c r="M1419" s="14">
        <v>1</v>
      </c>
      <c r="N1419" s="2">
        <v>190.49</v>
      </c>
      <c r="O1419" s="16">
        <v>261</v>
      </c>
      <c r="P1419" s="14">
        <v>0</v>
      </c>
      <c r="Q1419" s="14">
        <f t="shared" si="22"/>
        <v>261</v>
      </c>
      <c r="R1419" s="1" t="s">
        <v>25</v>
      </c>
      <c r="S1419" s="1" t="s">
        <v>25</v>
      </c>
      <c r="T1419" s="1">
        <v>29</v>
      </c>
      <c r="U1419" s="1">
        <v>1</v>
      </c>
      <c r="V1419" s="1">
        <v>2</v>
      </c>
    </row>
    <row r="1420" spans="1:22" x14ac:dyDescent="0.25">
      <c r="A1420" s="3">
        <v>44776</v>
      </c>
      <c r="B1420" s="4">
        <v>0.54353009259259255</v>
      </c>
      <c r="C1420" s="1">
        <v>1592</v>
      </c>
      <c r="D1420" s="1">
        <v>13002595</v>
      </c>
      <c r="E1420" s="1">
        <v>13</v>
      </c>
      <c r="F1420" s="1">
        <v>22589</v>
      </c>
      <c r="G1420" s="1" t="s">
        <v>21</v>
      </c>
      <c r="H1420" s="1">
        <v>15</v>
      </c>
      <c r="I1420" s="1">
        <v>19568</v>
      </c>
      <c r="J1420" s="14" t="s">
        <v>821</v>
      </c>
      <c r="K1420" s="1" t="s">
        <v>51</v>
      </c>
      <c r="L1420" s="1" t="s">
        <v>822</v>
      </c>
      <c r="M1420" s="14">
        <v>1</v>
      </c>
      <c r="N1420" s="2">
        <v>216.04</v>
      </c>
      <c r="O1420" s="16">
        <v>292</v>
      </c>
      <c r="P1420" s="14">
        <v>35.18</v>
      </c>
      <c r="Q1420" s="14">
        <f t="shared" si="22"/>
        <v>256.82</v>
      </c>
      <c r="R1420" s="1">
        <v>925</v>
      </c>
      <c r="S1420" s="1">
        <v>200000000492</v>
      </c>
      <c r="T1420" s="1">
        <v>29</v>
      </c>
      <c r="U1420" s="1">
        <v>1</v>
      </c>
      <c r="V1420" s="1">
        <v>2</v>
      </c>
    </row>
    <row r="1421" spans="1:22" x14ac:dyDescent="0.25">
      <c r="A1421" s="3">
        <v>44778</v>
      </c>
      <c r="B1421" s="4">
        <v>0.40599537037037037</v>
      </c>
      <c r="C1421" s="1">
        <v>1805</v>
      </c>
      <c r="D1421" s="1">
        <v>13002616</v>
      </c>
      <c r="E1421" s="1">
        <v>13</v>
      </c>
      <c r="F1421" s="1">
        <v>22589</v>
      </c>
      <c r="G1421" s="1" t="s">
        <v>21</v>
      </c>
      <c r="H1421" s="1">
        <v>15</v>
      </c>
      <c r="I1421" s="1">
        <v>19568</v>
      </c>
      <c r="J1421" s="14" t="s">
        <v>821</v>
      </c>
      <c r="K1421" s="1" t="s">
        <v>51</v>
      </c>
      <c r="L1421" s="1" t="s">
        <v>822</v>
      </c>
      <c r="M1421" s="14">
        <v>1</v>
      </c>
      <c r="N1421" s="2">
        <v>213.83</v>
      </c>
      <c r="O1421" s="16">
        <v>289</v>
      </c>
      <c r="P1421" s="14">
        <v>20</v>
      </c>
      <c r="Q1421" s="14">
        <f t="shared" si="22"/>
        <v>269</v>
      </c>
      <c r="R1421" s="1">
        <v>9</v>
      </c>
      <c r="S1421" s="1">
        <v>200010026859</v>
      </c>
      <c r="T1421" s="1">
        <v>50</v>
      </c>
      <c r="U1421" s="1">
        <v>1</v>
      </c>
      <c r="V1421" s="1">
        <v>3</v>
      </c>
    </row>
    <row r="1422" spans="1:22" x14ac:dyDescent="0.25">
      <c r="A1422" s="3">
        <v>44778</v>
      </c>
      <c r="B1422" s="4">
        <v>0.52201388888888889</v>
      </c>
      <c r="C1422" s="1">
        <v>1836</v>
      </c>
      <c r="D1422" s="1">
        <v>13002616</v>
      </c>
      <c r="E1422" s="1">
        <v>13</v>
      </c>
      <c r="F1422" s="1">
        <v>22589</v>
      </c>
      <c r="G1422" s="1" t="s">
        <v>21</v>
      </c>
      <c r="H1422" s="1">
        <v>15</v>
      </c>
      <c r="I1422" s="1">
        <v>19568</v>
      </c>
      <c r="J1422" s="14" t="s">
        <v>821</v>
      </c>
      <c r="K1422" s="1" t="s">
        <v>51</v>
      </c>
      <c r="L1422" s="1" t="s">
        <v>822</v>
      </c>
      <c r="M1422" s="14">
        <v>1</v>
      </c>
      <c r="N1422" s="2">
        <v>213.83</v>
      </c>
      <c r="O1422" s="16">
        <v>289</v>
      </c>
      <c r="P1422" s="14">
        <v>20</v>
      </c>
      <c r="Q1422" s="14">
        <f t="shared" si="22"/>
        <v>269</v>
      </c>
      <c r="R1422" s="1">
        <v>9</v>
      </c>
      <c r="S1422" s="1">
        <v>200010001180</v>
      </c>
      <c r="T1422" s="1">
        <v>50</v>
      </c>
      <c r="U1422" s="1">
        <v>1</v>
      </c>
      <c r="V1422" s="1">
        <v>2</v>
      </c>
    </row>
    <row r="1423" spans="1:22" x14ac:dyDescent="0.25">
      <c r="A1423" s="3">
        <v>44774</v>
      </c>
      <c r="B1423" s="4">
        <v>0.47072916666666664</v>
      </c>
      <c r="C1423" s="1">
        <v>1305</v>
      </c>
      <c r="D1423" s="1">
        <v>13002561</v>
      </c>
      <c r="E1423" s="1">
        <v>13</v>
      </c>
      <c r="F1423" s="1">
        <v>22589</v>
      </c>
      <c r="G1423" s="1" t="s">
        <v>21</v>
      </c>
      <c r="H1423" s="1">
        <v>18</v>
      </c>
      <c r="I1423" s="1">
        <v>82080</v>
      </c>
      <c r="J1423" s="14" t="s">
        <v>174</v>
      </c>
      <c r="K1423" s="1" t="s">
        <v>23</v>
      </c>
      <c r="L1423" s="1" t="s">
        <v>175</v>
      </c>
      <c r="M1423" s="14">
        <v>1</v>
      </c>
      <c r="N1423" s="2">
        <v>56.34</v>
      </c>
      <c r="O1423" s="16">
        <v>70</v>
      </c>
      <c r="P1423" s="14">
        <v>3</v>
      </c>
      <c r="Q1423" s="14">
        <f t="shared" si="22"/>
        <v>67</v>
      </c>
      <c r="R1423" s="1">
        <v>9</v>
      </c>
      <c r="S1423" s="1">
        <v>200010005191</v>
      </c>
      <c r="T1423" s="1">
        <v>29</v>
      </c>
      <c r="U1423" s="1">
        <v>1</v>
      </c>
      <c r="V1423" s="1">
        <v>1</v>
      </c>
    </row>
    <row r="1424" spans="1:22" x14ac:dyDescent="0.25">
      <c r="A1424" s="3">
        <v>44774</v>
      </c>
      <c r="B1424" s="4">
        <v>0.50760416666666663</v>
      </c>
      <c r="C1424" s="1">
        <v>1320</v>
      </c>
      <c r="D1424" s="1">
        <v>13002561</v>
      </c>
      <c r="E1424" s="1">
        <v>13</v>
      </c>
      <c r="F1424" s="1">
        <v>22589</v>
      </c>
      <c r="G1424" s="1" t="s">
        <v>21</v>
      </c>
      <c r="H1424" s="1">
        <v>15</v>
      </c>
      <c r="I1424" s="1">
        <v>82008</v>
      </c>
      <c r="J1424" s="14" t="s">
        <v>215</v>
      </c>
      <c r="K1424" s="1" t="s">
        <v>51</v>
      </c>
      <c r="L1424" s="1" t="s">
        <v>216</v>
      </c>
      <c r="M1424" s="14">
        <v>1</v>
      </c>
      <c r="N1424" s="2">
        <v>34.42</v>
      </c>
      <c r="O1424" s="16">
        <v>39</v>
      </c>
      <c r="P1424" s="14">
        <v>1</v>
      </c>
      <c r="Q1424" s="14">
        <f t="shared" si="22"/>
        <v>38</v>
      </c>
      <c r="R1424" s="1">
        <v>9</v>
      </c>
      <c r="S1424" s="1">
        <v>200010018337</v>
      </c>
      <c r="T1424" s="1">
        <v>29</v>
      </c>
      <c r="U1424" s="1">
        <v>1</v>
      </c>
      <c r="V1424" s="1">
        <v>6</v>
      </c>
    </row>
    <row r="1425" spans="1:22" x14ac:dyDescent="0.25">
      <c r="A1425" s="3">
        <v>44774</v>
      </c>
      <c r="B1425" s="4">
        <v>0.50760416666666663</v>
      </c>
      <c r="C1425" s="1">
        <v>1320</v>
      </c>
      <c r="D1425" s="1">
        <v>13002561</v>
      </c>
      <c r="E1425" s="1">
        <v>13</v>
      </c>
      <c r="F1425" s="1">
        <v>22589</v>
      </c>
      <c r="G1425" s="1" t="s">
        <v>21</v>
      </c>
      <c r="H1425" s="1">
        <v>15</v>
      </c>
      <c r="I1425" s="1">
        <v>82008</v>
      </c>
      <c r="J1425" s="14" t="s">
        <v>215</v>
      </c>
      <c r="K1425" s="1" t="s">
        <v>51</v>
      </c>
      <c r="L1425" s="1" t="s">
        <v>216</v>
      </c>
      <c r="M1425" s="14">
        <v>1</v>
      </c>
      <c r="N1425" s="2">
        <v>34.42</v>
      </c>
      <c r="O1425" s="16">
        <v>39</v>
      </c>
      <c r="P1425" s="14">
        <v>1</v>
      </c>
      <c r="Q1425" s="14">
        <f t="shared" si="22"/>
        <v>38</v>
      </c>
      <c r="R1425" s="1">
        <v>9</v>
      </c>
      <c r="S1425" s="1">
        <v>200010018337</v>
      </c>
      <c r="T1425" s="1">
        <v>29</v>
      </c>
      <c r="U1425" s="1">
        <v>1</v>
      </c>
      <c r="V1425" s="1">
        <v>7</v>
      </c>
    </row>
    <row r="1426" spans="1:22" x14ac:dyDescent="0.25">
      <c r="A1426" s="3">
        <v>44774</v>
      </c>
      <c r="B1426" s="4">
        <v>0.53057870370370375</v>
      </c>
      <c r="C1426" s="1">
        <v>1329</v>
      </c>
      <c r="D1426" s="1">
        <v>13002561</v>
      </c>
      <c r="E1426" s="1">
        <v>13</v>
      </c>
      <c r="F1426" s="1">
        <v>22589</v>
      </c>
      <c r="G1426" s="1" t="s">
        <v>21</v>
      </c>
      <c r="H1426" s="1">
        <v>18</v>
      </c>
      <c r="I1426" s="1">
        <v>82008</v>
      </c>
      <c r="J1426" s="14" t="s">
        <v>215</v>
      </c>
      <c r="K1426" s="1" t="s">
        <v>51</v>
      </c>
      <c r="L1426" s="1" t="s">
        <v>216</v>
      </c>
      <c r="M1426" s="14">
        <v>1</v>
      </c>
      <c r="N1426" s="2">
        <v>34.42</v>
      </c>
      <c r="O1426" s="16">
        <v>39</v>
      </c>
      <c r="P1426" s="14">
        <v>1</v>
      </c>
      <c r="Q1426" s="14">
        <f t="shared" si="22"/>
        <v>38</v>
      </c>
      <c r="R1426" s="1">
        <v>9</v>
      </c>
      <c r="S1426" s="1">
        <v>200010004402</v>
      </c>
      <c r="T1426" s="1">
        <v>29</v>
      </c>
      <c r="U1426" s="1">
        <v>1</v>
      </c>
      <c r="V1426" s="1">
        <v>4</v>
      </c>
    </row>
    <row r="1427" spans="1:22" x14ac:dyDescent="0.25">
      <c r="A1427" s="3">
        <v>44774</v>
      </c>
      <c r="B1427" s="4">
        <v>0.53057870370370375</v>
      </c>
      <c r="C1427" s="1">
        <v>1329</v>
      </c>
      <c r="D1427" s="1">
        <v>13002561</v>
      </c>
      <c r="E1427" s="1">
        <v>13</v>
      </c>
      <c r="F1427" s="1">
        <v>22589</v>
      </c>
      <c r="G1427" s="1" t="s">
        <v>21</v>
      </c>
      <c r="H1427" s="1">
        <v>18</v>
      </c>
      <c r="I1427" s="1">
        <v>82008</v>
      </c>
      <c r="J1427" s="14" t="s">
        <v>215</v>
      </c>
      <c r="K1427" s="1" t="s">
        <v>51</v>
      </c>
      <c r="L1427" s="1" t="s">
        <v>216</v>
      </c>
      <c r="M1427" s="14">
        <v>1</v>
      </c>
      <c r="N1427" s="2">
        <v>34.42</v>
      </c>
      <c r="O1427" s="16">
        <v>39</v>
      </c>
      <c r="P1427" s="14">
        <v>1</v>
      </c>
      <c r="Q1427" s="14">
        <f t="shared" si="22"/>
        <v>38</v>
      </c>
      <c r="R1427" s="1">
        <v>9</v>
      </c>
      <c r="S1427" s="1">
        <v>200010004402</v>
      </c>
      <c r="T1427" s="1">
        <v>29</v>
      </c>
      <c r="U1427" s="1">
        <v>1</v>
      </c>
      <c r="V1427" s="1">
        <v>5</v>
      </c>
    </row>
    <row r="1428" spans="1:22" x14ac:dyDescent="0.25">
      <c r="A1428" s="3">
        <v>44775</v>
      </c>
      <c r="B1428" s="4">
        <v>0.41516203703703702</v>
      </c>
      <c r="C1428" s="1">
        <v>1430</v>
      </c>
      <c r="D1428" s="1">
        <v>13002581</v>
      </c>
      <c r="E1428" s="1">
        <v>13</v>
      </c>
      <c r="F1428" s="1">
        <v>22589</v>
      </c>
      <c r="G1428" s="1" t="s">
        <v>21</v>
      </c>
      <c r="H1428" s="1">
        <v>15</v>
      </c>
      <c r="I1428" s="1">
        <v>82008</v>
      </c>
      <c r="J1428" s="14" t="s">
        <v>215</v>
      </c>
      <c r="K1428" s="1" t="s">
        <v>23</v>
      </c>
      <c r="L1428" s="1" t="s">
        <v>279</v>
      </c>
      <c r="M1428" s="14">
        <v>1</v>
      </c>
      <c r="N1428" s="2">
        <v>35.9</v>
      </c>
      <c r="O1428" s="16">
        <v>41</v>
      </c>
      <c r="P1428" s="14">
        <v>2</v>
      </c>
      <c r="Q1428" s="14">
        <f t="shared" si="22"/>
        <v>39</v>
      </c>
      <c r="R1428" s="1">
        <v>9</v>
      </c>
      <c r="S1428" s="1">
        <v>200010022582</v>
      </c>
      <c r="T1428" s="1">
        <v>29</v>
      </c>
      <c r="U1428" s="1">
        <v>1</v>
      </c>
      <c r="V1428" s="1">
        <v>2</v>
      </c>
    </row>
    <row r="1429" spans="1:22" x14ac:dyDescent="0.25">
      <c r="A1429" s="3">
        <v>44775</v>
      </c>
      <c r="B1429" s="4">
        <v>0.41516203703703702</v>
      </c>
      <c r="C1429" s="1">
        <v>1430</v>
      </c>
      <c r="D1429" s="1">
        <v>13002581</v>
      </c>
      <c r="E1429" s="1">
        <v>13</v>
      </c>
      <c r="F1429" s="1">
        <v>22589</v>
      </c>
      <c r="G1429" s="1" t="s">
        <v>21</v>
      </c>
      <c r="H1429" s="1">
        <v>15</v>
      </c>
      <c r="I1429" s="1">
        <v>82008</v>
      </c>
      <c r="J1429" s="14" t="s">
        <v>215</v>
      </c>
      <c r="K1429" s="1" t="s">
        <v>23</v>
      </c>
      <c r="L1429" s="1" t="s">
        <v>279</v>
      </c>
      <c r="M1429" s="14">
        <v>1</v>
      </c>
      <c r="N1429" s="2">
        <v>35.9</v>
      </c>
      <c r="O1429" s="16">
        <v>41</v>
      </c>
      <c r="P1429" s="14">
        <v>2</v>
      </c>
      <c r="Q1429" s="14">
        <f t="shared" si="22"/>
        <v>39</v>
      </c>
      <c r="R1429" s="1">
        <v>9</v>
      </c>
      <c r="S1429" s="1">
        <v>200010022582</v>
      </c>
      <c r="T1429" s="1">
        <v>29</v>
      </c>
      <c r="U1429" s="1">
        <v>1</v>
      </c>
      <c r="V1429" s="1">
        <v>3</v>
      </c>
    </row>
    <row r="1430" spans="1:22" x14ac:dyDescent="0.25">
      <c r="A1430" s="3">
        <v>44775</v>
      </c>
      <c r="B1430" s="4">
        <v>0.52030092592592592</v>
      </c>
      <c r="C1430" s="1">
        <v>1462</v>
      </c>
      <c r="D1430" s="1">
        <v>13002581</v>
      </c>
      <c r="E1430" s="1">
        <v>13</v>
      </c>
      <c r="F1430" s="1">
        <v>22589</v>
      </c>
      <c r="G1430" s="1" t="s">
        <v>21</v>
      </c>
      <c r="H1430" s="1">
        <v>15</v>
      </c>
      <c r="I1430" s="1">
        <v>262924</v>
      </c>
      <c r="J1430" s="14" t="s">
        <v>568</v>
      </c>
      <c r="K1430" s="1" t="s">
        <v>29</v>
      </c>
      <c r="L1430" s="1" t="s">
        <v>220</v>
      </c>
      <c r="M1430" s="14">
        <v>1</v>
      </c>
      <c r="N1430" s="2">
        <v>158.59</v>
      </c>
      <c r="O1430" s="16">
        <v>188</v>
      </c>
      <c r="P1430" s="14">
        <v>9</v>
      </c>
      <c r="Q1430" s="14">
        <f t="shared" si="22"/>
        <v>179</v>
      </c>
      <c r="R1430" s="1">
        <v>9</v>
      </c>
      <c r="S1430" s="1">
        <v>200010009449</v>
      </c>
      <c r="T1430" s="1">
        <v>29</v>
      </c>
      <c r="U1430" s="1">
        <v>1</v>
      </c>
      <c r="V1430" s="1">
        <v>4</v>
      </c>
    </row>
    <row r="1431" spans="1:22" x14ac:dyDescent="0.25">
      <c r="A1431" s="3">
        <v>44775</v>
      </c>
      <c r="B1431" s="4">
        <v>0.52030092592592592</v>
      </c>
      <c r="C1431" s="1">
        <v>1462</v>
      </c>
      <c r="D1431" s="1">
        <v>13002581</v>
      </c>
      <c r="E1431" s="1">
        <v>13</v>
      </c>
      <c r="F1431" s="1">
        <v>22589</v>
      </c>
      <c r="G1431" s="1" t="s">
        <v>21</v>
      </c>
      <c r="H1431" s="1">
        <v>15</v>
      </c>
      <c r="I1431" s="1">
        <v>262924</v>
      </c>
      <c r="J1431" s="14" t="s">
        <v>568</v>
      </c>
      <c r="K1431" s="1" t="s">
        <v>29</v>
      </c>
      <c r="L1431" s="1" t="s">
        <v>220</v>
      </c>
      <c r="M1431" s="14">
        <v>1</v>
      </c>
      <c r="N1431" s="2">
        <v>158.59</v>
      </c>
      <c r="O1431" s="16">
        <v>188</v>
      </c>
      <c r="P1431" s="14">
        <v>9</v>
      </c>
      <c r="Q1431" s="14">
        <f t="shared" si="22"/>
        <v>179</v>
      </c>
      <c r="R1431" s="1">
        <v>9</v>
      </c>
      <c r="S1431" s="1">
        <v>200010009449</v>
      </c>
      <c r="T1431" s="1">
        <v>29</v>
      </c>
      <c r="U1431" s="1">
        <v>1</v>
      </c>
      <c r="V1431" s="1">
        <v>5</v>
      </c>
    </row>
    <row r="1432" spans="1:22" x14ac:dyDescent="0.25">
      <c r="A1432" s="3">
        <v>44774</v>
      </c>
      <c r="B1432" s="4">
        <v>0.37783564814814813</v>
      </c>
      <c r="C1432" s="1">
        <v>1276</v>
      </c>
      <c r="D1432" s="1">
        <v>13002561</v>
      </c>
      <c r="E1432" s="1">
        <v>13</v>
      </c>
      <c r="F1432" s="1">
        <v>22589</v>
      </c>
      <c r="G1432" s="1" t="s">
        <v>21</v>
      </c>
      <c r="H1432" s="1">
        <v>15</v>
      </c>
      <c r="I1432" s="1">
        <v>2303</v>
      </c>
      <c r="J1432" s="14" t="s">
        <v>33</v>
      </c>
      <c r="K1432" s="1" t="s">
        <v>34</v>
      </c>
      <c r="L1432" s="1" t="s">
        <v>35</v>
      </c>
      <c r="M1432" s="14">
        <v>1</v>
      </c>
      <c r="N1432" s="2">
        <v>18.04</v>
      </c>
      <c r="O1432" s="16">
        <v>22</v>
      </c>
      <c r="P1432" s="14">
        <v>1</v>
      </c>
      <c r="Q1432" s="14">
        <f t="shared" si="22"/>
        <v>21</v>
      </c>
      <c r="R1432" s="1">
        <v>9</v>
      </c>
      <c r="S1432" s="1">
        <v>200010000734</v>
      </c>
      <c r="T1432" s="1">
        <v>29</v>
      </c>
      <c r="U1432" s="1">
        <v>1</v>
      </c>
      <c r="V1432" s="1">
        <v>5</v>
      </c>
    </row>
    <row r="1433" spans="1:22" x14ac:dyDescent="0.25">
      <c r="A1433" s="3">
        <v>44774</v>
      </c>
      <c r="B1433" s="4">
        <v>0.37783564814814813</v>
      </c>
      <c r="C1433" s="1">
        <v>1276</v>
      </c>
      <c r="D1433" s="1">
        <v>13002561</v>
      </c>
      <c r="E1433" s="1">
        <v>13</v>
      </c>
      <c r="F1433" s="1">
        <v>22589</v>
      </c>
      <c r="G1433" s="1" t="s">
        <v>21</v>
      </c>
      <c r="H1433" s="1">
        <v>15</v>
      </c>
      <c r="I1433" s="1">
        <v>2303</v>
      </c>
      <c r="J1433" s="14" t="s">
        <v>33</v>
      </c>
      <c r="K1433" s="1" t="s">
        <v>34</v>
      </c>
      <c r="L1433" s="1" t="s">
        <v>35</v>
      </c>
      <c r="M1433" s="14">
        <v>1</v>
      </c>
      <c r="N1433" s="2">
        <v>18.04</v>
      </c>
      <c r="O1433" s="16">
        <v>22</v>
      </c>
      <c r="P1433" s="14">
        <v>1</v>
      </c>
      <c r="Q1433" s="14">
        <f t="shared" si="22"/>
        <v>21</v>
      </c>
      <c r="R1433" s="1">
        <v>9</v>
      </c>
      <c r="S1433" s="1">
        <v>200010000734</v>
      </c>
      <c r="T1433" s="1">
        <v>29</v>
      </c>
      <c r="U1433" s="1">
        <v>1</v>
      </c>
      <c r="V1433" s="1">
        <v>6</v>
      </c>
    </row>
    <row r="1434" spans="1:22" x14ac:dyDescent="0.25">
      <c r="A1434" s="3">
        <v>44774</v>
      </c>
      <c r="B1434" s="4">
        <v>0.54684027777777777</v>
      </c>
      <c r="C1434" s="1">
        <v>1336</v>
      </c>
      <c r="D1434" s="1">
        <v>13002561</v>
      </c>
      <c r="E1434" s="1">
        <v>13</v>
      </c>
      <c r="F1434" s="1">
        <v>22589</v>
      </c>
      <c r="G1434" s="1" t="s">
        <v>21</v>
      </c>
      <c r="H1434" s="1">
        <v>15</v>
      </c>
      <c r="I1434" s="1">
        <v>2197</v>
      </c>
      <c r="J1434" s="14" t="s">
        <v>277</v>
      </c>
      <c r="K1434" s="1" t="s">
        <v>34</v>
      </c>
      <c r="L1434" s="1" t="s">
        <v>35</v>
      </c>
      <c r="M1434" s="14">
        <v>1</v>
      </c>
      <c r="N1434" s="2">
        <v>29.96</v>
      </c>
      <c r="O1434" s="16">
        <v>37</v>
      </c>
      <c r="P1434" s="14">
        <v>0</v>
      </c>
      <c r="Q1434" s="14">
        <f t="shared" si="22"/>
        <v>37</v>
      </c>
      <c r="R1434" s="1" t="s">
        <v>25</v>
      </c>
      <c r="S1434" s="1" t="s">
        <v>25</v>
      </c>
      <c r="T1434" s="1">
        <v>29</v>
      </c>
      <c r="U1434" s="1">
        <v>1</v>
      </c>
      <c r="V1434" s="1">
        <v>2</v>
      </c>
    </row>
    <row r="1435" spans="1:22" x14ac:dyDescent="0.25">
      <c r="A1435" s="3">
        <v>44777</v>
      </c>
      <c r="B1435" s="4">
        <v>0.52355324074074072</v>
      </c>
      <c r="C1435" s="1">
        <v>1701</v>
      </c>
      <c r="D1435" s="1">
        <v>13002606</v>
      </c>
      <c r="E1435" s="1">
        <v>13</v>
      </c>
      <c r="F1435" s="1">
        <v>22589</v>
      </c>
      <c r="G1435" s="1" t="s">
        <v>21</v>
      </c>
      <c r="H1435" s="1">
        <v>15</v>
      </c>
      <c r="I1435" s="1">
        <v>5196</v>
      </c>
      <c r="J1435" s="14" t="s">
        <v>981</v>
      </c>
      <c r="K1435" s="1" t="s">
        <v>34</v>
      </c>
      <c r="L1435" s="1" t="s">
        <v>39</v>
      </c>
      <c r="M1435" s="14">
        <v>1</v>
      </c>
      <c r="N1435" s="2">
        <v>16.32</v>
      </c>
      <c r="O1435" s="16">
        <v>20</v>
      </c>
      <c r="P1435" s="14">
        <v>1</v>
      </c>
      <c r="Q1435" s="14">
        <f t="shared" si="22"/>
        <v>19</v>
      </c>
      <c r="R1435" s="1">
        <v>9</v>
      </c>
      <c r="S1435" s="1">
        <v>200010022491</v>
      </c>
      <c r="T1435" s="1">
        <v>50</v>
      </c>
      <c r="U1435" s="1">
        <v>1</v>
      </c>
      <c r="V1435" s="1">
        <v>2</v>
      </c>
    </row>
    <row r="1436" spans="1:22" x14ac:dyDescent="0.25">
      <c r="A1436" s="3">
        <v>44774</v>
      </c>
      <c r="B1436" s="4">
        <v>0.58363425925925927</v>
      </c>
      <c r="C1436" s="1">
        <v>1350</v>
      </c>
      <c r="D1436" s="1">
        <v>13002561</v>
      </c>
      <c r="E1436" s="1">
        <v>13</v>
      </c>
      <c r="F1436" s="1">
        <v>22589</v>
      </c>
      <c r="G1436" s="1" t="s">
        <v>21</v>
      </c>
      <c r="H1436" s="1">
        <v>18</v>
      </c>
      <c r="I1436" s="1">
        <v>28768</v>
      </c>
      <c r="J1436" s="14" t="s">
        <v>314</v>
      </c>
      <c r="K1436" s="1" t="s">
        <v>117</v>
      </c>
      <c r="L1436" s="1" t="s">
        <v>315</v>
      </c>
      <c r="M1436" s="14">
        <v>1</v>
      </c>
      <c r="N1436" s="2">
        <v>385.06</v>
      </c>
      <c r="O1436" s="16">
        <v>509</v>
      </c>
      <c r="P1436" s="14">
        <v>35</v>
      </c>
      <c r="Q1436" s="14">
        <f t="shared" si="22"/>
        <v>474</v>
      </c>
      <c r="R1436" s="1">
        <v>9</v>
      </c>
      <c r="S1436" s="1">
        <v>200010020905</v>
      </c>
      <c r="T1436" s="1">
        <v>29</v>
      </c>
      <c r="U1436" s="1">
        <v>1</v>
      </c>
      <c r="V1436" s="1">
        <v>2</v>
      </c>
    </row>
    <row r="1437" spans="1:22" x14ac:dyDescent="0.25">
      <c r="A1437" s="3">
        <v>44774</v>
      </c>
      <c r="B1437" s="4">
        <v>0.50760416666666663</v>
      </c>
      <c r="C1437" s="1">
        <v>1320</v>
      </c>
      <c r="D1437" s="1">
        <v>13002561</v>
      </c>
      <c r="E1437" s="1">
        <v>13</v>
      </c>
      <c r="F1437" s="1">
        <v>22589</v>
      </c>
      <c r="G1437" s="1" t="s">
        <v>21</v>
      </c>
      <c r="H1437" s="1">
        <v>15</v>
      </c>
      <c r="I1437" s="1">
        <v>497882</v>
      </c>
      <c r="J1437" s="14" t="s">
        <v>221</v>
      </c>
      <c r="K1437" s="1" t="s">
        <v>48</v>
      </c>
      <c r="L1437" s="1" t="s">
        <v>222</v>
      </c>
      <c r="M1437" s="14">
        <v>1</v>
      </c>
      <c r="N1437" s="2">
        <v>61.96</v>
      </c>
      <c r="O1437" s="16">
        <v>88</v>
      </c>
      <c r="P1437" s="14">
        <v>6</v>
      </c>
      <c r="Q1437" s="14">
        <f t="shared" si="22"/>
        <v>82</v>
      </c>
      <c r="R1437" s="1">
        <v>9</v>
      </c>
      <c r="S1437" s="1">
        <v>200010018337</v>
      </c>
      <c r="T1437" s="1">
        <v>29</v>
      </c>
      <c r="U1437" s="1">
        <v>1</v>
      </c>
      <c r="V1437" s="1">
        <v>8</v>
      </c>
    </row>
    <row r="1438" spans="1:22" x14ac:dyDescent="0.25">
      <c r="A1438" s="3">
        <v>44775</v>
      </c>
      <c r="B1438" s="4">
        <v>0.62817129629629631</v>
      </c>
      <c r="C1438" s="1">
        <v>1485</v>
      </c>
      <c r="D1438" s="1">
        <v>13002581</v>
      </c>
      <c r="E1438" s="1">
        <v>13</v>
      </c>
      <c r="F1438" s="1">
        <v>22589</v>
      </c>
      <c r="G1438" s="1" t="s">
        <v>21</v>
      </c>
      <c r="H1438" s="1">
        <v>18</v>
      </c>
      <c r="I1438" s="1">
        <v>434924</v>
      </c>
      <c r="J1438" s="14" t="s">
        <v>624</v>
      </c>
      <c r="K1438" s="1" t="s">
        <v>51</v>
      </c>
      <c r="L1438" s="1" t="s">
        <v>230</v>
      </c>
      <c r="M1438" s="14">
        <v>1</v>
      </c>
      <c r="N1438" s="2">
        <v>58.12</v>
      </c>
      <c r="O1438" s="16">
        <v>83</v>
      </c>
      <c r="P1438" s="14">
        <v>0</v>
      </c>
      <c r="Q1438" s="14">
        <f t="shared" si="22"/>
        <v>83</v>
      </c>
      <c r="R1438" s="1" t="s">
        <v>25</v>
      </c>
      <c r="S1438" s="1" t="s">
        <v>25</v>
      </c>
      <c r="T1438" s="1">
        <v>29</v>
      </c>
      <c r="U1438" s="1">
        <v>1</v>
      </c>
      <c r="V1438" s="1">
        <v>2</v>
      </c>
    </row>
    <row r="1439" spans="1:22" x14ac:dyDescent="0.25">
      <c r="A1439" s="3">
        <v>44774</v>
      </c>
      <c r="B1439" s="4">
        <v>0.52379629629629632</v>
      </c>
      <c r="C1439" s="1">
        <v>1327</v>
      </c>
      <c r="D1439" s="1">
        <v>13002561</v>
      </c>
      <c r="E1439" s="1">
        <v>13</v>
      </c>
      <c r="F1439" s="1">
        <v>22589</v>
      </c>
      <c r="G1439" s="1" t="s">
        <v>21</v>
      </c>
      <c r="H1439" s="1">
        <v>18</v>
      </c>
      <c r="I1439" s="1">
        <v>339843</v>
      </c>
      <c r="J1439" s="14" t="s">
        <v>251</v>
      </c>
      <c r="K1439" s="1" t="s">
        <v>252</v>
      </c>
      <c r="L1439" s="1" t="s">
        <v>253</v>
      </c>
      <c r="M1439" s="14">
        <v>1</v>
      </c>
      <c r="N1439" s="2">
        <v>140.97</v>
      </c>
      <c r="O1439" s="16">
        <v>219</v>
      </c>
      <c r="P1439" s="14">
        <v>21</v>
      </c>
      <c r="Q1439" s="14">
        <f t="shared" si="22"/>
        <v>198</v>
      </c>
      <c r="R1439" s="1">
        <v>30</v>
      </c>
      <c r="S1439" s="1">
        <v>200000000024</v>
      </c>
      <c r="T1439" s="1">
        <v>29</v>
      </c>
      <c r="U1439" s="1">
        <v>1</v>
      </c>
      <c r="V1439" s="1">
        <v>8</v>
      </c>
    </row>
    <row r="1440" spans="1:22" x14ac:dyDescent="0.25">
      <c r="A1440" s="3">
        <v>44774</v>
      </c>
      <c r="B1440" s="4">
        <v>0.64307870370370368</v>
      </c>
      <c r="C1440" s="1">
        <v>1367</v>
      </c>
      <c r="D1440" s="1">
        <v>13002561</v>
      </c>
      <c r="E1440" s="1">
        <v>13</v>
      </c>
      <c r="F1440" s="1">
        <v>22589</v>
      </c>
      <c r="G1440" s="1" t="s">
        <v>21</v>
      </c>
      <c r="H1440" s="1">
        <v>18</v>
      </c>
      <c r="I1440" s="1">
        <v>339843</v>
      </c>
      <c r="J1440" s="14" t="s">
        <v>251</v>
      </c>
      <c r="K1440" s="1" t="s">
        <v>117</v>
      </c>
      <c r="L1440" s="1" t="s">
        <v>253</v>
      </c>
      <c r="M1440" s="14">
        <v>1</v>
      </c>
      <c r="N1440" s="2">
        <v>143.19</v>
      </c>
      <c r="O1440" s="16">
        <v>222</v>
      </c>
      <c r="P1440" s="14">
        <v>0</v>
      </c>
      <c r="Q1440" s="14">
        <f t="shared" si="22"/>
        <v>222</v>
      </c>
      <c r="R1440" s="1" t="s">
        <v>25</v>
      </c>
      <c r="S1440" s="1" t="s">
        <v>25</v>
      </c>
      <c r="T1440" s="1">
        <v>29</v>
      </c>
      <c r="U1440" s="1">
        <v>1</v>
      </c>
      <c r="V1440" s="1">
        <v>7</v>
      </c>
    </row>
    <row r="1441" spans="1:22" x14ac:dyDescent="0.25">
      <c r="A1441" s="3">
        <v>44775</v>
      </c>
      <c r="B1441" s="4">
        <v>0.73671296296296296</v>
      </c>
      <c r="C1441" s="1">
        <v>1515</v>
      </c>
      <c r="D1441" s="1">
        <v>13002581</v>
      </c>
      <c r="E1441" s="1">
        <v>13</v>
      </c>
      <c r="F1441" s="1">
        <v>22589</v>
      </c>
      <c r="G1441" s="1" t="s">
        <v>21</v>
      </c>
      <c r="H1441" s="1">
        <v>15</v>
      </c>
      <c r="I1441" s="1">
        <v>339843</v>
      </c>
      <c r="J1441" s="14" t="s">
        <v>251</v>
      </c>
      <c r="K1441" s="1" t="s">
        <v>252</v>
      </c>
      <c r="L1441" s="1" t="s">
        <v>253</v>
      </c>
      <c r="M1441" s="14">
        <v>1</v>
      </c>
      <c r="N1441" s="2">
        <v>141.97</v>
      </c>
      <c r="O1441" s="16">
        <v>221</v>
      </c>
      <c r="P1441" s="14">
        <v>22</v>
      </c>
      <c r="Q1441" s="14">
        <f t="shared" si="22"/>
        <v>199</v>
      </c>
      <c r="R1441" s="1">
        <v>30</v>
      </c>
      <c r="S1441" s="1">
        <v>200000000024</v>
      </c>
      <c r="T1441" s="1">
        <v>29</v>
      </c>
      <c r="U1441" s="1">
        <v>1</v>
      </c>
      <c r="V1441" s="1">
        <v>1</v>
      </c>
    </row>
    <row r="1442" spans="1:22" x14ac:dyDescent="0.25">
      <c r="A1442" s="3">
        <v>44775</v>
      </c>
      <c r="B1442" s="4">
        <v>0.83083333333333331</v>
      </c>
      <c r="C1442" s="1">
        <v>1535</v>
      </c>
      <c r="D1442" s="1">
        <v>13002581</v>
      </c>
      <c r="E1442" s="1">
        <v>13</v>
      </c>
      <c r="F1442" s="1">
        <v>22589</v>
      </c>
      <c r="G1442" s="1" t="s">
        <v>21</v>
      </c>
      <c r="H1442" s="1">
        <v>18</v>
      </c>
      <c r="I1442" s="1">
        <v>339843</v>
      </c>
      <c r="J1442" s="14" t="s">
        <v>251</v>
      </c>
      <c r="K1442" s="1" t="s">
        <v>252</v>
      </c>
      <c r="L1442" s="1" t="s">
        <v>253</v>
      </c>
      <c r="M1442" s="14">
        <v>1</v>
      </c>
      <c r="N1442" s="2">
        <v>141.97</v>
      </c>
      <c r="O1442" s="16">
        <v>221</v>
      </c>
      <c r="P1442" s="14">
        <v>22</v>
      </c>
      <c r="Q1442" s="14">
        <f t="shared" si="22"/>
        <v>199</v>
      </c>
      <c r="R1442" s="1">
        <v>9</v>
      </c>
      <c r="S1442" s="1">
        <v>200010000847</v>
      </c>
      <c r="T1442" s="1">
        <v>29</v>
      </c>
      <c r="U1442" s="1">
        <v>1</v>
      </c>
      <c r="V1442" s="1">
        <v>3</v>
      </c>
    </row>
    <row r="1443" spans="1:22" x14ac:dyDescent="0.25">
      <c r="A1443" s="3">
        <v>44776</v>
      </c>
      <c r="B1443" s="4">
        <v>0.51966435185185189</v>
      </c>
      <c r="C1443" s="1">
        <v>1581</v>
      </c>
      <c r="D1443" s="1">
        <v>13002595</v>
      </c>
      <c r="E1443" s="1">
        <v>13</v>
      </c>
      <c r="F1443" s="1">
        <v>22589</v>
      </c>
      <c r="G1443" s="1" t="s">
        <v>21</v>
      </c>
      <c r="H1443" s="1">
        <v>18</v>
      </c>
      <c r="I1443" s="1">
        <v>339843</v>
      </c>
      <c r="J1443" s="14" t="s">
        <v>251</v>
      </c>
      <c r="K1443" s="1" t="s">
        <v>252</v>
      </c>
      <c r="L1443" s="1" t="s">
        <v>253</v>
      </c>
      <c r="M1443" s="14">
        <v>1</v>
      </c>
      <c r="N1443" s="2">
        <v>140.97</v>
      </c>
      <c r="O1443" s="16">
        <v>219</v>
      </c>
      <c r="P1443" s="14">
        <v>21</v>
      </c>
      <c r="Q1443" s="14">
        <f t="shared" si="22"/>
        <v>198</v>
      </c>
      <c r="R1443" s="1">
        <v>30</v>
      </c>
      <c r="S1443" s="1">
        <v>200000000024</v>
      </c>
      <c r="T1443" s="1">
        <v>29</v>
      </c>
      <c r="U1443" s="1">
        <v>1</v>
      </c>
      <c r="V1443" s="1">
        <v>1</v>
      </c>
    </row>
    <row r="1444" spans="1:22" x14ac:dyDescent="0.25">
      <c r="A1444" s="3">
        <v>44776</v>
      </c>
      <c r="B1444" s="4">
        <v>0.53063657407407405</v>
      </c>
      <c r="C1444" s="1">
        <v>1586</v>
      </c>
      <c r="D1444" s="1">
        <v>13002595</v>
      </c>
      <c r="E1444" s="1">
        <v>13</v>
      </c>
      <c r="F1444" s="1">
        <v>22589</v>
      </c>
      <c r="G1444" s="1" t="s">
        <v>21</v>
      </c>
      <c r="H1444" s="1">
        <v>15</v>
      </c>
      <c r="I1444" s="1">
        <v>339843</v>
      </c>
      <c r="J1444" s="14" t="s">
        <v>251</v>
      </c>
      <c r="K1444" s="1" t="s">
        <v>252</v>
      </c>
      <c r="L1444" s="1" t="s">
        <v>253</v>
      </c>
      <c r="M1444" s="14">
        <v>1</v>
      </c>
      <c r="N1444" s="2">
        <v>140.97</v>
      </c>
      <c r="O1444" s="16">
        <v>219</v>
      </c>
      <c r="P1444" s="14">
        <v>21</v>
      </c>
      <c r="Q1444" s="14">
        <f t="shared" si="22"/>
        <v>198</v>
      </c>
      <c r="R1444" s="1">
        <v>30</v>
      </c>
      <c r="S1444" s="1">
        <v>200000000024</v>
      </c>
      <c r="T1444" s="1">
        <v>29</v>
      </c>
      <c r="U1444" s="1">
        <v>1</v>
      </c>
      <c r="V1444" s="1">
        <v>3</v>
      </c>
    </row>
    <row r="1445" spans="1:22" x14ac:dyDescent="0.25">
      <c r="A1445" s="3">
        <v>44778</v>
      </c>
      <c r="B1445" s="4">
        <v>0.53781250000000003</v>
      </c>
      <c r="C1445" s="1">
        <v>1841</v>
      </c>
      <c r="D1445" s="1">
        <v>13002616</v>
      </c>
      <c r="E1445" s="1">
        <v>13</v>
      </c>
      <c r="F1445" s="1">
        <v>22589</v>
      </c>
      <c r="G1445" s="1" t="s">
        <v>21</v>
      </c>
      <c r="H1445" s="1">
        <v>18</v>
      </c>
      <c r="I1445" s="1">
        <v>339843</v>
      </c>
      <c r="J1445" s="14" t="s">
        <v>251</v>
      </c>
      <c r="K1445" s="1" t="s">
        <v>252</v>
      </c>
      <c r="L1445" s="1" t="s">
        <v>253</v>
      </c>
      <c r="M1445" s="14">
        <v>1</v>
      </c>
      <c r="N1445" s="2">
        <v>140.97</v>
      </c>
      <c r="O1445" s="16">
        <v>219</v>
      </c>
      <c r="P1445" s="14">
        <v>21</v>
      </c>
      <c r="Q1445" s="14">
        <f t="shared" si="22"/>
        <v>198</v>
      </c>
      <c r="R1445" s="1">
        <v>30</v>
      </c>
      <c r="S1445" s="1">
        <v>200000000024</v>
      </c>
      <c r="T1445" s="1">
        <v>50</v>
      </c>
      <c r="U1445" s="1">
        <v>1</v>
      </c>
      <c r="V1445" s="1">
        <v>6</v>
      </c>
    </row>
    <row r="1446" spans="1:22" x14ac:dyDescent="0.25">
      <c r="A1446" s="3">
        <v>44777</v>
      </c>
      <c r="B1446" s="4">
        <v>0.69369212962962967</v>
      </c>
      <c r="C1446" s="1">
        <v>1751</v>
      </c>
      <c r="D1446" s="1">
        <v>13002606</v>
      </c>
      <c r="E1446" s="1">
        <v>13</v>
      </c>
      <c r="F1446" s="1">
        <v>22589</v>
      </c>
      <c r="G1446" s="1" t="s">
        <v>21</v>
      </c>
      <c r="H1446" s="1">
        <v>15</v>
      </c>
      <c r="I1446" s="1">
        <v>9422</v>
      </c>
      <c r="J1446" s="14" t="s">
        <v>1050</v>
      </c>
      <c r="K1446" s="1" t="s">
        <v>23</v>
      </c>
      <c r="L1446" s="1" t="s">
        <v>214</v>
      </c>
      <c r="M1446" s="14">
        <v>1</v>
      </c>
      <c r="N1446" s="2">
        <v>332.03</v>
      </c>
      <c r="O1446" s="16">
        <v>439</v>
      </c>
      <c r="P1446" s="14">
        <v>30</v>
      </c>
      <c r="Q1446" s="14">
        <f t="shared" si="22"/>
        <v>409</v>
      </c>
      <c r="R1446" s="1">
        <v>9</v>
      </c>
      <c r="S1446" s="1">
        <v>200010017973</v>
      </c>
      <c r="T1446" s="1">
        <v>50</v>
      </c>
      <c r="U1446" s="1">
        <v>1</v>
      </c>
      <c r="V1446" s="1">
        <v>5</v>
      </c>
    </row>
    <row r="1447" spans="1:22" x14ac:dyDescent="0.25">
      <c r="A1447" s="3">
        <v>44778</v>
      </c>
      <c r="B1447" s="4">
        <v>0.64842592592592596</v>
      </c>
      <c r="C1447" s="1">
        <v>1865</v>
      </c>
      <c r="D1447" s="1">
        <v>13002616</v>
      </c>
      <c r="E1447" s="1">
        <v>13</v>
      </c>
      <c r="F1447" s="1">
        <v>22589</v>
      </c>
      <c r="G1447" s="1" t="s">
        <v>21</v>
      </c>
      <c r="H1447" s="1">
        <v>18</v>
      </c>
      <c r="I1447" s="1">
        <v>488355</v>
      </c>
      <c r="J1447" s="14" t="s">
        <v>1187</v>
      </c>
      <c r="K1447" s="1" t="s">
        <v>51</v>
      </c>
      <c r="L1447" s="1" t="s">
        <v>272</v>
      </c>
      <c r="M1447" s="14">
        <v>1</v>
      </c>
      <c r="N1447" s="2">
        <v>355.63</v>
      </c>
      <c r="O1447" s="16">
        <v>470</v>
      </c>
      <c r="P1447" s="14">
        <v>0</v>
      </c>
      <c r="Q1447" s="14">
        <f t="shared" si="22"/>
        <v>470</v>
      </c>
      <c r="R1447" s="1" t="s">
        <v>25</v>
      </c>
      <c r="S1447" s="1" t="s">
        <v>25</v>
      </c>
      <c r="T1447" s="1">
        <v>50</v>
      </c>
      <c r="U1447" s="1">
        <v>1</v>
      </c>
      <c r="V1447" s="1">
        <v>5</v>
      </c>
    </row>
    <row r="1448" spans="1:22" x14ac:dyDescent="0.25">
      <c r="A1448" s="3">
        <v>44774</v>
      </c>
      <c r="B1448" s="4">
        <v>0.44861111111111113</v>
      </c>
      <c r="C1448" s="1">
        <v>1297</v>
      </c>
      <c r="D1448" s="1">
        <v>13002561</v>
      </c>
      <c r="E1448" s="1">
        <v>13</v>
      </c>
      <c r="F1448" s="1">
        <v>22589</v>
      </c>
      <c r="G1448" s="1" t="s">
        <v>21</v>
      </c>
      <c r="H1448" s="1">
        <v>15</v>
      </c>
      <c r="I1448" s="1">
        <v>4735</v>
      </c>
      <c r="J1448" s="14" t="s">
        <v>136</v>
      </c>
      <c r="K1448" s="1" t="s">
        <v>23</v>
      </c>
      <c r="L1448" s="1" t="s">
        <v>137</v>
      </c>
      <c r="M1448" s="14">
        <v>1</v>
      </c>
      <c r="N1448" s="2">
        <v>311.77999999999997</v>
      </c>
      <c r="O1448" s="16">
        <v>370</v>
      </c>
      <c r="P1448" s="14">
        <v>0</v>
      </c>
      <c r="Q1448" s="14">
        <f t="shared" si="22"/>
        <v>370</v>
      </c>
      <c r="R1448" s="1" t="s">
        <v>25</v>
      </c>
      <c r="S1448" s="1" t="s">
        <v>25</v>
      </c>
      <c r="T1448" s="1">
        <v>29</v>
      </c>
      <c r="U1448" s="1">
        <v>1</v>
      </c>
      <c r="V1448" s="1">
        <v>6</v>
      </c>
    </row>
    <row r="1449" spans="1:22" x14ac:dyDescent="0.25">
      <c r="A1449" s="3">
        <v>44778</v>
      </c>
      <c r="B1449" s="4">
        <v>0.40243055555555557</v>
      </c>
      <c r="C1449" s="1">
        <v>1803</v>
      </c>
      <c r="D1449" s="1">
        <v>13002616</v>
      </c>
      <c r="E1449" s="1">
        <v>13</v>
      </c>
      <c r="F1449" s="1">
        <v>22589</v>
      </c>
      <c r="G1449" s="1" t="s">
        <v>21</v>
      </c>
      <c r="H1449" s="1">
        <v>15</v>
      </c>
      <c r="I1449" s="1">
        <v>486887</v>
      </c>
      <c r="J1449" s="14" t="s">
        <v>1096</v>
      </c>
      <c r="K1449" s="1" t="s">
        <v>23</v>
      </c>
      <c r="L1449" s="1" t="s">
        <v>137</v>
      </c>
      <c r="M1449" s="14">
        <v>1</v>
      </c>
      <c r="N1449" s="2">
        <v>596.85</v>
      </c>
      <c r="O1449" s="16">
        <v>658</v>
      </c>
      <c r="P1449" s="14">
        <v>19</v>
      </c>
      <c r="Q1449" s="14">
        <f t="shared" si="22"/>
        <v>639</v>
      </c>
      <c r="R1449" s="1">
        <v>9</v>
      </c>
      <c r="S1449" s="1">
        <v>200010000522</v>
      </c>
      <c r="T1449" s="1">
        <v>50</v>
      </c>
      <c r="U1449" s="1">
        <v>1</v>
      </c>
      <c r="V1449" s="1">
        <v>3</v>
      </c>
    </row>
    <row r="1450" spans="1:22" x14ac:dyDescent="0.25">
      <c r="N1450" s="5"/>
      <c r="O1450" s="17"/>
    </row>
    <row r="1451" spans="1:22" x14ac:dyDescent="0.25">
      <c r="N1451" s="5"/>
      <c r="O1451" s="17"/>
    </row>
  </sheetData>
  <sortState xmlns:xlrd2="http://schemas.microsoft.com/office/spreadsheetml/2017/richdata2" ref="A2:X1449">
    <sortCondition ref="J1:J144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9347A-996B-4EB4-801A-0E787FF2B26E}">
  <dimension ref="A3:D807"/>
  <sheetViews>
    <sheetView workbookViewId="0">
      <selection activeCell="D21" sqref="D21"/>
    </sheetView>
  </sheetViews>
  <sheetFormatPr defaultRowHeight="13.2" x14ac:dyDescent="0.25"/>
  <cols>
    <col min="1" max="1" width="111.109375" bestFit="1" customWidth="1"/>
    <col min="2" max="2" width="25.6640625" bestFit="1" customWidth="1"/>
    <col min="3" max="3" width="27.33203125" bestFit="1" customWidth="1"/>
    <col min="4" max="4" width="42.33203125" bestFit="1" customWidth="1"/>
    <col min="5" max="5" width="43.21875" bestFit="1" customWidth="1"/>
  </cols>
  <sheetData>
    <row r="3" spans="1:4" x14ac:dyDescent="0.25">
      <c r="A3" s="6" t="s">
        <v>1230</v>
      </c>
      <c r="B3" t="s">
        <v>1232</v>
      </c>
      <c r="C3" t="s">
        <v>1245</v>
      </c>
      <c r="D3" t="s">
        <v>1246</v>
      </c>
    </row>
    <row r="4" spans="1:4" x14ac:dyDescent="0.25">
      <c r="A4" s="7" t="s">
        <v>154</v>
      </c>
      <c r="B4" s="8">
        <v>1</v>
      </c>
      <c r="C4" s="8">
        <v>108</v>
      </c>
      <c r="D4" s="8">
        <v>1</v>
      </c>
    </row>
    <row r="5" spans="1:4" x14ac:dyDescent="0.25">
      <c r="A5" s="7" t="s">
        <v>518</v>
      </c>
      <c r="B5" s="8">
        <v>1</v>
      </c>
      <c r="C5" s="8">
        <v>95</v>
      </c>
      <c r="D5" s="8">
        <v>1</v>
      </c>
    </row>
    <row r="6" spans="1:4" x14ac:dyDescent="0.25">
      <c r="A6" s="7" t="s">
        <v>870</v>
      </c>
      <c r="B6" s="8">
        <v>1</v>
      </c>
      <c r="C6" s="8">
        <v>110</v>
      </c>
      <c r="D6" s="8">
        <v>1</v>
      </c>
    </row>
    <row r="7" spans="1:4" x14ac:dyDescent="0.25">
      <c r="A7" s="7" t="s">
        <v>109</v>
      </c>
      <c r="B7" s="8">
        <v>1</v>
      </c>
      <c r="C7" s="8">
        <v>146</v>
      </c>
      <c r="D7" s="8">
        <v>1</v>
      </c>
    </row>
    <row r="8" spans="1:4" x14ac:dyDescent="0.25">
      <c r="A8" s="7" t="s">
        <v>1212</v>
      </c>
      <c r="B8" s="8">
        <v>1</v>
      </c>
      <c r="C8" s="8">
        <v>177</v>
      </c>
      <c r="D8" s="8">
        <v>1</v>
      </c>
    </row>
    <row r="9" spans="1:4" x14ac:dyDescent="0.25">
      <c r="A9" s="7" t="s">
        <v>213</v>
      </c>
      <c r="B9" s="8">
        <v>2</v>
      </c>
      <c r="C9" s="8">
        <v>190</v>
      </c>
      <c r="D9" s="8">
        <v>2</v>
      </c>
    </row>
    <row r="10" spans="1:4" x14ac:dyDescent="0.25">
      <c r="A10" s="7" t="s">
        <v>180</v>
      </c>
      <c r="B10" s="8">
        <v>3</v>
      </c>
      <c r="C10" s="8">
        <v>411</v>
      </c>
      <c r="D10" s="8">
        <v>2</v>
      </c>
    </row>
    <row r="11" spans="1:4" x14ac:dyDescent="0.25">
      <c r="A11" s="7" t="s">
        <v>44</v>
      </c>
      <c r="B11" s="8">
        <v>1</v>
      </c>
      <c r="C11" s="8">
        <v>64</v>
      </c>
      <c r="D11" s="8">
        <v>1</v>
      </c>
    </row>
    <row r="12" spans="1:4" x14ac:dyDescent="0.25">
      <c r="A12" s="7" t="s">
        <v>766</v>
      </c>
      <c r="B12" s="8">
        <v>1</v>
      </c>
      <c r="C12" s="8">
        <v>213</v>
      </c>
      <c r="D12" s="8">
        <v>1</v>
      </c>
    </row>
    <row r="13" spans="1:4" x14ac:dyDescent="0.25">
      <c r="A13" s="7" t="s">
        <v>505</v>
      </c>
      <c r="B13" s="8">
        <v>1</v>
      </c>
      <c r="C13" s="8">
        <v>201</v>
      </c>
      <c r="D13" s="8">
        <v>1</v>
      </c>
    </row>
    <row r="14" spans="1:4" x14ac:dyDescent="0.25">
      <c r="A14" s="7" t="s">
        <v>871</v>
      </c>
      <c r="B14" s="8">
        <v>1</v>
      </c>
      <c r="C14" s="8">
        <v>45</v>
      </c>
      <c r="D14" s="8">
        <v>1</v>
      </c>
    </row>
    <row r="15" spans="1:4" x14ac:dyDescent="0.25">
      <c r="A15" s="7" t="s">
        <v>86</v>
      </c>
      <c r="B15" s="8">
        <v>2</v>
      </c>
      <c r="C15" s="8">
        <v>2446</v>
      </c>
      <c r="D15" s="8">
        <v>2</v>
      </c>
    </row>
    <row r="16" spans="1:4" x14ac:dyDescent="0.25">
      <c r="A16" s="7" t="s">
        <v>847</v>
      </c>
      <c r="B16" s="8">
        <v>2</v>
      </c>
      <c r="C16" s="8">
        <v>160</v>
      </c>
      <c r="D16" s="8">
        <v>1</v>
      </c>
    </row>
    <row r="17" spans="1:4" x14ac:dyDescent="0.25">
      <c r="A17" s="7" t="s">
        <v>904</v>
      </c>
      <c r="B17" s="8">
        <v>1</v>
      </c>
      <c r="C17" s="8">
        <v>347</v>
      </c>
      <c r="D17" s="8">
        <v>1</v>
      </c>
    </row>
    <row r="18" spans="1:4" x14ac:dyDescent="0.25">
      <c r="A18" s="7" t="s">
        <v>1002</v>
      </c>
      <c r="B18" s="8">
        <v>1</v>
      </c>
      <c r="C18" s="8">
        <v>529</v>
      </c>
      <c r="D18" s="8">
        <v>1</v>
      </c>
    </row>
    <row r="19" spans="1:4" x14ac:dyDescent="0.25">
      <c r="A19" s="7" t="s">
        <v>1127</v>
      </c>
      <c r="B19" s="8">
        <v>1</v>
      </c>
      <c r="C19" s="8">
        <v>81</v>
      </c>
      <c r="D19" s="8">
        <v>1</v>
      </c>
    </row>
    <row r="20" spans="1:4" x14ac:dyDescent="0.25">
      <c r="A20" s="7" t="s">
        <v>1199</v>
      </c>
      <c r="B20" s="8">
        <v>1</v>
      </c>
      <c r="C20" s="8">
        <v>195</v>
      </c>
      <c r="D20" s="8">
        <v>1</v>
      </c>
    </row>
    <row r="21" spans="1:4" x14ac:dyDescent="0.25">
      <c r="A21" s="7" t="s">
        <v>556</v>
      </c>
      <c r="B21" s="8">
        <v>1</v>
      </c>
      <c r="C21" s="8">
        <v>602</v>
      </c>
      <c r="D21" s="8">
        <v>1</v>
      </c>
    </row>
    <row r="22" spans="1:4" x14ac:dyDescent="0.25">
      <c r="A22" s="7" t="s">
        <v>868</v>
      </c>
      <c r="B22" s="8">
        <v>0.5</v>
      </c>
      <c r="C22" s="8">
        <v>1378</v>
      </c>
      <c r="D22" s="8">
        <v>1</v>
      </c>
    </row>
    <row r="23" spans="1:4" x14ac:dyDescent="0.25">
      <c r="A23" s="7" t="s">
        <v>498</v>
      </c>
      <c r="B23" s="8">
        <v>1</v>
      </c>
      <c r="C23" s="8">
        <v>149</v>
      </c>
      <c r="D23" s="8">
        <v>1</v>
      </c>
    </row>
    <row r="24" spans="1:4" x14ac:dyDescent="0.25">
      <c r="A24" s="7" t="s">
        <v>867</v>
      </c>
      <c r="B24" s="8">
        <v>1</v>
      </c>
      <c r="C24" s="8">
        <v>122</v>
      </c>
      <c r="D24" s="8">
        <v>1</v>
      </c>
    </row>
    <row r="25" spans="1:4" x14ac:dyDescent="0.25">
      <c r="A25" s="7" t="s">
        <v>1079</v>
      </c>
      <c r="B25" s="8">
        <v>1</v>
      </c>
      <c r="C25" s="8">
        <v>981</v>
      </c>
      <c r="D25" s="8">
        <v>1</v>
      </c>
    </row>
    <row r="26" spans="1:4" x14ac:dyDescent="0.25">
      <c r="A26" s="7" t="s">
        <v>1182</v>
      </c>
      <c r="B26" s="8">
        <v>0.2</v>
      </c>
      <c r="C26" s="8">
        <v>313</v>
      </c>
      <c r="D26" s="8">
        <v>1</v>
      </c>
    </row>
    <row r="27" spans="1:4" x14ac:dyDescent="0.25">
      <c r="A27" s="7" t="s">
        <v>964</v>
      </c>
      <c r="B27" s="8">
        <v>1</v>
      </c>
      <c r="C27" s="8">
        <v>607</v>
      </c>
      <c r="D27" s="8">
        <v>1</v>
      </c>
    </row>
    <row r="28" spans="1:4" x14ac:dyDescent="0.25">
      <c r="A28" s="7" t="s">
        <v>864</v>
      </c>
      <c r="B28" s="8">
        <v>1</v>
      </c>
      <c r="C28" s="8">
        <v>131</v>
      </c>
      <c r="D28" s="8">
        <v>1</v>
      </c>
    </row>
    <row r="29" spans="1:4" x14ac:dyDescent="0.25">
      <c r="A29" s="7" t="s">
        <v>897</v>
      </c>
      <c r="B29" s="8">
        <v>1</v>
      </c>
      <c r="C29" s="8">
        <v>987</v>
      </c>
      <c r="D29" s="8">
        <v>1</v>
      </c>
    </row>
    <row r="30" spans="1:4" x14ac:dyDescent="0.25">
      <c r="A30" s="7" t="s">
        <v>544</v>
      </c>
      <c r="B30" s="8">
        <v>1</v>
      </c>
      <c r="C30" s="8">
        <v>606</v>
      </c>
      <c r="D30" s="8">
        <v>1</v>
      </c>
    </row>
    <row r="31" spans="1:4" x14ac:dyDescent="0.25">
      <c r="A31" s="7" t="s">
        <v>905</v>
      </c>
      <c r="B31" s="8">
        <v>1</v>
      </c>
      <c r="C31" s="8">
        <v>307</v>
      </c>
      <c r="D31" s="8">
        <v>1</v>
      </c>
    </row>
    <row r="32" spans="1:4" x14ac:dyDescent="0.25">
      <c r="A32" s="7" t="s">
        <v>481</v>
      </c>
      <c r="B32" s="8">
        <v>1</v>
      </c>
      <c r="C32" s="8">
        <v>71</v>
      </c>
      <c r="D32" s="8">
        <v>1</v>
      </c>
    </row>
    <row r="33" spans="1:4" x14ac:dyDescent="0.25">
      <c r="A33" s="7" t="s">
        <v>532</v>
      </c>
      <c r="B33" s="8">
        <v>1</v>
      </c>
      <c r="C33" s="8">
        <v>346</v>
      </c>
      <c r="D33" s="8">
        <v>1</v>
      </c>
    </row>
    <row r="34" spans="1:4" x14ac:dyDescent="0.25">
      <c r="A34" s="7" t="s">
        <v>1206</v>
      </c>
      <c r="B34" s="8">
        <v>1</v>
      </c>
      <c r="C34" s="8">
        <v>1037</v>
      </c>
      <c r="D34" s="8">
        <v>1</v>
      </c>
    </row>
    <row r="35" spans="1:4" x14ac:dyDescent="0.25">
      <c r="A35" s="7" t="s">
        <v>678</v>
      </c>
      <c r="B35" s="8">
        <v>1</v>
      </c>
      <c r="C35" s="8">
        <v>1706</v>
      </c>
      <c r="D35" s="8">
        <v>1</v>
      </c>
    </row>
    <row r="36" spans="1:4" x14ac:dyDescent="0.25">
      <c r="A36" s="7" t="s">
        <v>987</v>
      </c>
      <c r="B36" s="8">
        <v>1</v>
      </c>
      <c r="C36" s="8">
        <v>110</v>
      </c>
      <c r="D36" s="8">
        <v>1</v>
      </c>
    </row>
    <row r="37" spans="1:4" x14ac:dyDescent="0.25">
      <c r="A37" s="7" t="s">
        <v>621</v>
      </c>
      <c r="B37" s="8">
        <v>1</v>
      </c>
      <c r="C37" s="8">
        <v>870</v>
      </c>
      <c r="D37" s="8">
        <v>1</v>
      </c>
    </row>
    <row r="38" spans="1:4" x14ac:dyDescent="0.25">
      <c r="A38" s="7" t="s">
        <v>913</v>
      </c>
      <c r="B38" s="8">
        <v>1</v>
      </c>
      <c r="C38" s="8">
        <v>98</v>
      </c>
      <c r="D38" s="8">
        <v>1</v>
      </c>
    </row>
    <row r="39" spans="1:4" x14ac:dyDescent="0.25">
      <c r="A39" s="7" t="s">
        <v>958</v>
      </c>
      <c r="B39" s="8">
        <v>1</v>
      </c>
      <c r="C39" s="8">
        <v>36</v>
      </c>
      <c r="D39" s="8">
        <v>1</v>
      </c>
    </row>
    <row r="40" spans="1:4" x14ac:dyDescent="0.25">
      <c r="A40" s="7" t="s">
        <v>887</v>
      </c>
      <c r="B40" s="8">
        <v>1</v>
      </c>
      <c r="C40" s="8">
        <v>39</v>
      </c>
      <c r="D40" s="8">
        <v>1</v>
      </c>
    </row>
    <row r="41" spans="1:4" x14ac:dyDescent="0.25">
      <c r="A41" s="7" t="s">
        <v>478</v>
      </c>
      <c r="B41" s="8">
        <v>1</v>
      </c>
      <c r="C41" s="8">
        <v>378</v>
      </c>
      <c r="D41" s="8">
        <v>1</v>
      </c>
    </row>
    <row r="42" spans="1:4" x14ac:dyDescent="0.25">
      <c r="A42" s="7" t="s">
        <v>607</v>
      </c>
      <c r="B42" s="8">
        <v>1</v>
      </c>
      <c r="C42" s="8">
        <v>593</v>
      </c>
      <c r="D42" s="8">
        <v>1</v>
      </c>
    </row>
    <row r="43" spans="1:4" x14ac:dyDescent="0.25">
      <c r="A43" s="7" t="s">
        <v>473</v>
      </c>
      <c r="B43" s="8">
        <v>1</v>
      </c>
      <c r="C43" s="8">
        <v>403</v>
      </c>
      <c r="D43" s="8">
        <v>1</v>
      </c>
    </row>
    <row r="44" spans="1:4" x14ac:dyDescent="0.25">
      <c r="A44" s="7" t="s">
        <v>740</v>
      </c>
      <c r="B44" s="8">
        <v>1</v>
      </c>
      <c r="C44" s="8">
        <v>61</v>
      </c>
      <c r="D44" s="8">
        <v>1</v>
      </c>
    </row>
    <row r="45" spans="1:4" x14ac:dyDescent="0.25">
      <c r="A45" s="7" t="s">
        <v>444</v>
      </c>
      <c r="B45" s="8">
        <v>1</v>
      </c>
      <c r="C45" s="8">
        <v>161</v>
      </c>
      <c r="D45" s="8">
        <v>1</v>
      </c>
    </row>
    <row r="46" spans="1:4" x14ac:dyDescent="0.25">
      <c r="A46" s="7" t="s">
        <v>1170</v>
      </c>
      <c r="B46" s="8">
        <v>1</v>
      </c>
      <c r="C46" s="8">
        <v>119</v>
      </c>
      <c r="D46" s="8">
        <v>1</v>
      </c>
    </row>
    <row r="47" spans="1:4" x14ac:dyDescent="0.25">
      <c r="A47" s="7" t="s">
        <v>730</v>
      </c>
      <c r="B47" s="8">
        <v>1</v>
      </c>
      <c r="C47" s="8">
        <v>141</v>
      </c>
      <c r="D47" s="8">
        <v>1</v>
      </c>
    </row>
    <row r="48" spans="1:4" x14ac:dyDescent="0.25">
      <c r="A48" s="7" t="s">
        <v>507</v>
      </c>
      <c r="B48" s="8">
        <v>1</v>
      </c>
      <c r="C48" s="8">
        <v>23</v>
      </c>
      <c r="D48" s="8">
        <v>1</v>
      </c>
    </row>
    <row r="49" spans="1:4" x14ac:dyDescent="0.25">
      <c r="A49" s="7" t="s">
        <v>599</v>
      </c>
      <c r="B49" s="8">
        <v>1</v>
      </c>
      <c r="C49" s="8">
        <v>273</v>
      </c>
      <c r="D49" s="8">
        <v>1</v>
      </c>
    </row>
    <row r="50" spans="1:4" x14ac:dyDescent="0.25">
      <c r="A50" s="7" t="s">
        <v>677</v>
      </c>
      <c r="B50" s="8">
        <v>1</v>
      </c>
      <c r="C50" s="8">
        <v>102</v>
      </c>
      <c r="D50" s="8">
        <v>1</v>
      </c>
    </row>
    <row r="51" spans="1:4" x14ac:dyDescent="0.25">
      <c r="A51" s="7" t="s">
        <v>610</v>
      </c>
      <c r="B51" s="8">
        <v>3</v>
      </c>
      <c r="C51" s="8">
        <v>293</v>
      </c>
      <c r="D51" s="8">
        <v>2</v>
      </c>
    </row>
    <row r="52" spans="1:4" x14ac:dyDescent="0.25">
      <c r="A52" s="7" t="s">
        <v>689</v>
      </c>
      <c r="B52" s="8">
        <v>2</v>
      </c>
      <c r="C52" s="8">
        <v>323</v>
      </c>
      <c r="D52" s="8">
        <v>1</v>
      </c>
    </row>
    <row r="53" spans="1:4" x14ac:dyDescent="0.25">
      <c r="A53" s="7" t="s">
        <v>941</v>
      </c>
      <c r="B53" s="8">
        <v>1</v>
      </c>
      <c r="C53" s="8">
        <v>72.5</v>
      </c>
      <c r="D53" s="8">
        <v>1</v>
      </c>
    </row>
    <row r="54" spans="1:4" x14ac:dyDescent="0.25">
      <c r="A54" s="7" t="s">
        <v>257</v>
      </c>
      <c r="B54" s="8">
        <v>3</v>
      </c>
      <c r="C54" s="8">
        <v>165</v>
      </c>
      <c r="D54" s="8">
        <v>1</v>
      </c>
    </row>
    <row r="55" spans="1:4" x14ac:dyDescent="0.25">
      <c r="A55" s="7" t="s">
        <v>422</v>
      </c>
      <c r="B55" s="8">
        <v>1</v>
      </c>
      <c r="C55" s="8">
        <v>102</v>
      </c>
      <c r="D55" s="8">
        <v>1</v>
      </c>
    </row>
    <row r="56" spans="1:4" x14ac:dyDescent="0.25">
      <c r="A56" s="7" t="s">
        <v>372</v>
      </c>
      <c r="B56" s="8">
        <v>1</v>
      </c>
      <c r="C56" s="8">
        <v>468</v>
      </c>
      <c r="D56" s="8">
        <v>1</v>
      </c>
    </row>
    <row r="57" spans="1:4" x14ac:dyDescent="0.25">
      <c r="A57" s="7" t="s">
        <v>516</v>
      </c>
      <c r="B57" s="8">
        <v>1</v>
      </c>
      <c r="C57" s="8">
        <v>139</v>
      </c>
      <c r="D57" s="8">
        <v>1</v>
      </c>
    </row>
    <row r="58" spans="1:4" x14ac:dyDescent="0.25">
      <c r="A58" s="7" t="s">
        <v>459</v>
      </c>
      <c r="B58" s="8">
        <v>1</v>
      </c>
      <c r="C58" s="8">
        <v>43</v>
      </c>
      <c r="D58" s="8">
        <v>1</v>
      </c>
    </row>
    <row r="59" spans="1:4" x14ac:dyDescent="0.25">
      <c r="A59" s="7" t="s">
        <v>835</v>
      </c>
      <c r="B59" s="8">
        <v>1</v>
      </c>
      <c r="C59" s="8">
        <v>118</v>
      </c>
      <c r="D59" s="8">
        <v>1</v>
      </c>
    </row>
    <row r="60" spans="1:4" x14ac:dyDescent="0.25">
      <c r="A60" s="7" t="s">
        <v>548</v>
      </c>
      <c r="B60" s="8">
        <v>1</v>
      </c>
      <c r="C60" s="8">
        <v>167</v>
      </c>
      <c r="D60" s="8">
        <v>1</v>
      </c>
    </row>
    <row r="61" spans="1:4" x14ac:dyDescent="0.25">
      <c r="A61" s="7" t="s">
        <v>527</v>
      </c>
      <c r="B61" s="8">
        <v>1</v>
      </c>
      <c r="C61" s="8">
        <v>448</v>
      </c>
      <c r="D61" s="8">
        <v>1</v>
      </c>
    </row>
    <row r="62" spans="1:4" x14ac:dyDescent="0.25">
      <c r="A62" s="7" t="s">
        <v>31</v>
      </c>
      <c r="B62" s="8">
        <v>4</v>
      </c>
      <c r="C62" s="8">
        <v>1999</v>
      </c>
      <c r="D62" s="8">
        <v>3</v>
      </c>
    </row>
    <row r="63" spans="1:4" x14ac:dyDescent="0.25">
      <c r="A63" s="7" t="s">
        <v>170</v>
      </c>
      <c r="B63" s="8">
        <v>1</v>
      </c>
      <c r="C63" s="8">
        <v>1607</v>
      </c>
      <c r="D63" s="8">
        <v>1</v>
      </c>
    </row>
    <row r="64" spans="1:4" x14ac:dyDescent="0.25">
      <c r="A64" s="7" t="s">
        <v>770</v>
      </c>
      <c r="B64" s="8">
        <v>1</v>
      </c>
      <c r="C64" s="8">
        <v>1628</v>
      </c>
      <c r="D64" s="8">
        <v>1</v>
      </c>
    </row>
    <row r="65" spans="1:4" x14ac:dyDescent="0.25">
      <c r="A65" s="7" t="s">
        <v>287</v>
      </c>
      <c r="B65" s="8">
        <v>1</v>
      </c>
      <c r="C65" s="8">
        <v>276</v>
      </c>
      <c r="D65" s="8">
        <v>1</v>
      </c>
    </row>
    <row r="66" spans="1:4" x14ac:dyDescent="0.25">
      <c r="A66" s="7" t="s">
        <v>119</v>
      </c>
      <c r="B66" s="8">
        <v>8</v>
      </c>
      <c r="C66" s="8">
        <v>449</v>
      </c>
      <c r="D66" s="8">
        <v>3</v>
      </c>
    </row>
    <row r="67" spans="1:4" x14ac:dyDescent="0.25">
      <c r="A67" s="7" t="s">
        <v>358</v>
      </c>
      <c r="B67" s="8">
        <v>6</v>
      </c>
      <c r="C67" s="8">
        <v>96</v>
      </c>
      <c r="D67" s="8">
        <v>5</v>
      </c>
    </row>
    <row r="68" spans="1:4" x14ac:dyDescent="0.25">
      <c r="A68" s="7" t="s">
        <v>986</v>
      </c>
      <c r="B68" s="8">
        <v>4</v>
      </c>
      <c r="C68" s="8">
        <v>62.01</v>
      </c>
      <c r="D68" s="8">
        <v>2</v>
      </c>
    </row>
    <row r="69" spans="1:4" x14ac:dyDescent="0.25">
      <c r="A69" s="7" t="s">
        <v>310</v>
      </c>
      <c r="B69" s="8">
        <v>2</v>
      </c>
      <c r="C69" s="8">
        <v>96</v>
      </c>
      <c r="D69" s="8">
        <v>1</v>
      </c>
    </row>
    <row r="70" spans="1:4" x14ac:dyDescent="0.25">
      <c r="A70" s="7" t="s">
        <v>1150</v>
      </c>
      <c r="B70" s="8">
        <v>1</v>
      </c>
      <c r="C70" s="8">
        <v>101</v>
      </c>
      <c r="D70" s="8">
        <v>1</v>
      </c>
    </row>
    <row r="71" spans="1:4" x14ac:dyDescent="0.25">
      <c r="A71" s="7" t="s">
        <v>834</v>
      </c>
      <c r="B71" s="8">
        <v>4</v>
      </c>
      <c r="C71" s="8">
        <v>41</v>
      </c>
      <c r="D71" s="8">
        <v>3</v>
      </c>
    </row>
    <row r="72" spans="1:4" x14ac:dyDescent="0.25">
      <c r="A72" s="7" t="s">
        <v>508</v>
      </c>
      <c r="B72" s="8">
        <v>3</v>
      </c>
      <c r="C72" s="8">
        <v>33</v>
      </c>
      <c r="D72" s="8">
        <v>3</v>
      </c>
    </row>
    <row r="73" spans="1:4" x14ac:dyDescent="0.25">
      <c r="A73" s="7" t="s">
        <v>918</v>
      </c>
      <c r="B73" s="8">
        <v>1</v>
      </c>
      <c r="C73" s="8">
        <v>36</v>
      </c>
      <c r="D73" s="8">
        <v>1</v>
      </c>
    </row>
    <row r="74" spans="1:4" x14ac:dyDescent="0.25">
      <c r="A74" s="7" t="s">
        <v>262</v>
      </c>
      <c r="B74" s="8">
        <v>6</v>
      </c>
      <c r="C74" s="8">
        <v>321</v>
      </c>
      <c r="D74" s="8">
        <v>3</v>
      </c>
    </row>
    <row r="75" spans="1:4" x14ac:dyDescent="0.25">
      <c r="A75" s="7" t="s">
        <v>185</v>
      </c>
      <c r="B75" s="8">
        <v>2</v>
      </c>
      <c r="C75" s="8">
        <v>166</v>
      </c>
      <c r="D75" s="8">
        <v>2</v>
      </c>
    </row>
    <row r="76" spans="1:4" x14ac:dyDescent="0.25">
      <c r="A76" s="7" t="s">
        <v>1108</v>
      </c>
      <c r="B76" s="8">
        <v>1</v>
      </c>
      <c r="C76" s="8">
        <v>122</v>
      </c>
      <c r="D76" s="8">
        <v>1</v>
      </c>
    </row>
    <row r="77" spans="1:4" x14ac:dyDescent="0.25">
      <c r="A77" s="7" t="s">
        <v>480</v>
      </c>
      <c r="B77" s="8">
        <v>2</v>
      </c>
      <c r="C77" s="8">
        <v>78</v>
      </c>
      <c r="D77" s="8">
        <v>1</v>
      </c>
    </row>
    <row r="78" spans="1:4" x14ac:dyDescent="0.25">
      <c r="A78" s="7" t="s">
        <v>460</v>
      </c>
      <c r="B78" s="8">
        <v>2</v>
      </c>
      <c r="C78" s="8">
        <v>79</v>
      </c>
      <c r="D78" s="8">
        <v>2</v>
      </c>
    </row>
    <row r="79" spans="1:4" x14ac:dyDescent="0.25">
      <c r="A79" s="7" t="s">
        <v>837</v>
      </c>
      <c r="B79" s="8">
        <v>1</v>
      </c>
      <c r="C79" s="8">
        <v>466</v>
      </c>
      <c r="D79" s="8">
        <v>1</v>
      </c>
    </row>
    <row r="80" spans="1:4" x14ac:dyDescent="0.25">
      <c r="A80" s="7" t="s">
        <v>838</v>
      </c>
      <c r="B80" s="8">
        <v>1</v>
      </c>
      <c r="C80" s="8">
        <v>423</v>
      </c>
      <c r="D80" s="8">
        <v>1</v>
      </c>
    </row>
    <row r="81" spans="1:4" x14ac:dyDescent="0.25">
      <c r="A81" s="7" t="s">
        <v>805</v>
      </c>
      <c r="B81" s="8">
        <v>2</v>
      </c>
      <c r="C81" s="8">
        <v>504</v>
      </c>
      <c r="D81" s="8">
        <v>2</v>
      </c>
    </row>
    <row r="82" spans="1:4" x14ac:dyDescent="0.25">
      <c r="A82" s="7" t="s">
        <v>787</v>
      </c>
      <c r="B82" s="8">
        <v>1</v>
      </c>
      <c r="C82" s="8">
        <v>300</v>
      </c>
      <c r="D82" s="8">
        <v>1</v>
      </c>
    </row>
    <row r="83" spans="1:4" x14ac:dyDescent="0.25">
      <c r="A83" s="7" t="s">
        <v>704</v>
      </c>
      <c r="B83" s="8">
        <v>1</v>
      </c>
      <c r="C83" s="8">
        <v>257</v>
      </c>
      <c r="D83" s="8">
        <v>1</v>
      </c>
    </row>
    <row r="84" spans="1:4" x14ac:dyDescent="0.25">
      <c r="A84" s="7" t="s">
        <v>40</v>
      </c>
      <c r="B84" s="8">
        <v>2</v>
      </c>
      <c r="C84" s="8">
        <v>791</v>
      </c>
      <c r="D84" s="8">
        <v>2</v>
      </c>
    </row>
    <row r="85" spans="1:4" x14ac:dyDescent="0.25">
      <c r="A85" s="7" t="s">
        <v>41</v>
      </c>
      <c r="B85" s="8">
        <v>1</v>
      </c>
      <c r="C85" s="8">
        <v>323</v>
      </c>
      <c r="D85" s="8">
        <v>1</v>
      </c>
    </row>
    <row r="86" spans="1:4" x14ac:dyDescent="0.25">
      <c r="A86" s="7" t="s">
        <v>565</v>
      </c>
      <c r="B86" s="8">
        <v>1</v>
      </c>
      <c r="C86" s="8">
        <v>350</v>
      </c>
      <c r="D86" s="8">
        <v>1</v>
      </c>
    </row>
    <row r="87" spans="1:4" x14ac:dyDescent="0.25">
      <c r="A87" s="7" t="s">
        <v>711</v>
      </c>
      <c r="B87" s="8">
        <v>1</v>
      </c>
      <c r="C87" s="8">
        <v>1005</v>
      </c>
      <c r="D87" s="8">
        <v>1</v>
      </c>
    </row>
    <row r="88" spans="1:4" x14ac:dyDescent="0.25">
      <c r="A88" s="7" t="s">
        <v>145</v>
      </c>
      <c r="B88" s="8">
        <v>1</v>
      </c>
      <c r="C88" s="8">
        <v>160</v>
      </c>
      <c r="D88" s="8">
        <v>1</v>
      </c>
    </row>
    <row r="89" spans="1:4" x14ac:dyDescent="0.25">
      <c r="A89" s="7" t="s">
        <v>349</v>
      </c>
      <c r="B89" s="8">
        <v>3</v>
      </c>
      <c r="C89" s="8">
        <v>215</v>
      </c>
      <c r="D89" s="8">
        <v>1</v>
      </c>
    </row>
    <row r="90" spans="1:4" x14ac:dyDescent="0.25">
      <c r="A90" s="7" t="s">
        <v>455</v>
      </c>
      <c r="B90" s="8">
        <v>2</v>
      </c>
      <c r="C90" s="8">
        <v>270</v>
      </c>
      <c r="D90" s="8">
        <v>1</v>
      </c>
    </row>
    <row r="91" spans="1:4" x14ac:dyDescent="0.25">
      <c r="A91" s="7" t="s">
        <v>737</v>
      </c>
      <c r="B91" s="8">
        <v>1</v>
      </c>
      <c r="C91" s="8">
        <v>63</v>
      </c>
      <c r="D91" s="8">
        <v>1</v>
      </c>
    </row>
    <row r="92" spans="1:4" x14ac:dyDescent="0.25">
      <c r="A92" s="7" t="s">
        <v>1131</v>
      </c>
      <c r="B92" s="8">
        <v>1</v>
      </c>
      <c r="C92" s="8">
        <v>28</v>
      </c>
      <c r="D92" s="8">
        <v>1</v>
      </c>
    </row>
    <row r="93" spans="1:4" x14ac:dyDescent="0.25">
      <c r="A93" s="7" t="s">
        <v>198</v>
      </c>
      <c r="B93" s="8">
        <v>5</v>
      </c>
      <c r="C93" s="8">
        <v>2204.31</v>
      </c>
      <c r="D93" s="8">
        <v>4</v>
      </c>
    </row>
    <row r="94" spans="1:4" x14ac:dyDescent="0.25">
      <c r="A94" s="7" t="s">
        <v>1048</v>
      </c>
      <c r="B94" s="8">
        <v>1</v>
      </c>
      <c r="C94" s="8">
        <v>22</v>
      </c>
      <c r="D94" s="8">
        <v>1</v>
      </c>
    </row>
    <row r="95" spans="1:4" x14ac:dyDescent="0.25">
      <c r="A95" s="7" t="s">
        <v>384</v>
      </c>
      <c r="B95" s="8">
        <v>4</v>
      </c>
      <c r="C95" s="8">
        <v>76</v>
      </c>
      <c r="D95" s="8">
        <v>4</v>
      </c>
    </row>
    <row r="96" spans="1:4" x14ac:dyDescent="0.25">
      <c r="A96" s="7" t="s">
        <v>659</v>
      </c>
      <c r="B96" s="8">
        <v>2</v>
      </c>
      <c r="C96" s="8">
        <v>124</v>
      </c>
      <c r="D96" s="8">
        <v>1</v>
      </c>
    </row>
    <row r="97" spans="1:4" x14ac:dyDescent="0.25">
      <c r="A97" s="7" t="s">
        <v>993</v>
      </c>
      <c r="B97" s="8">
        <v>2</v>
      </c>
      <c r="C97" s="8">
        <v>760</v>
      </c>
      <c r="D97" s="8">
        <v>1</v>
      </c>
    </row>
    <row r="98" spans="1:4" x14ac:dyDescent="0.25">
      <c r="A98" s="7" t="s">
        <v>722</v>
      </c>
      <c r="B98" s="8">
        <v>5</v>
      </c>
      <c r="C98" s="8">
        <v>357</v>
      </c>
      <c r="D98" s="8">
        <v>3</v>
      </c>
    </row>
    <row r="99" spans="1:4" x14ac:dyDescent="0.25">
      <c r="A99" s="7" t="s">
        <v>962</v>
      </c>
      <c r="B99" s="8">
        <v>1</v>
      </c>
      <c r="C99" s="8">
        <v>135</v>
      </c>
      <c r="D99" s="8">
        <v>1</v>
      </c>
    </row>
    <row r="100" spans="1:4" x14ac:dyDescent="0.25">
      <c r="A100" s="7" t="s">
        <v>718</v>
      </c>
      <c r="B100" s="8">
        <v>0.66666665999999997</v>
      </c>
      <c r="C100" s="8">
        <v>749.49999209999999</v>
      </c>
      <c r="D100" s="8">
        <v>1</v>
      </c>
    </row>
    <row r="101" spans="1:4" x14ac:dyDescent="0.25">
      <c r="A101" s="7" t="s">
        <v>1155</v>
      </c>
      <c r="B101" s="8">
        <v>1</v>
      </c>
      <c r="C101" s="8">
        <v>76</v>
      </c>
      <c r="D101" s="8">
        <v>1</v>
      </c>
    </row>
    <row r="102" spans="1:4" x14ac:dyDescent="0.25">
      <c r="A102" s="7" t="s">
        <v>758</v>
      </c>
      <c r="B102" s="8">
        <v>1</v>
      </c>
      <c r="C102" s="8">
        <v>296</v>
      </c>
      <c r="D102" s="8">
        <v>1</v>
      </c>
    </row>
    <row r="103" spans="1:4" x14ac:dyDescent="0.25">
      <c r="A103" s="7" t="s">
        <v>804</v>
      </c>
      <c r="B103" s="8">
        <v>0.1</v>
      </c>
      <c r="C103" s="8">
        <v>110.00000000000001</v>
      </c>
      <c r="D103" s="8">
        <v>1</v>
      </c>
    </row>
    <row r="104" spans="1:4" x14ac:dyDescent="0.25">
      <c r="A104" s="7" t="s">
        <v>637</v>
      </c>
      <c r="B104" s="8">
        <v>1</v>
      </c>
      <c r="C104" s="8">
        <v>10</v>
      </c>
      <c r="D104" s="8">
        <v>1</v>
      </c>
    </row>
    <row r="105" spans="1:4" x14ac:dyDescent="0.25">
      <c r="A105" s="7" t="s">
        <v>911</v>
      </c>
      <c r="B105" s="8">
        <v>1</v>
      </c>
      <c r="C105" s="8">
        <v>524</v>
      </c>
      <c r="D105" s="8">
        <v>1</v>
      </c>
    </row>
    <row r="106" spans="1:4" x14ac:dyDescent="0.25">
      <c r="A106" s="7" t="s">
        <v>1129</v>
      </c>
      <c r="B106" s="8">
        <v>1</v>
      </c>
      <c r="C106" s="8">
        <v>608</v>
      </c>
      <c r="D106" s="8">
        <v>1</v>
      </c>
    </row>
    <row r="107" spans="1:4" x14ac:dyDescent="0.25">
      <c r="A107" s="7" t="s">
        <v>264</v>
      </c>
      <c r="B107" s="8">
        <v>2</v>
      </c>
      <c r="C107" s="8">
        <v>446</v>
      </c>
      <c r="D107" s="8">
        <v>2</v>
      </c>
    </row>
    <row r="108" spans="1:4" x14ac:dyDescent="0.25">
      <c r="A108" s="7" t="s">
        <v>733</v>
      </c>
      <c r="B108" s="8">
        <v>1</v>
      </c>
      <c r="C108" s="8">
        <v>306</v>
      </c>
      <c r="D108" s="8">
        <v>1</v>
      </c>
    </row>
    <row r="109" spans="1:4" x14ac:dyDescent="0.25">
      <c r="A109" s="7" t="s">
        <v>1013</v>
      </c>
      <c r="B109" s="8">
        <v>3</v>
      </c>
      <c r="C109" s="8">
        <v>423</v>
      </c>
      <c r="D109" s="8">
        <v>2</v>
      </c>
    </row>
    <row r="110" spans="1:4" x14ac:dyDescent="0.25">
      <c r="A110" s="7" t="s">
        <v>393</v>
      </c>
      <c r="B110" s="8">
        <v>1</v>
      </c>
      <c r="C110" s="8">
        <v>268</v>
      </c>
      <c r="D110" s="8">
        <v>1</v>
      </c>
    </row>
    <row r="111" spans="1:4" x14ac:dyDescent="0.25">
      <c r="A111" s="7" t="s">
        <v>982</v>
      </c>
      <c r="B111" s="8">
        <v>1</v>
      </c>
      <c r="C111" s="8">
        <v>615</v>
      </c>
      <c r="D111" s="8">
        <v>1</v>
      </c>
    </row>
    <row r="112" spans="1:4" x14ac:dyDescent="0.25">
      <c r="A112" s="7" t="s">
        <v>956</v>
      </c>
      <c r="B112" s="8">
        <v>1</v>
      </c>
      <c r="C112" s="8">
        <v>612</v>
      </c>
      <c r="D112" s="8">
        <v>1</v>
      </c>
    </row>
    <row r="113" spans="1:4" x14ac:dyDescent="0.25">
      <c r="A113" s="7" t="s">
        <v>856</v>
      </c>
      <c r="B113" s="8">
        <v>1</v>
      </c>
      <c r="C113" s="8">
        <v>383</v>
      </c>
      <c r="D113" s="8">
        <v>1</v>
      </c>
    </row>
    <row r="114" spans="1:4" x14ac:dyDescent="0.25">
      <c r="A114" s="7" t="s">
        <v>971</v>
      </c>
      <c r="B114" s="8">
        <v>1</v>
      </c>
      <c r="C114" s="8">
        <v>341</v>
      </c>
      <c r="D114" s="8">
        <v>1</v>
      </c>
    </row>
    <row r="115" spans="1:4" x14ac:dyDescent="0.25">
      <c r="A115" s="7" t="s">
        <v>278</v>
      </c>
      <c r="B115" s="8">
        <v>1</v>
      </c>
      <c r="C115" s="8">
        <v>386</v>
      </c>
      <c r="D115" s="8">
        <v>1</v>
      </c>
    </row>
    <row r="116" spans="1:4" x14ac:dyDescent="0.25">
      <c r="A116" s="7" t="s">
        <v>489</v>
      </c>
      <c r="B116" s="8">
        <v>1</v>
      </c>
      <c r="C116" s="8">
        <v>838</v>
      </c>
      <c r="D116" s="8">
        <v>1</v>
      </c>
    </row>
    <row r="117" spans="1:4" x14ac:dyDescent="0.25">
      <c r="A117" s="7" t="s">
        <v>100</v>
      </c>
      <c r="B117" s="8">
        <v>1</v>
      </c>
      <c r="C117" s="8">
        <v>67</v>
      </c>
      <c r="D117" s="8">
        <v>1</v>
      </c>
    </row>
    <row r="118" spans="1:4" x14ac:dyDescent="0.25">
      <c r="A118" s="7" t="s">
        <v>863</v>
      </c>
      <c r="B118" s="8">
        <v>1</v>
      </c>
      <c r="C118" s="8">
        <v>96</v>
      </c>
      <c r="D118" s="8">
        <v>1</v>
      </c>
    </row>
    <row r="119" spans="1:4" x14ac:dyDescent="0.25">
      <c r="A119" s="7" t="s">
        <v>707</v>
      </c>
      <c r="B119" s="8">
        <v>3</v>
      </c>
      <c r="C119" s="8">
        <v>129</v>
      </c>
      <c r="D119" s="8">
        <v>2</v>
      </c>
    </row>
    <row r="120" spans="1:4" x14ac:dyDescent="0.25">
      <c r="A120" s="7" t="s">
        <v>1063</v>
      </c>
      <c r="B120" s="8">
        <v>1</v>
      </c>
      <c r="C120" s="8">
        <v>114</v>
      </c>
      <c r="D120" s="8">
        <v>1</v>
      </c>
    </row>
    <row r="121" spans="1:4" x14ac:dyDescent="0.25">
      <c r="A121" s="7" t="s">
        <v>584</v>
      </c>
      <c r="B121" s="8">
        <v>1</v>
      </c>
      <c r="C121" s="8">
        <v>51</v>
      </c>
      <c r="D121" s="8">
        <v>1</v>
      </c>
    </row>
    <row r="122" spans="1:4" x14ac:dyDescent="0.25">
      <c r="A122" s="7" t="s">
        <v>329</v>
      </c>
      <c r="B122" s="8">
        <v>1</v>
      </c>
      <c r="C122" s="8">
        <v>98</v>
      </c>
      <c r="D122" s="8">
        <v>1</v>
      </c>
    </row>
    <row r="123" spans="1:4" x14ac:dyDescent="0.25">
      <c r="A123" s="7" t="s">
        <v>618</v>
      </c>
      <c r="B123" s="8">
        <v>3</v>
      </c>
      <c r="C123" s="8">
        <v>126</v>
      </c>
      <c r="D123" s="8">
        <v>1</v>
      </c>
    </row>
    <row r="124" spans="1:4" x14ac:dyDescent="0.25">
      <c r="A124" s="7" t="s">
        <v>645</v>
      </c>
      <c r="B124" s="8">
        <v>1</v>
      </c>
      <c r="C124" s="8">
        <v>24</v>
      </c>
      <c r="D124" s="8">
        <v>1</v>
      </c>
    </row>
    <row r="125" spans="1:4" x14ac:dyDescent="0.25">
      <c r="A125" s="7" t="s">
        <v>699</v>
      </c>
      <c r="B125" s="8">
        <v>1</v>
      </c>
      <c r="C125" s="8">
        <v>94</v>
      </c>
      <c r="D125" s="8">
        <v>1</v>
      </c>
    </row>
    <row r="126" spans="1:4" x14ac:dyDescent="0.25">
      <c r="A126" s="7" t="s">
        <v>944</v>
      </c>
      <c r="B126" s="8">
        <v>3</v>
      </c>
      <c r="C126" s="8">
        <v>279</v>
      </c>
      <c r="D126" s="8">
        <v>2</v>
      </c>
    </row>
    <row r="127" spans="1:4" x14ac:dyDescent="0.25">
      <c r="A127" s="7" t="s">
        <v>158</v>
      </c>
      <c r="B127" s="8">
        <v>2</v>
      </c>
      <c r="C127" s="8">
        <v>363</v>
      </c>
      <c r="D127" s="8">
        <v>2</v>
      </c>
    </row>
    <row r="128" spans="1:4" x14ac:dyDescent="0.25">
      <c r="A128" s="7" t="s">
        <v>445</v>
      </c>
      <c r="B128" s="8">
        <v>2</v>
      </c>
      <c r="C128" s="8">
        <v>353</v>
      </c>
      <c r="D128" s="8">
        <v>2</v>
      </c>
    </row>
    <row r="129" spans="1:4" x14ac:dyDescent="0.25">
      <c r="A129" s="7" t="s">
        <v>646</v>
      </c>
      <c r="B129" s="8">
        <v>2</v>
      </c>
      <c r="C129" s="8">
        <v>161.63</v>
      </c>
      <c r="D129" s="8">
        <v>2</v>
      </c>
    </row>
    <row r="130" spans="1:4" x14ac:dyDescent="0.25">
      <c r="A130" s="7" t="s">
        <v>1208</v>
      </c>
      <c r="B130" s="8">
        <v>1</v>
      </c>
      <c r="C130" s="8">
        <v>585</v>
      </c>
      <c r="D130" s="8">
        <v>1</v>
      </c>
    </row>
    <row r="131" spans="1:4" x14ac:dyDescent="0.25">
      <c r="A131" s="7" t="s">
        <v>794</v>
      </c>
      <c r="B131" s="8">
        <v>2</v>
      </c>
      <c r="C131" s="8">
        <v>440</v>
      </c>
      <c r="D131" s="8">
        <v>1</v>
      </c>
    </row>
    <row r="132" spans="1:4" x14ac:dyDescent="0.25">
      <c r="A132" s="7" t="s">
        <v>73</v>
      </c>
      <c r="B132" s="8">
        <v>1</v>
      </c>
      <c r="C132" s="8">
        <v>39</v>
      </c>
      <c r="D132" s="8">
        <v>1</v>
      </c>
    </row>
    <row r="133" spans="1:4" x14ac:dyDescent="0.25">
      <c r="A133" s="7" t="s">
        <v>777</v>
      </c>
      <c r="B133" s="8">
        <v>1</v>
      </c>
      <c r="C133" s="8">
        <v>32</v>
      </c>
      <c r="D133" s="8">
        <v>1</v>
      </c>
    </row>
    <row r="134" spans="1:4" x14ac:dyDescent="0.25">
      <c r="A134" s="7" t="s">
        <v>616</v>
      </c>
      <c r="B134" s="8">
        <v>1</v>
      </c>
      <c r="C134" s="8">
        <v>37</v>
      </c>
      <c r="D134" s="8">
        <v>1</v>
      </c>
    </row>
    <row r="135" spans="1:4" x14ac:dyDescent="0.25">
      <c r="A135" s="7" t="s">
        <v>883</v>
      </c>
      <c r="B135" s="8">
        <v>1</v>
      </c>
      <c r="C135" s="8">
        <v>138</v>
      </c>
      <c r="D135" s="8">
        <v>1</v>
      </c>
    </row>
    <row r="136" spans="1:4" x14ac:dyDescent="0.25">
      <c r="A136" s="7" t="s">
        <v>586</v>
      </c>
      <c r="B136" s="8">
        <v>22</v>
      </c>
      <c r="C136" s="8">
        <v>278</v>
      </c>
      <c r="D136" s="8">
        <v>1</v>
      </c>
    </row>
    <row r="137" spans="1:4" x14ac:dyDescent="0.25">
      <c r="A137" s="7" t="s">
        <v>249</v>
      </c>
      <c r="B137" s="8">
        <v>2</v>
      </c>
      <c r="C137" s="8">
        <v>80</v>
      </c>
      <c r="D137" s="8">
        <v>1</v>
      </c>
    </row>
    <row r="138" spans="1:4" x14ac:dyDescent="0.25">
      <c r="A138" s="7" t="s">
        <v>984</v>
      </c>
      <c r="B138" s="8">
        <v>2</v>
      </c>
      <c r="C138" s="8">
        <v>264</v>
      </c>
      <c r="D138" s="8">
        <v>2</v>
      </c>
    </row>
    <row r="139" spans="1:4" x14ac:dyDescent="0.25">
      <c r="A139" s="7" t="s">
        <v>234</v>
      </c>
      <c r="B139" s="8">
        <v>1</v>
      </c>
      <c r="C139" s="8">
        <v>15</v>
      </c>
      <c r="D139" s="8">
        <v>1</v>
      </c>
    </row>
    <row r="140" spans="1:4" x14ac:dyDescent="0.25">
      <c r="A140" s="7" t="s">
        <v>674</v>
      </c>
      <c r="B140" s="8">
        <v>5</v>
      </c>
      <c r="C140" s="8">
        <v>126</v>
      </c>
      <c r="D140" s="8">
        <v>3</v>
      </c>
    </row>
    <row r="141" spans="1:4" x14ac:dyDescent="0.25">
      <c r="A141" s="7" t="s">
        <v>1060</v>
      </c>
      <c r="B141" s="8">
        <v>1</v>
      </c>
      <c r="C141" s="8">
        <v>713</v>
      </c>
      <c r="D141" s="8">
        <v>1</v>
      </c>
    </row>
    <row r="142" spans="1:4" x14ac:dyDescent="0.25">
      <c r="A142" s="7" t="s">
        <v>938</v>
      </c>
      <c r="B142" s="8">
        <v>1</v>
      </c>
      <c r="C142" s="8">
        <v>159</v>
      </c>
      <c r="D142" s="8">
        <v>1</v>
      </c>
    </row>
    <row r="143" spans="1:4" x14ac:dyDescent="0.25">
      <c r="A143" s="7" t="s">
        <v>800</v>
      </c>
      <c r="B143" s="8">
        <v>2</v>
      </c>
      <c r="C143" s="8">
        <v>100</v>
      </c>
      <c r="D143" s="8">
        <v>1</v>
      </c>
    </row>
    <row r="144" spans="1:4" x14ac:dyDescent="0.25">
      <c r="A144" s="7" t="s">
        <v>1146</v>
      </c>
      <c r="B144" s="8">
        <v>1</v>
      </c>
      <c r="C144" s="8">
        <v>127</v>
      </c>
      <c r="D144" s="8">
        <v>1</v>
      </c>
    </row>
    <row r="145" spans="1:4" x14ac:dyDescent="0.25">
      <c r="A145" s="7" t="s">
        <v>796</v>
      </c>
      <c r="B145" s="8">
        <v>1</v>
      </c>
      <c r="C145" s="8">
        <v>613</v>
      </c>
      <c r="D145" s="8">
        <v>1</v>
      </c>
    </row>
    <row r="146" spans="1:4" x14ac:dyDescent="0.25">
      <c r="A146" s="7" t="s">
        <v>374</v>
      </c>
      <c r="B146" s="8">
        <v>1</v>
      </c>
      <c r="C146" s="8">
        <v>173</v>
      </c>
      <c r="D146" s="8">
        <v>1</v>
      </c>
    </row>
    <row r="147" spans="1:4" x14ac:dyDescent="0.25">
      <c r="A147" s="7" t="s">
        <v>966</v>
      </c>
      <c r="B147" s="8">
        <v>2</v>
      </c>
      <c r="C147" s="8">
        <v>72</v>
      </c>
      <c r="D147" s="8">
        <v>2</v>
      </c>
    </row>
    <row r="148" spans="1:4" x14ac:dyDescent="0.25">
      <c r="A148" s="7" t="s">
        <v>325</v>
      </c>
      <c r="B148" s="8">
        <v>2</v>
      </c>
      <c r="C148" s="8">
        <v>142</v>
      </c>
      <c r="D148" s="8">
        <v>1</v>
      </c>
    </row>
    <row r="149" spans="1:4" x14ac:dyDescent="0.25">
      <c r="A149" s="7" t="s">
        <v>1178</v>
      </c>
      <c r="B149" s="8">
        <v>1</v>
      </c>
      <c r="C149" s="8">
        <v>203</v>
      </c>
      <c r="D149" s="8">
        <v>1</v>
      </c>
    </row>
    <row r="150" spans="1:4" x14ac:dyDescent="0.25">
      <c r="A150" s="7" t="s">
        <v>199</v>
      </c>
      <c r="B150" s="8">
        <v>2</v>
      </c>
      <c r="C150" s="8">
        <v>132</v>
      </c>
      <c r="D150" s="8">
        <v>1</v>
      </c>
    </row>
    <row r="151" spans="1:4" x14ac:dyDescent="0.25">
      <c r="A151" s="7" t="s">
        <v>627</v>
      </c>
      <c r="B151" s="8">
        <v>8</v>
      </c>
      <c r="C151" s="8">
        <v>284</v>
      </c>
      <c r="D151" s="8">
        <v>4</v>
      </c>
    </row>
    <row r="152" spans="1:4" x14ac:dyDescent="0.25">
      <c r="A152" s="7" t="s">
        <v>1201</v>
      </c>
      <c r="B152" s="8">
        <v>1</v>
      </c>
      <c r="C152" s="8">
        <v>68</v>
      </c>
      <c r="D152" s="8">
        <v>1</v>
      </c>
    </row>
    <row r="153" spans="1:4" x14ac:dyDescent="0.25">
      <c r="A153" s="7" t="s">
        <v>670</v>
      </c>
      <c r="B153" s="8">
        <v>5</v>
      </c>
      <c r="C153" s="8">
        <v>230</v>
      </c>
      <c r="D153" s="8">
        <v>1</v>
      </c>
    </row>
    <row r="154" spans="1:4" x14ac:dyDescent="0.25">
      <c r="A154" s="7" t="s">
        <v>418</v>
      </c>
      <c r="B154" s="8">
        <v>25</v>
      </c>
      <c r="C154" s="8">
        <v>850</v>
      </c>
      <c r="D154" s="8">
        <v>5</v>
      </c>
    </row>
    <row r="155" spans="1:4" x14ac:dyDescent="0.25">
      <c r="A155" s="7" t="s">
        <v>107</v>
      </c>
      <c r="B155" s="8">
        <v>3</v>
      </c>
      <c r="C155" s="8">
        <v>546</v>
      </c>
      <c r="D155" s="8">
        <v>2</v>
      </c>
    </row>
    <row r="156" spans="1:4" x14ac:dyDescent="0.25">
      <c r="A156" s="7" t="s">
        <v>885</v>
      </c>
      <c r="B156" s="8">
        <v>3</v>
      </c>
      <c r="C156" s="8">
        <v>246</v>
      </c>
      <c r="D156" s="8">
        <v>2</v>
      </c>
    </row>
    <row r="157" spans="1:4" x14ac:dyDescent="0.25">
      <c r="A157" s="7" t="s">
        <v>1128</v>
      </c>
      <c r="B157" s="8">
        <v>1</v>
      </c>
      <c r="C157" s="8">
        <v>394</v>
      </c>
      <c r="D157" s="8">
        <v>1</v>
      </c>
    </row>
    <row r="158" spans="1:4" x14ac:dyDescent="0.25">
      <c r="A158" s="7" t="s">
        <v>786</v>
      </c>
      <c r="B158" s="8">
        <v>1</v>
      </c>
      <c r="C158" s="8">
        <v>1081</v>
      </c>
      <c r="D158" s="8">
        <v>1</v>
      </c>
    </row>
    <row r="159" spans="1:4" x14ac:dyDescent="0.25">
      <c r="A159" s="7" t="s">
        <v>1120</v>
      </c>
      <c r="B159" s="8">
        <v>1</v>
      </c>
      <c r="C159" s="8">
        <v>750</v>
      </c>
      <c r="D159" s="8">
        <v>1</v>
      </c>
    </row>
    <row r="160" spans="1:4" x14ac:dyDescent="0.25">
      <c r="A160" s="7" t="s">
        <v>1159</v>
      </c>
      <c r="B160" s="8">
        <v>1</v>
      </c>
      <c r="C160" s="8">
        <v>146</v>
      </c>
      <c r="D160" s="8">
        <v>1</v>
      </c>
    </row>
    <row r="161" spans="1:4" x14ac:dyDescent="0.25">
      <c r="A161" s="7" t="s">
        <v>1088</v>
      </c>
      <c r="B161" s="8">
        <v>1</v>
      </c>
      <c r="C161" s="8">
        <v>63</v>
      </c>
      <c r="D161" s="8">
        <v>1</v>
      </c>
    </row>
    <row r="162" spans="1:4" x14ac:dyDescent="0.25">
      <c r="A162" s="7" t="s">
        <v>194</v>
      </c>
      <c r="B162" s="8">
        <v>2</v>
      </c>
      <c r="C162" s="8">
        <v>184</v>
      </c>
      <c r="D162" s="8">
        <v>1</v>
      </c>
    </row>
    <row r="163" spans="1:4" x14ac:dyDescent="0.25">
      <c r="A163" s="7" t="s">
        <v>392</v>
      </c>
      <c r="B163" s="8">
        <v>3</v>
      </c>
      <c r="C163" s="8">
        <v>615</v>
      </c>
      <c r="D163" s="8">
        <v>2</v>
      </c>
    </row>
    <row r="164" spans="1:4" x14ac:dyDescent="0.25">
      <c r="A164" s="7" t="s">
        <v>788</v>
      </c>
      <c r="B164" s="8">
        <v>1</v>
      </c>
      <c r="C164" s="8">
        <v>3482</v>
      </c>
      <c r="D164" s="8">
        <v>1</v>
      </c>
    </row>
    <row r="165" spans="1:4" x14ac:dyDescent="0.25">
      <c r="A165" s="7" t="s">
        <v>1005</v>
      </c>
      <c r="B165" s="8">
        <v>1</v>
      </c>
      <c r="C165" s="8">
        <v>615</v>
      </c>
      <c r="D165" s="8">
        <v>1</v>
      </c>
    </row>
    <row r="166" spans="1:4" x14ac:dyDescent="0.25">
      <c r="A166" s="7" t="s">
        <v>578</v>
      </c>
      <c r="B166" s="8">
        <v>1</v>
      </c>
      <c r="C166" s="8">
        <v>97</v>
      </c>
      <c r="D166" s="8">
        <v>1</v>
      </c>
    </row>
    <row r="167" spans="1:4" x14ac:dyDescent="0.25">
      <c r="A167" s="7" t="s">
        <v>1204</v>
      </c>
      <c r="B167" s="8">
        <v>1</v>
      </c>
      <c r="C167" s="8">
        <v>1213</v>
      </c>
      <c r="D167" s="8">
        <v>1</v>
      </c>
    </row>
    <row r="168" spans="1:4" x14ac:dyDescent="0.25">
      <c r="A168" s="7" t="s">
        <v>1162</v>
      </c>
      <c r="B168" s="8">
        <v>1</v>
      </c>
      <c r="C168" s="8">
        <v>54</v>
      </c>
      <c r="D168" s="8">
        <v>1</v>
      </c>
    </row>
    <row r="169" spans="1:4" x14ac:dyDescent="0.25">
      <c r="A169" s="7" t="s">
        <v>308</v>
      </c>
      <c r="B169" s="8">
        <v>1</v>
      </c>
      <c r="C169" s="8">
        <v>243</v>
      </c>
      <c r="D169" s="8">
        <v>1</v>
      </c>
    </row>
    <row r="170" spans="1:4" x14ac:dyDescent="0.25">
      <c r="A170" s="7" t="s">
        <v>671</v>
      </c>
      <c r="B170" s="8">
        <v>1</v>
      </c>
      <c r="C170" s="8">
        <v>139</v>
      </c>
      <c r="D170" s="8">
        <v>1</v>
      </c>
    </row>
    <row r="171" spans="1:4" x14ac:dyDescent="0.25">
      <c r="A171" s="7" t="s">
        <v>465</v>
      </c>
      <c r="B171" s="8">
        <v>2</v>
      </c>
      <c r="C171" s="8">
        <v>2396</v>
      </c>
      <c r="D171" s="8">
        <v>2</v>
      </c>
    </row>
    <row r="172" spans="1:4" x14ac:dyDescent="0.25">
      <c r="A172" s="7" t="s">
        <v>764</v>
      </c>
      <c r="B172" s="8">
        <v>1</v>
      </c>
      <c r="C172" s="8">
        <v>206</v>
      </c>
      <c r="D172" s="8">
        <v>1</v>
      </c>
    </row>
    <row r="173" spans="1:4" x14ac:dyDescent="0.25">
      <c r="A173" s="7" t="s">
        <v>713</v>
      </c>
      <c r="B173" s="8">
        <v>1</v>
      </c>
      <c r="C173" s="8">
        <v>43</v>
      </c>
      <c r="D173" s="8">
        <v>1</v>
      </c>
    </row>
    <row r="174" spans="1:4" x14ac:dyDescent="0.25">
      <c r="A174" s="7" t="s">
        <v>745</v>
      </c>
      <c r="B174" s="8">
        <v>4</v>
      </c>
      <c r="C174" s="8">
        <v>255</v>
      </c>
      <c r="D174" s="8">
        <v>1</v>
      </c>
    </row>
    <row r="175" spans="1:4" x14ac:dyDescent="0.25">
      <c r="A175" s="7" t="s">
        <v>113</v>
      </c>
      <c r="B175" s="8">
        <v>2</v>
      </c>
      <c r="C175" s="8">
        <v>243</v>
      </c>
      <c r="D175" s="8">
        <v>2</v>
      </c>
    </row>
    <row r="176" spans="1:4" x14ac:dyDescent="0.25">
      <c r="A176" s="7" t="s">
        <v>686</v>
      </c>
      <c r="B176" s="8">
        <v>1</v>
      </c>
      <c r="C176" s="8">
        <v>842</v>
      </c>
      <c r="D176" s="8">
        <v>1</v>
      </c>
    </row>
    <row r="177" spans="1:4" x14ac:dyDescent="0.25">
      <c r="A177" s="7" t="s">
        <v>294</v>
      </c>
      <c r="B177" s="8">
        <v>1</v>
      </c>
      <c r="C177" s="8">
        <v>586</v>
      </c>
      <c r="D177" s="8">
        <v>1</v>
      </c>
    </row>
    <row r="178" spans="1:4" x14ac:dyDescent="0.25">
      <c r="A178" s="7" t="s">
        <v>22</v>
      </c>
      <c r="B178" s="8">
        <v>1</v>
      </c>
      <c r="C178" s="8">
        <v>270</v>
      </c>
      <c r="D178" s="8">
        <v>1</v>
      </c>
    </row>
    <row r="179" spans="1:4" x14ac:dyDescent="0.25">
      <c r="A179" s="7" t="s">
        <v>824</v>
      </c>
      <c r="B179" s="8">
        <v>1</v>
      </c>
      <c r="C179" s="8">
        <v>346</v>
      </c>
      <c r="D179" s="8">
        <v>1</v>
      </c>
    </row>
    <row r="180" spans="1:4" x14ac:dyDescent="0.25">
      <c r="A180" s="7" t="s">
        <v>902</v>
      </c>
      <c r="B180" s="8">
        <v>2</v>
      </c>
      <c r="C180" s="8">
        <v>817</v>
      </c>
      <c r="D180" s="8">
        <v>2</v>
      </c>
    </row>
    <row r="181" spans="1:4" x14ac:dyDescent="0.25">
      <c r="A181" s="7" t="s">
        <v>147</v>
      </c>
      <c r="B181" s="8">
        <v>1</v>
      </c>
      <c r="C181" s="8">
        <v>249</v>
      </c>
      <c r="D181" s="8">
        <v>1</v>
      </c>
    </row>
    <row r="182" spans="1:4" x14ac:dyDescent="0.25">
      <c r="A182" s="7" t="s">
        <v>1169</v>
      </c>
      <c r="B182" s="8">
        <v>1</v>
      </c>
      <c r="C182" s="8">
        <v>315</v>
      </c>
      <c r="D182" s="8">
        <v>1</v>
      </c>
    </row>
    <row r="183" spans="1:4" x14ac:dyDescent="0.25">
      <c r="A183" s="7" t="s">
        <v>611</v>
      </c>
      <c r="B183" s="8">
        <v>1</v>
      </c>
      <c r="C183" s="8">
        <v>269</v>
      </c>
      <c r="D183" s="8">
        <v>1</v>
      </c>
    </row>
    <row r="184" spans="1:4" x14ac:dyDescent="0.25">
      <c r="A184" s="7" t="s">
        <v>60</v>
      </c>
      <c r="B184" s="8">
        <v>1</v>
      </c>
      <c r="C184" s="8">
        <v>4487</v>
      </c>
      <c r="D184" s="8">
        <v>1</v>
      </c>
    </row>
    <row r="185" spans="1:4" x14ac:dyDescent="0.25">
      <c r="A185" s="7" t="s">
        <v>166</v>
      </c>
      <c r="B185" s="8">
        <v>17</v>
      </c>
      <c r="C185" s="8">
        <v>267</v>
      </c>
      <c r="D185" s="8">
        <v>5</v>
      </c>
    </row>
    <row r="186" spans="1:4" x14ac:dyDescent="0.25">
      <c r="A186" s="7" t="s">
        <v>1229</v>
      </c>
      <c r="B186" s="8">
        <v>1</v>
      </c>
      <c r="C186" s="8">
        <v>27</v>
      </c>
      <c r="D186" s="8">
        <v>1</v>
      </c>
    </row>
    <row r="187" spans="1:4" x14ac:dyDescent="0.25">
      <c r="A187" s="7" t="s">
        <v>783</v>
      </c>
      <c r="B187" s="8">
        <v>3</v>
      </c>
      <c r="C187" s="8">
        <v>213</v>
      </c>
      <c r="D187" s="8">
        <v>1</v>
      </c>
    </row>
    <row r="188" spans="1:4" x14ac:dyDescent="0.25">
      <c r="A188" s="7" t="s">
        <v>965</v>
      </c>
      <c r="B188" s="8">
        <v>1</v>
      </c>
      <c r="C188" s="8">
        <v>137</v>
      </c>
      <c r="D188" s="8">
        <v>1</v>
      </c>
    </row>
    <row r="189" spans="1:4" x14ac:dyDescent="0.25">
      <c r="A189" s="7" t="s">
        <v>1193</v>
      </c>
      <c r="B189" s="8">
        <v>1</v>
      </c>
      <c r="C189" s="8">
        <v>137</v>
      </c>
      <c r="D189" s="8">
        <v>1</v>
      </c>
    </row>
    <row r="190" spans="1:4" x14ac:dyDescent="0.25">
      <c r="A190" s="7" t="s">
        <v>1080</v>
      </c>
      <c r="B190" s="8">
        <v>2</v>
      </c>
      <c r="C190" s="8">
        <v>52</v>
      </c>
      <c r="D190" s="8">
        <v>1</v>
      </c>
    </row>
    <row r="191" spans="1:4" x14ac:dyDescent="0.25">
      <c r="A191" s="7" t="s">
        <v>903</v>
      </c>
      <c r="B191" s="8">
        <v>2</v>
      </c>
      <c r="C191" s="8">
        <v>60</v>
      </c>
      <c r="D191" s="8">
        <v>1</v>
      </c>
    </row>
    <row r="192" spans="1:4" x14ac:dyDescent="0.25">
      <c r="A192" s="7" t="s">
        <v>933</v>
      </c>
      <c r="B192" s="8">
        <v>1</v>
      </c>
      <c r="C192" s="8">
        <v>609</v>
      </c>
      <c r="D192" s="8">
        <v>1</v>
      </c>
    </row>
    <row r="193" spans="1:4" x14ac:dyDescent="0.25">
      <c r="A193" s="7" t="s">
        <v>227</v>
      </c>
      <c r="B193" s="8">
        <v>1</v>
      </c>
      <c r="C193" s="8">
        <v>80</v>
      </c>
      <c r="D193" s="8">
        <v>1</v>
      </c>
    </row>
    <row r="194" spans="1:4" x14ac:dyDescent="0.25">
      <c r="A194" s="7" t="s">
        <v>296</v>
      </c>
      <c r="B194" s="8">
        <v>2</v>
      </c>
      <c r="C194" s="8">
        <v>952</v>
      </c>
      <c r="D194" s="8">
        <v>2</v>
      </c>
    </row>
    <row r="195" spans="1:4" x14ac:dyDescent="0.25">
      <c r="A195" s="7" t="s">
        <v>850</v>
      </c>
      <c r="B195" s="8">
        <v>1</v>
      </c>
      <c r="C195" s="8">
        <v>337</v>
      </c>
      <c r="D195" s="8">
        <v>1</v>
      </c>
    </row>
    <row r="196" spans="1:4" x14ac:dyDescent="0.25">
      <c r="A196" s="7" t="s">
        <v>513</v>
      </c>
      <c r="B196" s="8">
        <v>2</v>
      </c>
      <c r="C196" s="8">
        <v>498</v>
      </c>
      <c r="D196" s="8">
        <v>2</v>
      </c>
    </row>
    <row r="197" spans="1:4" x14ac:dyDescent="0.25">
      <c r="A197" s="7" t="s">
        <v>260</v>
      </c>
      <c r="B197" s="8">
        <v>5</v>
      </c>
      <c r="C197" s="8">
        <v>338</v>
      </c>
      <c r="D197" s="8">
        <v>4</v>
      </c>
    </row>
    <row r="198" spans="1:4" x14ac:dyDescent="0.25">
      <c r="A198" s="7" t="s">
        <v>807</v>
      </c>
      <c r="B198" s="8">
        <v>4</v>
      </c>
      <c r="C198" s="8">
        <v>131</v>
      </c>
      <c r="D198" s="8">
        <v>3</v>
      </c>
    </row>
    <row r="199" spans="1:4" x14ac:dyDescent="0.25">
      <c r="A199" s="7" t="s">
        <v>546</v>
      </c>
      <c r="B199" s="8">
        <v>1</v>
      </c>
      <c r="C199" s="8">
        <v>208</v>
      </c>
      <c r="D199" s="8">
        <v>1</v>
      </c>
    </row>
    <row r="200" spans="1:4" x14ac:dyDescent="0.25">
      <c r="A200" s="7" t="s">
        <v>1023</v>
      </c>
      <c r="B200" s="8">
        <v>1</v>
      </c>
      <c r="C200" s="8">
        <v>384</v>
      </c>
      <c r="D200" s="8">
        <v>1</v>
      </c>
    </row>
    <row r="201" spans="1:4" x14ac:dyDescent="0.25">
      <c r="A201" s="7" t="s">
        <v>919</v>
      </c>
      <c r="B201" s="8">
        <v>2</v>
      </c>
      <c r="C201" s="8">
        <v>108.66</v>
      </c>
      <c r="D201" s="8">
        <v>2</v>
      </c>
    </row>
    <row r="202" spans="1:4" x14ac:dyDescent="0.25">
      <c r="A202" s="7" t="s">
        <v>665</v>
      </c>
      <c r="B202" s="8">
        <v>7.1428400000000003E-2</v>
      </c>
      <c r="C202" s="8">
        <v>51.714161600000004</v>
      </c>
      <c r="D202" s="8">
        <v>1</v>
      </c>
    </row>
    <row r="203" spans="1:4" x14ac:dyDescent="0.25">
      <c r="A203" s="7" t="s">
        <v>336</v>
      </c>
      <c r="B203" s="8">
        <v>2</v>
      </c>
      <c r="C203" s="8">
        <v>1276</v>
      </c>
      <c r="D203" s="8">
        <v>1</v>
      </c>
    </row>
    <row r="204" spans="1:4" x14ac:dyDescent="0.25">
      <c r="A204" s="7" t="s">
        <v>792</v>
      </c>
      <c r="B204" s="8">
        <v>1</v>
      </c>
      <c r="C204" s="8">
        <v>26</v>
      </c>
      <c r="D204" s="8">
        <v>1</v>
      </c>
    </row>
    <row r="205" spans="1:4" x14ac:dyDescent="0.25">
      <c r="A205" s="7" t="s">
        <v>601</v>
      </c>
      <c r="B205" s="8">
        <v>1</v>
      </c>
      <c r="C205" s="8">
        <v>436</v>
      </c>
      <c r="D205" s="8">
        <v>1</v>
      </c>
    </row>
    <row r="206" spans="1:4" x14ac:dyDescent="0.25">
      <c r="A206" s="7" t="s">
        <v>608</v>
      </c>
      <c r="B206" s="8">
        <v>1</v>
      </c>
      <c r="C206" s="8">
        <v>380</v>
      </c>
      <c r="D206" s="8">
        <v>1</v>
      </c>
    </row>
    <row r="207" spans="1:4" x14ac:dyDescent="0.25">
      <c r="A207" s="7" t="s">
        <v>1051</v>
      </c>
      <c r="B207" s="8">
        <v>1</v>
      </c>
      <c r="C207" s="8">
        <v>404</v>
      </c>
      <c r="D207" s="8">
        <v>1</v>
      </c>
    </row>
    <row r="208" spans="1:4" x14ac:dyDescent="0.25">
      <c r="A208" s="7" t="s">
        <v>1153</v>
      </c>
      <c r="B208" s="8">
        <v>2</v>
      </c>
      <c r="C208" s="8">
        <v>1120</v>
      </c>
      <c r="D208" s="8">
        <v>1</v>
      </c>
    </row>
    <row r="209" spans="1:4" x14ac:dyDescent="0.25">
      <c r="A209" s="7" t="s">
        <v>103</v>
      </c>
      <c r="B209" s="8">
        <v>1</v>
      </c>
      <c r="C209" s="8">
        <v>92</v>
      </c>
      <c r="D209" s="8">
        <v>1</v>
      </c>
    </row>
    <row r="210" spans="1:4" x14ac:dyDescent="0.25">
      <c r="A210" s="7" t="s">
        <v>245</v>
      </c>
      <c r="B210" s="8">
        <v>1</v>
      </c>
      <c r="C210" s="8">
        <v>463</v>
      </c>
      <c r="D210" s="8">
        <v>1</v>
      </c>
    </row>
    <row r="211" spans="1:4" x14ac:dyDescent="0.25">
      <c r="A211" s="7" t="s">
        <v>124</v>
      </c>
      <c r="B211" s="8">
        <v>1</v>
      </c>
      <c r="C211" s="8">
        <v>217</v>
      </c>
      <c r="D211" s="8">
        <v>1</v>
      </c>
    </row>
    <row r="212" spans="1:4" x14ac:dyDescent="0.25">
      <c r="A212" s="7" t="s">
        <v>833</v>
      </c>
      <c r="B212" s="8">
        <v>1</v>
      </c>
      <c r="C212" s="8">
        <v>222</v>
      </c>
      <c r="D212" s="8">
        <v>1</v>
      </c>
    </row>
    <row r="213" spans="1:4" x14ac:dyDescent="0.25">
      <c r="A213" s="7" t="s">
        <v>1099</v>
      </c>
      <c r="B213" s="8">
        <v>1</v>
      </c>
      <c r="C213" s="8">
        <v>562</v>
      </c>
      <c r="D213" s="8">
        <v>1</v>
      </c>
    </row>
    <row r="214" spans="1:4" x14ac:dyDescent="0.25">
      <c r="A214" s="7" t="s">
        <v>138</v>
      </c>
      <c r="B214" s="8">
        <v>3</v>
      </c>
      <c r="C214" s="8">
        <v>466</v>
      </c>
      <c r="D214" s="8">
        <v>3</v>
      </c>
    </row>
    <row r="215" spans="1:4" x14ac:dyDescent="0.25">
      <c r="A215" s="7" t="s">
        <v>774</v>
      </c>
      <c r="B215" s="8">
        <v>1</v>
      </c>
      <c r="C215" s="8">
        <v>79</v>
      </c>
      <c r="D215" s="8">
        <v>1</v>
      </c>
    </row>
    <row r="216" spans="1:4" x14ac:dyDescent="0.25">
      <c r="A216" s="7" t="s">
        <v>776</v>
      </c>
      <c r="B216" s="8">
        <v>1</v>
      </c>
      <c r="C216" s="8">
        <v>74</v>
      </c>
      <c r="D216" s="8">
        <v>1</v>
      </c>
    </row>
    <row r="217" spans="1:4" x14ac:dyDescent="0.25">
      <c r="A217" s="7" t="s">
        <v>872</v>
      </c>
      <c r="B217" s="8">
        <v>1</v>
      </c>
      <c r="C217" s="8">
        <v>166</v>
      </c>
      <c r="D217" s="8">
        <v>1</v>
      </c>
    </row>
    <row r="218" spans="1:4" x14ac:dyDescent="0.25">
      <c r="A218" s="7" t="s">
        <v>1044</v>
      </c>
      <c r="B218" s="8">
        <v>1</v>
      </c>
      <c r="C218" s="8">
        <v>150</v>
      </c>
      <c r="D218" s="8">
        <v>1</v>
      </c>
    </row>
    <row r="219" spans="1:4" x14ac:dyDescent="0.25">
      <c r="A219" s="7" t="s">
        <v>424</v>
      </c>
      <c r="B219" s="8">
        <v>0.2</v>
      </c>
      <c r="C219" s="8">
        <v>39.00200000000001</v>
      </c>
      <c r="D219" s="8">
        <v>1</v>
      </c>
    </row>
    <row r="220" spans="1:4" x14ac:dyDescent="0.25">
      <c r="A220" s="7" t="s">
        <v>735</v>
      </c>
      <c r="B220" s="8">
        <v>1</v>
      </c>
      <c r="C220" s="8">
        <v>364</v>
      </c>
      <c r="D220" s="8">
        <v>1</v>
      </c>
    </row>
    <row r="221" spans="1:4" x14ac:dyDescent="0.25">
      <c r="A221" s="7" t="s">
        <v>698</v>
      </c>
      <c r="B221" s="8">
        <v>1</v>
      </c>
      <c r="C221" s="8">
        <v>703</v>
      </c>
      <c r="D221" s="8">
        <v>1</v>
      </c>
    </row>
    <row r="222" spans="1:4" x14ac:dyDescent="0.25">
      <c r="A222" s="7" t="s">
        <v>588</v>
      </c>
      <c r="B222" s="8">
        <v>1</v>
      </c>
      <c r="C222" s="8">
        <v>680</v>
      </c>
      <c r="D222" s="8">
        <v>1</v>
      </c>
    </row>
    <row r="223" spans="1:4" x14ac:dyDescent="0.25">
      <c r="A223" s="7" t="s">
        <v>409</v>
      </c>
      <c r="B223" s="8">
        <v>1</v>
      </c>
      <c r="C223" s="8">
        <v>377</v>
      </c>
      <c r="D223" s="8">
        <v>1</v>
      </c>
    </row>
    <row r="224" spans="1:4" x14ac:dyDescent="0.25">
      <c r="A224" s="7" t="s">
        <v>762</v>
      </c>
      <c r="B224" s="8">
        <v>4</v>
      </c>
      <c r="C224" s="8">
        <v>11343</v>
      </c>
      <c r="D224" s="8">
        <v>2</v>
      </c>
    </row>
    <row r="225" spans="1:4" x14ac:dyDescent="0.25">
      <c r="A225" s="7" t="s">
        <v>181</v>
      </c>
      <c r="B225" s="8">
        <v>1</v>
      </c>
      <c r="C225" s="8">
        <v>1039</v>
      </c>
      <c r="D225" s="8">
        <v>1</v>
      </c>
    </row>
    <row r="226" spans="1:4" x14ac:dyDescent="0.25">
      <c r="A226" s="7" t="s">
        <v>848</v>
      </c>
      <c r="B226" s="8">
        <v>2</v>
      </c>
      <c r="C226" s="8">
        <v>1003</v>
      </c>
      <c r="D226" s="8">
        <v>2</v>
      </c>
    </row>
    <row r="227" spans="1:4" x14ac:dyDescent="0.25">
      <c r="A227" s="7" t="s">
        <v>364</v>
      </c>
      <c r="B227" s="8">
        <v>3</v>
      </c>
      <c r="C227" s="8">
        <v>594</v>
      </c>
      <c r="D227" s="8">
        <v>2</v>
      </c>
    </row>
    <row r="228" spans="1:4" x14ac:dyDescent="0.25">
      <c r="A228" s="7" t="s">
        <v>1216</v>
      </c>
      <c r="B228" s="8">
        <v>1</v>
      </c>
      <c r="C228" s="8">
        <v>170</v>
      </c>
      <c r="D228" s="8">
        <v>1</v>
      </c>
    </row>
    <row r="229" spans="1:4" x14ac:dyDescent="0.25">
      <c r="A229" s="7" t="s">
        <v>817</v>
      </c>
      <c r="B229" s="8">
        <v>2</v>
      </c>
      <c r="C229" s="8">
        <v>96</v>
      </c>
      <c r="D229" s="8">
        <v>1</v>
      </c>
    </row>
    <row r="230" spans="1:4" x14ac:dyDescent="0.25">
      <c r="A230" s="7" t="s">
        <v>1066</v>
      </c>
      <c r="B230" s="8">
        <v>1</v>
      </c>
      <c r="C230" s="8">
        <v>266</v>
      </c>
      <c r="D230" s="8">
        <v>1</v>
      </c>
    </row>
    <row r="231" spans="1:4" x14ac:dyDescent="0.25">
      <c r="A231" s="7" t="s">
        <v>486</v>
      </c>
      <c r="B231" s="8">
        <v>1</v>
      </c>
      <c r="C231" s="8">
        <v>561</v>
      </c>
      <c r="D231" s="8">
        <v>1</v>
      </c>
    </row>
    <row r="232" spans="1:4" x14ac:dyDescent="0.25">
      <c r="A232" s="7" t="s">
        <v>1014</v>
      </c>
      <c r="B232" s="8">
        <v>1</v>
      </c>
      <c r="C232" s="8">
        <v>51</v>
      </c>
      <c r="D232" s="8">
        <v>1</v>
      </c>
    </row>
    <row r="233" spans="1:4" x14ac:dyDescent="0.25">
      <c r="A233" s="7" t="s">
        <v>1112</v>
      </c>
      <c r="B233" s="8">
        <v>1</v>
      </c>
      <c r="C233" s="8">
        <v>206</v>
      </c>
      <c r="D233" s="8">
        <v>1</v>
      </c>
    </row>
    <row r="234" spans="1:4" x14ac:dyDescent="0.25">
      <c r="A234" s="7" t="s">
        <v>290</v>
      </c>
      <c r="B234" s="8">
        <v>1</v>
      </c>
      <c r="C234" s="8">
        <v>55</v>
      </c>
      <c r="D234" s="8">
        <v>1</v>
      </c>
    </row>
    <row r="235" spans="1:4" x14ac:dyDescent="0.25">
      <c r="A235" s="7" t="s">
        <v>289</v>
      </c>
      <c r="B235" s="8">
        <v>2</v>
      </c>
      <c r="C235" s="8">
        <v>137</v>
      </c>
      <c r="D235" s="8">
        <v>2</v>
      </c>
    </row>
    <row r="236" spans="1:4" x14ac:dyDescent="0.25">
      <c r="A236" s="7" t="s">
        <v>989</v>
      </c>
      <c r="B236" s="8">
        <v>4</v>
      </c>
      <c r="C236" s="8">
        <v>204</v>
      </c>
      <c r="D236" s="8">
        <v>2</v>
      </c>
    </row>
    <row r="237" spans="1:4" x14ac:dyDescent="0.25">
      <c r="A237" s="7" t="s">
        <v>748</v>
      </c>
      <c r="B237" s="8">
        <v>2</v>
      </c>
      <c r="C237" s="8">
        <v>78</v>
      </c>
      <c r="D237" s="8">
        <v>2</v>
      </c>
    </row>
    <row r="238" spans="1:4" x14ac:dyDescent="0.25">
      <c r="A238" s="7" t="s">
        <v>680</v>
      </c>
      <c r="B238" s="8">
        <v>1</v>
      </c>
      <c r="C238" s="8">
        <v>339</v>
      </c>
      <c r="D238" s="8">
        <v>1</v>
      </c>
    </row>
    <row r="239" spans="1:4" x14ac:dyDescent="0.25">
      <c r="A239" s="7" t="s">
        <v>972</v>
      </c>
      <c r="B239" s="8">
        <v>1</v>
      </c>
      <c r="C239" s="8">
        <v>253</v>
      </c>
      <c r="D239" s="8">
        <v>1</v>
      </c>
    </row>
    <row r="240" spans="1:4" x14ac:dyDescent="0.25">
      <c r="A240" s="7" t="s">
        <v>1215</v>
      </c>
      <c r="B240" s="8">
        <v>1</v>
      </c>
      <c r="C240" s="8">
        <v>29</v>
      </c>
      <c r="D240" s="8">
        <v>1</v>
      </c>
    </row>
    <row r="241" spans="1:4" x14ac:dyDescent="0.25">
      <c r="A241" s="7" t="s">
        <v>420</v>
      </c>
      <c r="B241" s="8">
        <v>1</v>
      </c>
      <c r="C241" s="8">
        <v>375</v>
      </c>
      <c r="D241" s="8">
        <v>1</v>
      </c>
    </row>
    <row r="242" spans="1:4" x14ac:dyDescent="0.25">
      <c r="A242" s="7" t="s">
        <v>652</v>
      </c>
      <c r="B242" s="8">
        <v>0.1</v>
      </c>
      <c r="C242" s="8">
        <v>61.000000000000007</v>
      </c>
      <c r="D242" s="8">
        <v>1</v>
      </c>
    </row>
    <row r="243" spans="1:4" x14ac:dyDescent="0.25">
      <c r="A243" s="7" t="s">
        <v>947</v>
      </c>
      <c r="B243" s="8">
        <v>1</v>
      </c>
      <c r="C243" s="8">
        <v>153</v>
      </c>
      <c r="D243" s="8">
        <v>1</v>
      </c>
    </row>
    <row r="244" spans="1:4" x14ac:dyDescent="0.25">
      <c r="A244" s="7" t="s">
        <v>464</v>
      </c>
      <c r="B244" s="8">
        <v>2</v>
      </c>
      <c r="C244" s="8">
        <v>563</v>
      </c>
      <c r="D244" s="8">
        <v>2</v>
      </c>
    </row>
    <row r="245" spans="1:4" x14ac:dyDescent="0.25">
      <c r="A245" s="7" t="s">
        <v>634</v>
      </c>
      <c r="B245" s="8">
        <v>1</v>
      </c>
      <c r="C245" s="8">
        <v>189</v>
      </c>
      <c r="D245" s="8">
        <v>1</v>
      </c>
    </row>
    <row r="246" spans="1:4" x14ac:dyDescent="0.25">
      <c r="A246" s="7" t="s">
        <v>520</v>
      </c>
      <c r="B246" s="8">
        <v>5</v>
      </c>
      <c r="C246" s="8">
        <v>236</v>
      </c>
      <c r="D246" s="8">
        <v>2</v>
      </c>
    </row>
    <row r="247" spans="1:4" x14ac:dyDescent="0.25">
      <c r="A247" s="7" t="s">
        <v>1110</v>
      </c>
      <c r="B247" s="8">
        <v>5</v>
      </c>
      <c r="C247" s="8">
        <v>71</v>
      </c>
      <c r="D247" s="8">
        <v>1</v>
      </c>
    </row>
    <row r="248" spans="1:4" x14ac:dyDescent="0.25">
      <c r="A248" s="7" t="s">
        <v>312</v>
      </c>
      <c r="B248" s="8">
        <v>3</v>
      </c>
      <c r="C248" s="8">
        <v>684</v>
      </c>
      <c r="D248" s="8">
        <v>3</v>
      </c>
    </row>
    <row r="249" spans="1:4" x14ac:dyDescent="0.25">
      <c r="A249" s="7" t="s">
        <v>1028</v>
      </c>
      <c r="B249" s="8">
        <v>1</v>
      </c>
      <c r="C249" s="8">
        <v>1975</v>
      </c>
      <c r="D249" s="8">
        <v>1</v>
      </c>
    </row>
    <row r="250" spans="1:4" x14ac:dyDescent="0.25">
      <c r="A250" s="7" t="s">
        <v>684</v>
      </c>
      <c r="B250" s="8">
        <v>2</v>
      </c>
      <c r="C250" s="8">
        <v>430</v>
      </c>
      <c r="D250" s="8">
        <v>2</v>
      </c>
    </row>
    <row r="251" spans="1:4" x14ac:dyDescent="0.25">
      <c r="A251" s="7" t="s">
        <v>553</v>
      </c>
      <c r="B251" s="8">
        <v>3</v>
      </c>
      <c r="C251" s="8">
        <v>1225</v>
      </c>
      <c r="D251" s="8">
        <v>3</v>
      </c>
    </row>
    <row r="252" spans="1:4" x14ac:dyDescent="0.25">
      <c r="A252" s="7" t="s">
        <v>655</v>
      </c>
      <c r="B252" s="8">
        <v>1</v>
      </c>
      <c r="C252" s="8">
        <v>383</v>
      </c>
      <c r="D252" s="8">
        <v>1</v>
      </c>
    </row>
    <row r="253" spans="1:4" x14ac:dyDescent="0.25">
      <c r="A253" s="7" t="s">
        <v>596</v>
      </c>
      <c r="B253" s="8">
        <v>1</v>
      </c>
      <c r="C253" s="8">
        <v>573</v>
      </c>
      <c r="D253" s="8">
        <v>1</v>
      </c>
    </row>
    <row r="254" spans="1:4" x14ac:dyDescent="0.25">
      <c r="A254" s="7" t="s">
        <v>1055</v>
      </c>
      <c r="B254" s="8">
        <v>1</v>
      </c>
      <c r="C254" s="8">
        <v>1032.9100000000001</v>
      </c>
      <c r="D254" s="8">
        <v>1</v>
      </c>
    </row>
    <row r="255" spans="1:4" x14ac:dyDescent="0.25">
      <c r="A255" s="7" t="s">
        <v>953</v>
      </c>
      <c r="B255" s="8">
        <v>1</v>
      </c>
      <c r="C255" s="8">
        <v>1065</v>
      </c>
      <c r="D255" s="8">
        <v>1</v>
      </c>
    </row>
    <row r="256" spans="1:4" x14ac:dyDescent="0.25">
      <c r="A256" s="7" t="s">
        <v>130</v>
      </c>
      <c r="B256" s="8">
        <v>2</v>
      </c>
      <c r="C256" s="8">
        <v>919</v>
      </c>
      <c r="D256" s="8">
        <v>2</v>
      </c>
    </row>
    <row r="257" spans="1:4" x14ac:dyDescent="0.25">
      <c r="A257" s="7" t="s">
        <v>258</v>
      </c>
      <c r="B257" s="8">
        <v>1</v>
      </c>
      <c r="C257" s="8">
        <v>104</v>
      </c>
      <c r="D257" s="8">
        <v>1</v>
      </c>
    </row>
    <row r="258" spans="1:4" x14ac:dyDescent="0.25">
      <c r="A258" s="7" t="s">
        <v>1042</v>
      </c>
      <c r="B258" s="8">
        <v>1</v>
      </c>
      <c r="C258" s="8">
        <v>524</v>
      </c>
      <c r="D258" s="8">
        <v>1</v>
      </c>
    </row>
    <row r="259" spans="1:4" x14ac:dyDescent="0.25">
      <c r="A259" s="7" t="s">
        <v>710</v>
      </c>
      <c r="B259" s="8">
        <v>1</v>
      </c>
      <c r="C259" s="8">
        <v>572</v>
      </c>
      <c r="D259" s="8">
        <v>1</v>
      </c>
    </row>
    <row r="260" spans="1:4" x14ac:dyDescent="0.25">
      <c r="A260" s="7" t="s">
        <v>551</v>
      </c>
      <c r="B260" s="8">
        <v>3</v>
      </c>
      <c r="C260" s="8">
        <v>2676.89</v>
      </c>
      <c r="D260" s="8">
        <v>1</v>
      </c>
    </row>
    <row r="261" spans="1:4" x14ac:dyDescent="0.25">
      <c r="A261" s="7" t="s">
        <v>1177</v>
      </c>
      <c r="B261" s="8">
        <v>1</v>
      </c>
      <c r="C261" s="8">
        <v>339</v>
      </c>
      <c r="D261" s="8">
        <v>1</v>
      </c>
    </row>
    <row r="262" spans="1:4" x14ac:dyDescent="0.25">
      <c r="A262" s="7" t="s">
        <v>57</v>
      </c>
      <c r="B262" s="8">
        <v>1</v>
      </c>
      <c r="C262" s="8">
        <v>537</v>
      </c>
      <c r="D262" s="8">
        <v>1</v>
      </c>
    </row>
    <row r="263" spans="1:4" x14ac:dyDescent="0.25">
      <c r="A263" s="7" t="s">
        <v>969</v>
      </c>
      <c r="B263" s="8">
        <v>1</v>
      </c>
      <c r="C263" s="8">
        <v>76</v>
      </c>
      <c r="D263" s="8">
        <v>1</v>
      </c>
    </row>
    <row r="264" spans="1:4" x14ac:dyDescent="0.25">
      <c r="A264" s="7" t="s">
        <v>401</v>
      </c>
      <c r="B264" s="8">
        <v>1</v>
      </c>
      <c r="C264" s="8">
        <v>78</v>
      </c>
      <c r="D264" s="8">
        <v>1</v>
      </c>
    </row>
    <row r="265" spans="1:4" x14ac:dyDescent="0.25">
      <c r="A265" s="7" t="s">
        <v>404</v>
      </c>
      <c r="B265" s="8">
        <v>1</v>
      </c>
      <c r="C265" s="8">
        <v>176</v>
      </c>
      <c r="D265" s="8">
        <v>1</v>
      </c>
    </row>
    <row r="266" spans="1:4" x14ac:dyDescent="0.25">
      <c r="A266" s="7" t="s">
        <v>1015</v>
      </c>
      <c r="B266" s="8">
        <v>2</v>
      </c>
      <c r="C266" s="8">
        <v>200</v>
      </c>
      <c r="D266" s="8">
        <v>1</v>
      </c>
    </row>
    <row r="267" spans="1:4" x14ac:dyDescent="0.25">
      <c r="A267" s="7" t="s">
        <v>1133</v>
      </c>
      <c r="B267" s="8">
        <v>1</v>
      </c>
      <c r="C267" s="8">
        <v>243</v>
      </c>
      <c r="D267" s="8">
        <v>1</v>
      </c>
    </row>
    <row r="268" spans="1:4" x14ac:dyDescent="0.25">
      <c r="A268" s="7" t="s">
        <v>1058</v>
      </c>
      <c r="B268" s="8">
        <v>1</v>
      </c>
      <c r="C268" s="8">
        <v>251</v>
      </c>
      <c r="D268" s="8">
        <v>1</v>
      </c>
    </row>
    <row r="269" spans="1:4" x14ac:dyDescent="0.25">
      <c r="A269" s="7" t="s">
        <v>658</v>
      </c>
      <c r="B269" s="8">
        <v>1</v>
      </c>
      <c r="C269" s="8">
        <v>127</v>
      </c>
      <c r="D269" s="8">
        <v>1</v>
      </c>
    </row>
    <row r="270" spans="1:4" x14ac:dyDescent="0.25">
      <c r="A270" s="7" t="s">
        <v>613</v>
      </c>
      <c r="B270" s="8">
        <v>1</v>
      </c>
      <c r="C270" s="8">
        <v>141</v>
      </c>
      <c r="D270" s="8">
        <v>1</v>
      </c>
    </row>
    <row r="271" spans="1:4" x14ac:dyDescent="0.25">
      <c r="A271" s="7" t="s">
        <v>316</v>
      </c>
      <c r="B271" s="8">
        <v>1</v>
      </c>
      <c r="C271" s="8">
        <v>124</v>
      </c>
      <c r="D271" s="8">
        <v>1</v>
      </c>
    </row>
    <row r="272" spans="1:4" x14ac:dyDescent="0.25">
      <c r="A272" s="7" t="s">
        <v>241</v>
      </c>
      <c r="B272" s="8">
        <v>4</v>
      </c>
      <c r="C272" s="8">
        <v>696</v>
      </c>
      <c r="D272" s="8">
        <v>4</v>
      </c>
    </row>
    <row r="273" spans="1:4" x14ac:dyDescent="0.25">
      <c r="A273" s="7" t="s">
        <v>333</v>
      </c>
      <c r="B273" s="8">
        <v>3</v>
      </c>
      <c r="C273" s="8">
        <v>101</v>
      </c>
      <c r="D273" s="8">
        <v>2</v>
      </c>
    </row>
    <row r="274" spans="1:4" x14ac:dyDescent="0.25">
      <c r="A274" s="7" t="s">
        <v>463</v>
      </c>
      <c r="B274" s="8">
        <v>1</v>
      </c>
      <c r="C274" s="8">
        <v>93</v>
      </c>
      <c r="D274" s="8">
        <v>1</v>
      </c>
    </row>
    <row r="275" spans="1:4" x14ac:dyDescent="0.25">
      <c r="A275" s="7" t="s">
        <v>1137</v>
      </c>
      <c r="B275" s="8">
        <v>1</v>
      </c>
      <c r="C275" s="8">
        <v>228</v>
      </c>
      <c r="D275" s="8">
        <v>1</v>
      </c>
    </row>
    <row r="276" spans="1:4" x14ac:dyDescent="0.25">
      <c r="A276" s="7" t="s">
        <v>128</v>
      </c>
      <c r="B276" s="8">
        <v>3</v>
      </c>
      <c r="C276" s="8">
        <v>2173</v>
      </c>
      <c r="D276" s="8">
        <v>3</v>
      </c>
    </row>
    <row r="277" spans="1:4" x14ac:dyDescent="0.25">
      <c r="A277" s="7" t="s">
        <v>581</v>
      </c>
      <c r="B277" s="8">
        <v>1</v>
      </c>
      <c r="C277" s="8">
        <v>218</v>
      </c>
      <c r="D277" s="8">
        <v>1</v>
      </c>
    </row>
    <row r="278" spans="1:4" x14ac:dyDescent="0.25">
      <c r="A278" s="7" t="s">
        <v>877</v>
      </c>
      <c r="B278" s="8">
        <v>1</v>
      </c>
      <c r="C278" s="8">
        <v>104</v>
      </c>
      <c r="D278" s="8">
        <v>1</v>
      </c>
    </row>
    <row r="279" spans="1:4" x14ac:dyDescent="0.25">
      <c r="A279" s="7" t="s">
        <v>390</v>
      </c>
      <c r="B279" s="8">
        <v>2</v>
      </c>
      <c r="C279" s="8">
        <v>62</v>
      </c>
      <c r="D279" s="8">
        <v>1</v>
      </c>
    </row>
    <row r="280" spans="1:4" x14ac:dyDescent="0.25">
      <c r="A280" s="7" t="s">
        <v>379</v>
      </c>
      <c r="B280" s="8">
        <v>2</v>
      </c>
      <c r="C280" s="8">
        <v>170</v>
      </c>
      <c r="D280" s="8">
        <v>1</v>
      </c>
    </row>
    <row r="281" spans="1:4" x14ac:dyDescent="0.25">
      <c r="A281" s="7" t="s">
        <v>780</v>
      </c>
      <c r="B281" s="8">
        <v>1</v>
      </c>
      <c r="C281" s="8">
        <v>114</v>
      </c>
      <c r="D281" s="8">
        <v>1</v>
      </c>
    </row>
    <row r="282" spans="1:4" x14ac:dyDescent="0.25">
      <c r="A282" s="7" t="s">
        <v>1084</v>
      </c>
      <c r="B282" s="8">
        <v>1</v>
      </c>
      <c r="C282" s="8">
        <v>117</v>
      </c>
      <c r="D282" s="8">
        <v>1</v>
      </c>
    </row>
    <row r="283" spans="1:4" x14ac:dyDescent="0.25">
      <c r="A283" s="7" t="s">
        <v>521</v>
      </c>
      <c r="B283" s="8">
        <v>3</v>
      </c>
      <c r="C283" s="8">
        <v>209</v>
      </c>
      <c r="D283" s="8">
        <v>2</v>
      </c>
    </row>
    <row r="284" spans="1:4" x14ac:dyDescent="0.25">
      <c r="A284" s="7" t="s">
        <v>428</v>
      </c>
      <c r="B284" s="8">
        <v>2</v>
      </c>
      <c r="C284" s="8">
        <v>3439</v>
      </c>
      <c r="D284" s="8">
        <v>1</v>
      </c>
    </row>
    <row r="285" spans="1:4" x14ac:dyDescent="0.25">
      <c r="A285" s="7" t="s">
        <v>660</v>
      </c>
      <c r="B285" s="8">
        <v>1</v>
      </c>
      <c r="C285" s="8">
        <v>1084.3600000000001</v>
      </c>
      <c r="D285" s="8">
        <v>1</v>
      </c>
    </row>
    <row r="286" spans="1:4" x14ac:dyDescent="0.25">
      <c r="A286" s="7" t="s">
        <v>90</v>
      </c>
      <c r="B286" s="8">
        <v>2</v>
      </c>
      <c r="C286" s="8">
        <v>103</v>
      </c>
      <c r="D286" s="8">
        <v>2</v>
      </c>
    </row>
    <row r="287" spans="1:4" x14ac:dyDescent="0.25">
      <c r="A287" s="7" t="s">
        <v>382</v>
      </c>
      <c r="B287" s="8">
        <v>2</v>
      </c>
      <c r="C287" s="8">
        <v>142</v>
      </c>
      <c r="D287" s="8">
        <v>2</v>
      </c>
    </row>
    <row r="288" spans="1:4" x14ac:dyDescent="0.25">
      <c r="A288" s="7" t="s">
        <v>995</v>
      </c>
      <c r="B288" s="8">
        <v>1</v>
      </c>
      <c r="C288" s="8">
        <v>172</v>
      </c>
      <c r="D288" s="8">
        <v>1</v>
      </c>
    </row>
    <row r="289" spans="1:4" x14ac:dyDescent="0.25">
      <c r="A289" s="7" t="s">
        <v>929</v>
      </c>
      <c r="B289" s="8">
        <v>1</v>
      </c>
      <c r="C289" s="8">
        <v>262</v>
      </c>
      <c r="D289" s="8">
        <v>1</v>
      </c>
    </row>
    <row r="290" spans="1:4" x14ac:dyDescent="0.25">
      <c r="A290" s="7" t="s">
        <v>1025</v>
      </c>
      <c r="B290" s="8">
        <v>1</v>
      </c>
      <c r="C290" s="8">
        <v>133</v>
      </c>
      <c r="D290" s="8">
        <v>1</v>
      </c>
    </row>
    <row r="291" spans="1:4" x14ac:dyDescent="0.25">
      <c r="A291" s="7" t="s">
        <v>979</v>
      </c>
      <c r="B291" s="8">
        <v>5</v>
      </c>
      <c r="C291" s="8">
        <v>120</v>
      </c>
      <c r="D291" s="8">
        <v>2</v>
      </c>
    </row>
    <row r="292" spans="1:4" x14ac:dyDescent="0.25">
      <c r="A292" s="7" t="s">
        <v>140</v>
      </c>
      <c r="B292" s="8">
        <v>2</v>
      </c>
      <c r="C292" s="8">
        <v>76</v>
      </c>
      <c r="D292" s="8">
        <v>2</v>
      </c>
    </row>
    <row r="293" spans="1:4" x14ac:dyDescent="0.25">
      <c r="A293" s="7" t="s">
        <v>1185</v>
      </c>
      <c r="B293" s="8">
        <v>2</v>
      </c>
      <c r="C293" s="8">
        <v>349</v>
      </c>
      <c r="D293" s="8">
        <v>1</v>
      </c>
    </row>
    <row r="294" spans="1:4" x14ac:dyDescent="0.25">
      <c r="A294" s="7" t="s">
        <v>778</v>
      </c>
      <c r="B294" s="8">
        <v>1</v>
      </c>
      <c r="C294" s="8">
        <v>1170</v>
      </c>
      <c r="D294" s="8">
        <v>1</v>
      </c>
    </row>
    <row r="295" spans="1:4" x14ac:dyDescent="0.25">
      <c r="A295" s="7" t="s">
        <v>70</v>
      </c>
      <c r="B295" s="8">
        <v>1</v>
      </c>
      <c r="C295" s="8">
        <v>496</v>
      </c>
      <c r="D295" s="8">
        <v>1</v>
      </c>
    </row>
    <row r="296" spans="1:4" x14ac:dyDescent="0.25">
      <c r="A296" s="7" t="s">
        <v>669</v>
      </c>
      <c r="B296" s="8">
        <v>1</v>
      </c>
      <c r="C296" s="8">
        <v>122</v>
      </c>
      <c r="D296" s="8">
        <v>1</v>
      </c>
    </row>
    <row r="297" spans="1:4" x14ac:dyDescent="0.25">
      <c r="A297" s="7" t="s">
        <v>1188</v>
      </c>
      <c r="B297" s="8">
        <v>2</v>
      </c>
      <c r="C297" s="8">
        <v>274</v>
      </c>
      <c r="D297" s="8">
        <v>1</v>
      </c>
    </row>
    <row r="298" spans="1:4" x14ac:dyDescent="0.25">
      <c r="A298" s="7" t="s">
        <v>381</v>
      </c>
      <c r="B298" s="8">
        <v>2</v>
      </c>
      <c r="C298" s="8">
        <v>76</v>
      </c>
      <c r="D298" s="8">
        <v>1</v>
      </c>
    </row>
    <row r="299" spans="1:4" x14ac:dyDescent="0.25">
      <c r="A299" s="7" t="s">
        <v>387</v>
      </c>
      <c r="B299" s="8">
        <v>1</v>
      </c>
      <c r="C299" s="8">
        <v>1416</v>
      </c>
      <c r="D299" s="8">
        <v>1</v>
      </c>
    </row>
    <row r="300" spans="1:4" x14ac:dyDescent="0.25">
      <c r="A300" s="7" t="s">
        <v>857</v>
      </c>
      <c r="B300" s="8">
        <v>2</v>
      </c>
      <c r="C300" s="8">
        <v>1192</v>
      </c>
      <c r="D300" s="8">
        <v>2</v>
      </c>
    </row>
    <row r="301" spans="1:4" x14ac:dyDescent="0.25">
      <c r="A301" s="7" t="s">
        <v>889</v>
      </c>
      <c r="B301" s="8">
        <v>1</v>
      </c>
      <c r="C301" s="8">
        <v>742</v>
      </c>
      <c r="D301" s="8">
        <v>1</v>
      </c>
    </row>
    <row r="302" spans="1:4" x14ac:dyDescent="0.25">
      <c r="A302" s="7" t="s">
        <v>782</v>
      </c>
      <c r="B302" s="8">
        <v>2</v>
      </c>
      <c r="C302" s="8">
        <v>346</v>
      </c>
      <c r="D302" s="8">
        <v>1</v>
      </c>
    </row>
    <row r="303" spans="1:4" x14ac:dyDescent="0.25">
      <c r="A303" s="7" t="s">
        <v>975</v>
      </c>
      <c r="B303" s="8">
        <v>2</v>
      </c>
      <c r="C303" s="8">
        <v>86</v>
      </c>
      <c r="D303" s="8">
        <v>1</v>
      </c>
    </row>
    <row r="304" spans="1:4" x14ac:dyDescent="0.25">
      <c r="A304" s="7" t="s">
        <v>201</v>
      </c>
      <c r="B304" s="8">
        <v>2</v>
      </c>
      <c r="C304" s="8">
        <v>256</v>
      </c>
      <c r="D304" s="8">
        <v>1</v>
      </c>
    </row>
    <row r="305" spans="1:4" x14ac:dyDescent="0.25">
      <c r="A305" s="7" t="s">
        <v>1073</v>
      </c>
      <c r="B305" s="8">
        <v>1</v>
      </c>
      <c r="C305" s="8">
        <v>152.96</v>
      </c>
      <c r="D305" s="8">
        <v>1</v>
      </c>
    </row>
    <row r="306" spans="1:4" x14ac:dyDescent="0.25">
      <c r="A306" s="7" t="s">
        <v>1103</v>
      </c>
      <c r="B306" s="8">
        <v>1</v>
      </c>
      <c r="C306" s="8">
        <v>123</v>
      </c>
      <c r="D306" s="8">
        <v>1</v>
      </c>
    </row>
    <row r="307" spans="1:4" x14ac:dyDescent="0.25">
      <c r="A307" s="7" t="s">
        <v>1180</v>
      </c>
      <c r="B307" s="8">
        <v>1</v>
      </c>
      <c r="C307" s="8">
        <v>467</v>
      </c>
      <c r="D307" s="8">
        <v>1</v>
      </c>
    </row>
    <row r="308" spans="1:4" x14ac:dyDescent="0.25">
      <c r="A308" s="7" t="s">
        <v>1122</v>
      </c>
      <c r="B308" s="8">
        <v>1</v>
      </c>
      <c r="C308" s="8">
        <v>268</v>
      </c>
      <c r="D308" s="8">
        <v>1</v>
      </c>
    </row>
    <row r="309" spans="1:4" x14ac:dyDescent="0.25">
      <c r="A309" s="7" t="s">
        <v>143</v>
      </c>
      <c r="B309" s="8">
        <v>12</v>
      </c>
      <c r="C309" s="8">
        <v>0.11999999999999998</v>
      </c>
      <c r="D309" s="8">
        <v>5</v>
      </c>
    </row>
    <row r="310" spans="1:4" x14ac:dyDescent="0.25">
      <c r="A310" s="7" t="s">
        <v>994</v>
      </c>
      <c r="B310" s="8">
        <v>2</v>
      </c>
      <c r="C310" s="8">
        <v>50</v>
      </c>
      <c r="D310" s="8">
        <v>2</v>
      </c>
    </row>
    <row r="311" spans="1:4" x14ac:dyDescent="0.25">
      <c r="A311" s="7" t="s">
        <v>461</v>
      </c>
      <c r="B311" s="8">
        <v>1</v>
      </c>
      <c r="C311" s="8">
        <v>585</v>
      </c>
      <c r="D311" s="8">
        <v>1</v>
      </c>
    </row>
    <row r="312" spans="1:4" x14ac:dyDescent="0.25">
      <c r="A312" s="7" t="s">
        <v>861</v>
      </c>
      <c r="B312" s="8">
        <v>2</v>
      </c>
      <c r="C312" s="8">
        <v>379</v>
      </c>
      <c r="D312" s="8">
        <v>1</v>
      </c>
    </row>
    <row r="313" spans="1:4" x14ac:dyDescent="0.25">
      <c r="A313" s="7" t="s">
        <v>841</v>
      </c>
      <c r="B313" s="8">
        <v>1</v>
      </c>
      <c r="C313" s="8">
        <v>726</v>
      </c>
      <c r="D313" s="8">
        <v>1</v>
      </c>
    </row>
    <row r="314" spans="1:4" x14ac:dyDescent="0.25">
      <c r="A314" s="7" t="s">
        <v>111</v>
      </c>
      <c r="B314" s="8">
        <v>1</v>
      </c>
      <c r="C314" s="8">
        <v>235</v>
      </c>
      <c r="D314" s="8">
        <v>1</v>
      </c>
    </row>
    <row r="315" spans="1:4" x14ac:dyDescent="0.25">
      <c r="A315" s="7" t="s">
        <v>414</v>
      </c>
      <c r="B315" s="8">
        <v>1</v>
      </c>
      <c r="C315" s="8">
        <v>272</v>
      </c>
      <c r="D315" s="8">
        <v>1</v>
      </c>
    </row>
    <row r="316" spans="1:4" x14ac:dyDescent="0.25">
      <c r="A316" s="7" t="s">
        <v>439</v>
      </c>
      <c r="B316" s="8">
        <v>1</v>
      </c>
      <c r="C316" s="8">
        <v>131</v>
      </c>
      <c r="D316" s="8">
        <v>1</v>
      </c>
    </row>
    <row r="317" spans="1:4" x14ac:dyDescent="0.25">
      <c r="A317" s="7" t="s">
        <v>411</v>
      </c>
      <c r="B317" s="8">
        <v>6</v>
      </c>
      <c r="C317" s="8">
        <v>438</v>
      </c>
      <c r="D317" s="8">
        <v>4</v>
      </c>
    </row>
    <row r="318" spans="1:4" x14ac:dyDescent="0.25">
      <c r="A318" s="7" t="s">
        <v>1158</v>
      </c>
      <c r="B318" s="8">
        <v>1</v>
      </c>
      <c r="C318" s="8">
        <v>39</v>
      </c>
      <c r="D318" s="8">
        <v>1</v>
      </c>
    </row>
    <row r="319" spans="1:4" x14ac:dyDescent="0.25">
      <c r="A319" s="7" t="s">
        <v>1157</v>
      </c>
      <c r="B319" s="8">
        <v>1</v>
      </c>
      <c r="C319" s="8">
        <v>74</v>
      </c>
      <c r="D319" s="8">
        <v>1</v>
      </c>
    </row>
    <row r="320" spans="1:4" x14ac:dyDescent="0.25">
      <c r="A320" s="7" t="s">
        <v>772</v>
      </c>
      <c r="B320" s="8">
        <v>1</v>
      </c>
      <c r="C320" s="8">
        <v>388</v>
      </c>
      <c r="D320" s="8">
        <v>1</v>
      </c>
    </row>
    <row r="321" spans="1:4" x14ac:dyDescent="0.25">
      <c r="A321" s="7" t="s">
        <v>843</v>
      </c>
      <c r="B321" s="8">
        <v>1</v>
      </c>
      <c r="C321" s="8">
        <v>313</v>
      </c>
      <c r="D321" s="8">
        <v>1</v>
      </c>
    </row>
    <row r="322" spans="1:4" x14ac:dyDescent="0.25">
      <c r="A322" s="7" t="s">
        <v>692</v>
      </c>
      <c r="B322" s="8">
        <v>2</v>
      </c>
      <c r="C322" s="8">
        <v>950</v>
      </c>
      <c r="D322" s="8">
        <v>1</v>
      </c>
    </row>
    <row r="323" spans="1:4" x14ac:dyDescent="0.25">
      <c r="A323" s="7" t="s">
        <v>187</v>
      </c>
      <c r="B323" s="8">
        <v>1</v>
      </c>
      <c r="C323" s="8">
        <v>115</v>
      </c>
      <c r="D323" s="8">
        <v>1</v>
      </c>
    </row>
    <row r="324" spans="1:4" x14ac:dyDescent="0.25">
      <c r="A324" s="7" t="s">
        <v>36</v>
      </c>
      <c r="B324" s="8">
        <v>4</v>
      </c>
      <c r="C324" s="8">
        <v>1760</v>
      </c>
      <c r="D324" s="8">
        <v>4</v>
      </c>
    </row>
    <row r="325" spans="1:4" x14ac:dyDescent="0.25">
      <c r="A325" s="7" t="s">
        <v>53</v>
      </c>
      <c r="B325" s="8">
        <v>1</v>
      </c>
      <c r="C325" s="8">
        <v>123</v>
      </c>
      <c r="D325" s="8">
        <v>1</v>
      </c>
    </row>
    <row r="326" spans="1:4" x14ac:dyDescent="0.25">
      <c r="A326" s="7" t="s">
        <v>38</v>
      </c>
      <c r="B326" s="8">
        <v>1</v>
      </c>
      <c r="C326" s="8">
        <v>645</v>
      </c>
      <c r="D326" s="8">
        <v>1</v>
      </c>
    </row>
    <row r="327" spans="1:4" x14ac:dyDescent="0.25">
      <c r="A327" s="7" t="s">
        <v>1198</v>
      </c>
      <c r="B327" s="8">
        <v>1</v>
      </c>
      <c r="C327" s="8">
        <v>390</v>
      </c>
      <c r="D327" s="8">
        <v>1</v>
      </c>
    </row>
    <row r="328" spans="1:4" x14ac:dyDescent="0.25">
      <c r="A328" s="7" t="s">
        <v>1149</v>
      </c>
      <c r="B328" s="8">
        <v>1</v>
      </c>
      <c r="C328" s="8">
        <v>240</v>
      </c>
      <c r="D328" s="8">
        <v>1</v>
      </c>
    </row>
    <row r="329" spans="1:4" x14ac:dyDescent="0.25">
      <c r="A329" s="7" t="s">
        <v>283</v>
      </c>
      <c r="B329" s="8">
        <v>1</v>
      </c>
      <c r="C329" s="8">
        <v>1260</v>
      </c>
      <c r="D329" s="8">
        <v>1</v>
      </c>
    </row>
    <row r="330" spans="1:4" x14ac:dyDescent="0.25">
      <c r="A330" s="7" t="s">
        <v>337</v>
      </c>
      <c r="B330" s="8">
        <v>3</v>
      </c>
      <c r="C330" s="8">
        <v>522</v>
      </c>
      <c r="D330" s="8">
        <v>1</v>
      </c>
    </row>
    <row r="331" spans="1:4" x14ac:dyDescent="0.25">
      <c r="A331" s="7" t="s">
        <v>936</v>
      </c>
      <c r="B331" s="8">
        <v>1</v>
      </c>
      <c r="C331" s="8">
        <v>237</v>
      </c>
      <c r="D331" s="8">
        <v>1</v>
      </c>
    </row>
    <row r="332" spans="1:4" x14ac:dyDescent="0.25">
      <c r="A332" s="7" t="s">
        <v>1213</v>
      </c>
      <c r="B332" s="8">
        <v>1</v>
      </c>
      <c r="C332" s="8">
        <v>1812</v>
      </c>
      <c r="D332" s="8">
        <v>1</v>
      </c>
    </row>
    <row r="333" spans="1:4" x14ac:dyDescent="0.25">
      <c r="A333" s="7" t="s">
        <v>280</v>
      </c>
      <c r="B333" s="8">
        <v>2</v>
      </c>
      <c r="C333" s="8">
        <v>668</v>
      </c>
      <c r="D333" s="8">
        <v>2</v>
      </c>
    </row>
    <row r="334" spans="1:4" x14ac:dyDescent="0.25">
      <c r="A334" s="7" t="s">
        <v>196</v>
      </c>
      <c r="B334" s="8">
        <v>1</v>
      </c>
      <c r="C334" s="8">
        <v>578</v>
      </c>
      <c r="D334" s="8">
        <v>1</v>
      </c>
    </row>
    <row r="335" spans="1:4" x14ac:dyDescent="0.25">
      <c r="A335" s="7" t="s">
        <v>924</v>
      </c>
      <c r="B335" s="8">
        <v>1</v>
      </c>
      <c r="C335" s="8">
        <v>214.44</v>
      </c>
      <c r="D335" s="8">
        <v>1</v>
      </c>
    </row>
    <row r="336" spans="1:4" x14ac:dyDescent="0.25">
      <c r="A336" s="7" t="s">
        <v>557</v>
      </c>
      <c r="B336" s="8">
        <v>1</v>
      </c>
      <c r="C336" s="8">
        <v>214</v>
      </c>
      <c r="D336" s="8">
        <v>1</v>
      </c>
    </row>
    <row r="337" spans="1:4" x14ac:dyDescent="0.25">
      <c r="A337" s="7" t="s">
        <v>1156</v>
      </c>
      <c r="B337" s="8">
        <v>1</v>
      </c>
      <c r="C337" s="8">
        <v>310.5</v>
      </c>
      <c r="D337" s="8">
        <v>1</v>
      </c>
    </row>
    <row r="338" spans="1:4" x14ac:dyDescent="0.25">
      <c r="A338" s="7" t="s">
        <v>365</v>
      </c>
      <c r="B338" s="8">
        <v>1</v>
      </c>
      <c r="C338" s="8">
        <v>197</v>
      </c>
      <c r="D338" s="8">
        <v>1</v>
      </c>
    </row>
    <row r="339" spans="1:4" x14ac:dyDescent="0.25">
      <c r="A339" s="7" t="s">
        <v>156</v>
      </c>
      <c r="B339" s="8">
        <v>9</v>
      </c>
      <c r="C339" s="8">
        <v>1370</v>
      </c>
      <c r="D339" s="8">
        <v>3</v>
      </c>
    </row>
    <row r="340" spans="1:4" x14ac:dyDescent="0.25">
      <c r="A340" s="7" t="s">
        <v>225</v>
      </c>
      <c r="B340" s="8">
        <v>11</v>
      </c>
      <c r="C340" s="8">
        <v>141</v>
      </c>
      <c r="D340" s="8">
        <v>4</v>
      </c>
    </row>
    <row r="341" spans="1:4" x14ac:dyDescent="0.25">
      <c r="A341" s="7" t="s">
        <v>440</v>
      </c>
      <c r="B341" s="8">
        <v>2</v>
      </c>
      <c r="C341" s="8">
        <v>26</v>
      </c>
      <c r="D341" s="8">
        <v>2</v>
      </c>
    </row>
    <row r="342" spans="1:4" x14ac:dyDescent="0.25">
      <c r="A342" s="7" t="s">
        <v>223</v>
      </c>
      <c r="B342" s="8">
        <v>3</v>
      </c>
      <c r="C342" s="8">
        <v>33</v>
      </c>
      <c r="D342" s="8">
        <v>1</v>
      </c>
    </row>
    <row r="343" spans="1:4" x14ac:dyDescent="0.25">
      <c r="A343" s="7" t="s">
        <v>663</v>
      </c>
      <c r="B343" s="8">
        <v>1</v>
      </c>
      <c r="C343" s="8">
        <v>614</v>
      </c>
      <c r="D343" s="8">
        <v>1</v>
      </c>
    </row>
    <row r="344" spans="1:4" x14ac:dyDescent="0.25">
      <c r="A344" s="7" t="s">
        <v>334</v>
      </c>
      <c r="B344" s="8">
        <v>14</v>
      </c>
      <c r="C344" s="8">
        <v>353</v>
      </c>
      <c r="D344" s="8">
        <v>4</v>
      </c>
    </row>
    <row r="345" spans="1:4" x14ac:dyDescent="0.25">
      <c r="A345" s="7" t="s">
        <v>724</v>
      </c>
      <c r="B345" s="8">
        <v>2</v>
      </c>
      <c r="C345" s="8">
        <v>292</v>
      </c>
      <c r="D345" s="8">
        <v>1</v>
      </c>
    </row>
    <row r="346" spans="1:4" x14ac:dyDescent="0.25">
      <c r="A346" s="7" t="s">
        <v>976</v>
      </c>
      <c r="B346" s="8">
        <v>1</v>
      </c>
      <c r="C346" s="8">
        <v>94</v>
      </c>
      <c r="D346" s="8">
        <v>1</v>
      </c>
    </row>
    <row r="347" spans="1:4" x14ac:dyDescent="0.25">
      <c r="A347" s="7" t="s">
        <v>873</v>
      </c>
      <c r="B347" s="8">
        <v>1</v>
      </c>
      <c r="C347" s="8">
        <v>398</v>
      </c>
      <c r="D347" s="8">
        <v>1</v>
      </c>
    </row>
    <row r="348" spans="1:4" x14ac:dyDescent="0.25">
      <c r="A348" s="7" t="s">
        <v>342</v>
      </c>
      <c r="B348" s="8">
        <v>2</v>
      </c>
      <c r="C348" s="8">
        <v>1625</v>
      </c>
      <c r="D348" s="8">
        <v>2</v>
      </c>
    </row>
    <row r="349" spans="1:4" x14ac:dyDescent="0.25">
      <c r="A349" s="7" t="s">
        <v>1032</v>
      </c>
      <c r="B349" s="8">
        <v>1</v>
      </c>
      <c r="C349" s="8">
        <v>245</v>
      </c>
      <c r="D349" s="8">
        <v>1</v>
      </c>
    </row>
    <row r="350" spans="1:4" x14ac:dyDescent="0.25">
      <c r="A350" s="7" t="s">
        <v>324</v>
      </c>
      <c r="B350" s="8">
        <v>3</v>
      </c>
      <c r="C350" s="8">
        <v>168</v>
      </c>
      <c r="D350" s="8">
        <v>2</v>
      </c>
    </row>
    <row r="351" spans="1:4" x14ac:dyDescent="0.25">
      <c r="A351" s="7" t="s">
        <v>1056</v>
      </c>
      <c r="B351" s="8">
        <v>1</v>
      </c>
      <c r="C351" s="8">
        <v>304</v>
      </c>
      <c r="D351" s="8">
        <v>1</v>
      </c>
    </row>
    <row r="352" spans="1:4" x14ac:dyDescent="0.25">
      <c r="A352" s="7" t="s">
        <v>808</v>
      </c>
      <c r="B352" s="8">
        <v>1</v>
      </c>
      <c r="C352" s="8">
        <v>592</v>
      </c>
      <c r="D352" s="8">
        <v>1</v>
      </c>
    </row>
    <row r="353" spans="1:4" x14ac:dyDescent="0.25">
      <c r="A353" s="7" t="s">
        <v>644</v>
      </c>
      <c r="B353" s="8">
        <v>1</v>
      </c>
      <c r="C353" s="8">
        <v>837</v>
      </c>
      <c r="D353" s="8">
        <v>1</v>
      </c>
    </row>
    <row r="354" spans="1:4" x14ac:dyDescent="0.25">
      <c r="A354" s="7" t="s">
        <v>376</v>
      </c>
      <c r="B354" s="8">
        <v>0.33333333999999998</v>
      </c>
      <c r="C354" s="8">
        <v>667.00001434000001</v>
      </c>
      <c r="D354" s="8">
        <v>1</v>
      </c>
    </row>
    <row r="355" spans="1:4" x14ac:dyDescent="0.25">
      <c r="A355" s="7" t="s">
        <v>317</v>
      </c>
      <c r="B355" s="8">
        <v>0.14285713999999999</v>
      </c>
      <c r="C355" s="8">
        <v>1385.9956834979998</v>
      </c>
      <c r="D355" s="8">
        <v>1</v>
      </c>
    </row>
    <row r="356" spans="1:4" x14ac:dyDescent="0.25">
      <c r="A356" s="7" t="s">
        <v>1222</v>
      </c>
      <c r="B356" s="8">
        <v>1</v>
      </c>
      <c r="C356" s="8">
        <v>29.9</v>
      </c>
      <c r="D356" s="8">
        <v>1</v>
      </c>
    </row>
    <row r="357" spans="1:4" x14ac:dyDescent="0.25">
      <c r="A357" s="7" t="s">
        <v>211</v>
      </c>
      <c r="B357" s="8">
        <v>1</v>
      </c>
      <c r="C357" s="8">
        <v>57</v>
      </c>
      <c r="D357" s="8">
        <v>1</v>
      </c>
    </row>
    <row r="358" spans="1:4" x14ac:dyDescent="0.25">
      <c r="A358" s="7" t="s">
        <v>42</v>
      </c>
      <c r="B358" s="8">
        <v>1</v>
      </c>
      <c r="C358" s="8">
        <v>284</v>
      </c>
      <c r="D358" s="8">
        <v>1</v>
      </c>
    </row>
    <row r="359" spans="1:4" x14ac:dyDescent="0.25">
      <c r="A359" s="7" t="s">
        <v>79</v>
      </c>
      <c r="B359" s="8">
        <v>2</v>
      </c>
      <c r="C359" s="8">
        <v>109.59</v>
      </c>
      <c r="D359" s="8">
        <v>2</v>
      </c>
    </row>
    <row r="360" spans="1:4" x14ac:dyDescent="0.25">
      <c r="A360" s="7" t="s">
        <v>907</v>
      </c>
      <c r="B360" s="8">
        <v>1</v>
      </c>
      <c r="C360" s="8">
        <v>418</v>
      </c>
      <c r="D360" s="8">
        <v>1</v>
      </c>
    </row>
    <row r="361" spans="1:4" x14ac:dyDescent="0.25">
      <c r="A361" s="7" t="s">
        <v>323</v>
      </c>
      <c r="B361" s="8">
        <v>1</v>
      </c>
      <c r="C361" s="8">
        <v>154</v>
      </c>
      <c r="D361" s="8">
        <v>1</v>
      </c>
    </row>
    <row r="362" spans="1:4" x14ac:dyDescent="0.25">
      <c r="A362" s="7" t="s">
        <v>321</v>
      </c>
      <c r="B362" s="8">
        <v>2</v>
      </c>
      <c r="C362" s="8">
        <v>264</v>
      </c>
      <c r="D362" s="8">
        <v>1</v>
      </c>
    </row>
    <row r="363" spans="1:4" x14ac:dyDescent="0.25">
      <c r="A363" s="7" t="s">
        <v>1123</v>
      </c>
      <c r="B363" s="8">
        <v>1</v>
      </c>
      <c r="C363" s="8">
        <v>281</v>
      </c>
      <c r="D363" s="8">
        <v>1</v>
      </c>
    </row>
    <row r="364" spans="1:4" x14ac:dyDescent="0.25">
      <c r="A364" s="7" t="s">
        <v>395</v>
      </c>
      <c r="B364" s="8">
        <v>3</v>
      </c>
      <c r="C364" s="8">
        <v>593</v>
      </c>
      <c r="D364" s="8">
        <v>2</v>
      </c>
    </row>
    <row r="365" spans="1:4" x14ac:dyDescent="0.25">
      <c r="A365" s="7" t="s">
        <v>1053</v>
      </c>
      <c r="B365" s="8">
        <v>2</v>
      </c>
      <c r="C365" s="8">
        <v>37</v>
      </c>
      <c r="D365" s="8">
        <v>2</v>
      </c>
    </row>
    <row r="366" spans="1:4" x14ac:dyDescent="0.25">
      <c r="A366" s="7" t="s">
        <v>1166</v>
      </c>
      <c r="B366" s="8">
        <v>2</v>
      </c>
      <c r="C366" s="8">
        <v>82</v>
      </c>
      <c r="D366" s="8">
        <v>1</v>
      </c>
    </row>
    <row r="367" spans="1:4" x14ac:dyDescent="0.25">
      <c r="A367" s="7" t="s">
        <v>307</v>
      </c>
      <c r="B367" s="8">
        <v>3</v>
      </c>
      <c r="C367" s="8">
        <v>1295</v>
      </c>
      <c r="D367" s="8">
        <v>2</v>
      </c>
    </row>
    <row r="368" spans="1:4" x14ac:dyDescent="0.25">
      <c r="A368" s="7" t="s">
        <v>1115</v>
      </c>
      <c r="B368" s="8">
        <v>1</v>
      </c>
      <c r="C368" s="8">
        <v>97</v>
      </c>
      <c r="D368" s="8">
        <v>1</v>
      </c>
    </row>
    <row r="369" spans="1:4" x14ac:dyDescent="0.25">
      <c r="A369" s="7" t="s">
        <v>1097</v>
      </c>
      <c r="B369" s="8">
        <v>2</v>
      </c>
      <c r="C369" s="8">
        <v>276</v>
      </c>
      <c r="D369" s="8">
        <v>1</v>
      </c>
    </row>
    <row r="370" spans="1:4" x14ac:dyDescent="0.25">
      <c r="A370" s="7" t="s">
        <v>675</v>
      </c>
      <c r="B370" s="8">
        <v>2</v>
      </c>
      <c r="C370" s="8">
        <v>54</v>
      </c>
      <c r="D370" s="8">
        <v>2</v>
      </c>
    </row>
    <row r="371" spans="1:4" x14ac:dyDescent="0.25">
      <c r="A371" s="7" t="s">
        <v>268</v>
      </c>
      <c r="B371" s="8">
        <v>4</v>
      </c>
      <c r="C371" s="8">
        <v>176</v>
      </c>
      <c r="D371" s="8">
        <v>4</v>
      </c>
    </row>
    <row r="372" spans="1:4" x14ac:dyDescent="0.25">
      <c r="A372" s="7" t="s">
        <v>736</v>
      </c>
      <c r="B372" s="8">
        <v>1</v>
      </c>
      <c r="C372" s="8">
        <v>73</v>
      </c>
      <c r="D372" s="8">
        <v>1</v>
      </c>
    </row>
    <row r="373" spans="1:4" x14ac:dyDescent="0.25">
      <c r="A373" s="7" t="s">
        <v>454</v>
      </c>
      <c r="B373" s="8">
        <v>2</v>
      </c>
      <c r="C373" s="8">
        <v>186</v>
      </c>
      <c r="D373" s="8">
        <v>1</v>
      </c>
    </row>
    <row r="374" spans="1:4" x14ac:dyDescent="0.25">
      <c r="A374" s="7" t="s">
        <v>378</v>
      </c>
      <c r="B374" s="8">
        <v>68</v>
      </c>
      <c r="C374" s="8">
        <v>256</v>
      </c>
      <c r="D374" s="8">
        <v>4</v>
      </c>
    </row>
    <row r="375" spans="1:4" x14ac:dyDescent="0.25">
      <c r="A375" s="7" t="s">
        <v>1046</v>
      </c>
      <c r="B375" s="8">
        <v>14</v>
      </c>
      <c r="C375" s="8">
        <v>126</v>
      </c>
      <c r="D375" s="8">
        <v>2</v>
      </c>
    </row>
    <row r="376" spans="1:4" x14ac:dyDescent="0.25">
      <c r="A376" s="7" t="s">
        <v>451</v>
      </c>
      <c r="B376" s="8">
        <v>13</v>
      </c>
      <c r="C376" s="8">
        <v>104</v>
      </c>
      <c r="D376" s="8">
        <v>2</v>
      </c>
    </row>
    <row r="377" spans="1:4" x14ac:dyDescent="0.25">
      <c r="A377" s="7" t="s">
        <v>650</v>
      </c>
      <c r="B377" s="8">
        <v>1</v>
      </c>
      <c r="C377" s="8">
        <v>94</v>
      </c>
      <c r="D377" s="8">
        <v>1</v>
      </c>
    </row>
    <row r="378" spans="1:4" x14ac:dyDescent="0.25">
      <c r="A378" s="7" t="s">
        <v>952</v>
      </c>
      <c r="B378" s="8">
        <v>1</v>
      </c>
      <c r="C378" s="8">
        <v>110</v>
      </c>
      <c r="D378" s="8">
        <v>1</v>
      </c>
    </row>
    <row r="379" spans="1:4" x14ac:dyDescent="0.25">
      <c r="A379" s="7" t="s">
        <v>398</v>
      </c>
      <c r="B379" s="8">
        <v>2</v>
      </c>
      <c r="C379" s="8">
        <v>197.49</v>
      </c>
      <c r="D379" s="8">
        <v>2</v>
      </c>
    </row>
    <row r="380" spans="1:4" x14ac:dyDescent="0.25">
      <c r="A380" s="7" t="s">
        <v>1035</v>
      </c>
      <c r="B380" s="8">
        <v>1</v>
      </c>
      <c r="C380" s="8">
        <v>330</v>
      </c>
      <c r="D380" s="8">
        <v>1</v>
      </c>
    </row>
    <row r="381" spans="1:4" x14ac:dyDescent="0.25">
      <c r="A381" s="7" t="s">
        <v>954</v>
      </c>
      <c r="B381" s="8">
        <v>1</v>
      </c>
      <c r="C381" s="8">
        <v>189</v>
      </c>
      <c r="D381" s="8">
        <v>1</v>
      </c>
    </row>
    <row r="382" spans="1:4" x14ac:dyDescent="0.25">
      <c r="A382" s="7" t="s">
        <v>1197</v>
      </c>
      <c r="B382" s="8">
        <v>1</v>
      </c>
      <c r="C382" s="8">
        <v>235</v>
      </c>
      <c r="D382" s="8">
        <v>1</v>
      </c>
    </row>
    <row r="383" spans="1:4" x14ac:dyDescent="0.25">
      <c r="A383" s="7" t="s">
        <v>747</v>
      </c>
      <c r="B383" s="8">
        <v>1</v>
      </c>
      <c r="C383" s="8">
        <v>440</v>
      </c>
      <c r="D383" s="8">
        <v>1</v>
      </c>
    </row>
    <row r="384" spans="1:4" x14ac:dyDescent="0.25">
      <c r="A384" s="7" t="s">
        <v>712</v>
      </c>
      <c r="B384" s="8">
        <v>2</v>
      </c>
      <c r="C384" s="8">
        <v>85.5</v>
      </c>
      <c r="D384" s="8">
        <v>1</v>
      </c>
    </row>
    <row r="385" spans="1:4" x14ac:dyDescent="0.25">
      <c r="A385" s="7" t="s">
        <v>853</v>
      </c>
      <c r="B385" s="8">
        <v>1</v>
      </c>
      <c r="C385" s="8">
        <v>35</v>
      </c>
      <c r="D385" s="8">
        <v>1</v>
      </c>
    </row>
    <row r="386" spans="1:4" x14ac:dyDescent="0.25">
      <c r="A386" s="7" t="s">
        <v>945</v>
      </c>
      <c r="B386" s="8">
        <v>1</v>
      </c>
      <c r="C386" s="8">
        <v>121</v>
      </c>
      <c r="D386" s="8">
        <v>1</v>
      </c>
    </row>
    <row r="387" spans="1:4" x14ac:dyDescent="0.25">
      <c r="A387" s="7" t="s">
        <v>433</v>
      </c>
      <c r="B387" s="8">
        <v>3</v>
      </c>
      <c r="C387" s="8">
        <v>684</v>
      </c>
      <c r="D387" s="8">
        <v>2</v>
      </c>
    </row>
    <row r="388" spans="1:4" x14ac:dyDescent="0.25">
      <c r="A388" s="7" t="s">
        <v>560</v>
      </c>
      <c r="B388" s="8">
        <v>1</v>
      </c>
      <c r="C388" s="8">
        <v>95</v>
      </c>
      <c r="D388" s="8">
        <v>1</v>
      </c>
    </row>
    <row r="389" spans="1:4" x14ac:dyDescent="0.25">
      <c r="A389" s="7" t="s">
        <v>1148</v>
      </c>
      <c r="B389" s="8">
        <v>1</v>
      </c>
      <c r="C389" s="8">
        <v>431</v>
      </c>
      <c r="D389" s="8">
        <v>1</v>
      </c>
    </row>
    <row r="390" spans="1:4" x14ac:dyDescent="0.25">
      <c r="A390" s="7" t="s">
        <v>683</v>
      </c>
      <c r="B390" s="8">
        <v>1</v>
      </c>
      <c r="C390" s="8">
        <v>213</v>
      </c>
      <c r="D390" s="8">
        <v>1</v>
      </c>
    </row>
    <row r="391" spans="1:4" x14ac:dyDescent="0.25">
      <c r="A391" s="7" t="s">
        <v>535</v>
      </c>
      <c r="B391" s="8">
        <v>1</v>
      </c>
      <c r="C391" s="8">
        <v>3148</v>
      </c>
      <c r="D391" s="8">
        <v>1</v>
      </c>
    </row>
    <row r="392" spans="1:4" x14ac:dyDescent="0.25">
      <c r="A392" s="7" t="s">
        <v>661</v>
      </c>
      <c r="B392" s="8">
        <v>1</v>
      </c>
      <c r="C392" s="8">
        <v>1018</v>
      </c>
      <c r="D392" s="8">
        <v>1</v>
      </c>
    </row>
    <row r="393" spans="1:4" x14ac:dyDescent="0.25">
      <c r="A393" s="7" t="s">
        <v>753</v>
      </c>
      <c r="B393" s="8">
        <v>1</v>
      </c>
      <c r="C393" s="8">
        <v>307.74</v>
      </c>
      <c r="D393" s="8">
        <v>1</v>
      </c>
    </row>
    <row r="394" spans="1:4" x14ac:dyDescent="0.25">
      <c r="A394" s="7" t="s">
        <v>946</v>
      </c>
      <c r="B394" s="8">
        <v>1</v>
      </c>
      <c r="C394" s="8">
        <v>2458</v>
      </c>
      <c r="D394" s="8">
        <v>1</v>
      </c>
    </row>
    <row r="395" spans="1:4" x14ac:dyDescent="0.25">
      <c r="A395" s="7" t="s">
        <v>432</v>
      </c>
      <c r="B395" s="8">
        <v>1</v>
      </c>
      <c r="C395" s="8">
        <v>54</v>
      </c>
      <c r="D395" s="8">
        <v>1</v>
      </c>
    </row>
    <row r="396" spans="1:4" x14ac:dyDescent="0.25">
      <c r="A396" s="7" t="s">
        <v>254</v>
      </c>
      <c r="B396" s="8">
        <v>9</v>
      </c>
      <c r="C396" s="8">
        <v>465</v>
      </c>
      <c r="D396" s="8">
        <v>4</v>
      </c>
    </row>
    <row r="397" spans="1:4" x14ac:dyDescent="0.25">
      <c r="A397" s="7" t="s">
        <v>327</v>
      </c>
      <c r="B397" s="8">
        <v>1</v>
      </c>
      <c r="C397" s="8">
        <v>44</v>
      </c>
      <c r="D397" s="8">
        <v>1</v>
      </c>
    </row>
    <row r="398" spans="1:4" x14ac:dyDescent="0.25">
      <c r="A398" s="7" t="s">
        <v>193</v>
      </c>
      <c r="B398" s="8">
        <v>1</v>
      </c>
      <c r="C398" s="8">
        <v>92</v>
      </c>
      <c r="D398" s="8">
        <v>1</v>
      </c>
    </row>
    <row r="399" spans="1:4" x14ac:dyDescent="0.25">
      <c r="A399" s="7" t="s">
        <v>502</v>
      </c>
      <c r="B399" s="8">
        <v>1</v>
      </c>
      <c r="C399" s="8">
        <v>91</v>
      </c>
      <c r="D399" s="8">
        <v>1</v>
      </c>
    </row>
    <row r="400" spans="1:4" x14ac:dyDescent="0.25">
      <c r="A400" s="7" t="s">
        <v>876</v>
      </c>
      <c r="B400" s="8">
        <v>1</v>
      </c>
      <c r="C400" s="8">
        <v>53</v>
      </c>
      <c r="D400" s="8">
        <v>1</v>
      </c>
    </row>
    <row r="401" spans="1:4" x14ac:dyDescent="0.25">
      <c r="A401" s="7" t="s">
        <v>1047</v>
      </c>
      <c r="B401" s="8">
        <v>1</v>
      </c>
      <c r="C401" s="8">
        <v>98</v>
      </c>
      <c r="D401" s="8">
        <v>1</v>
      </c>
    </row>
    <row r="402" spans="1:4" x14ac:dyDescent="0.25">
      <c r="A402" s="7" t="s">
        <v>555</v>
      </c>
      <c r="B402" s="8">
        <v>5</v>
      </c>
      <c r="C402" s="8">
        <v>275</v>
      </c>
      <c r="D402" s="8">
        <v>2</v>
      </c>
    </row>
    <row r="403" spans="1:4" x14ac:dyDescent="0.25">
      <c r="A403" s="7" t="s">
        <v>943</v>
      </c>
      <c r="B403" s="8">
        <v>2</v>
      </c>
      <c r="C403" s="8">
        <v>130</v>
      </c>
      <c r="D403" s="8">
        <v>1</v>
      </c>
    </row>
    <row r="404" spans="1:4" x14ac:dyDescent="0.25">
      <c r="A404" s="7" t="s">
        <v>606</v>
      </c>
      <c r="B404" s="8">
        <v>1</v>
      </c>
      <c r="C404" s="8">
        <v>835</v>
      </c>
      <c r="D404" s="8">
        <v>1</v>
      </c>
    </row>
    <row r="405" spans="1:4" x14ac:dyDescent="0.25">
      <c r="A405" s="7" t="s">
        <v>66</v>
      </c>
      <c r="B405" s="8">
        <v>2</v>
      </c>
      <c r="C405" s="8">
        <v>1461</v>
      </c>
      <c r="D405" s="8">
        <v>2</v>
      </c>
    </row>
    <row r="406" spans="1:4" x14ac:dyDescent="0.25">
      <c r="A406" s="7" t="s">
        <v>940</v>
      </c>
      <c r="B406" s="8">
        <v>1</v>
      </c>
      <c r="C406" s="8">
        <v>613</v>
      </c>
      <c r="D406" s="8">
        <v>1</v>
      </c>
    </row>
    <row r="407" spans="1:4" x14ac:dyDescent="0.25">
      <c r="A407" s="7" t="s">
        <v>1095</v>
      </c>
      <c r="B407" s="8">
        <v>1</v>
      </c>
      <c r="C407" s="8">
        <v>278</v>
      </c>
      <c r="D407" s="8">
        <v>1</v>
      </c>
    </row>
    <row r="408" spans="1:4" x14ac:dyDescent="0.25">
      <c r="A408" s="7" t="s">
        <v>693</v>
      </c>
      <c r="B408" s="8">
        <v>1</v>
      </c>
      <c r="C408" s="8">
        <v>629</v>
      </c>
      <c r="D408" s="8">
        <v>1</v>
      </c>
    </row>
    <row r="409" spans="1:4" x14ac:dyDescent="0.25">
      <c r="A409" s="7" t="s">
        <v>356</v>
      </c>
      <c r="B409" s="8">
        <v>0.7</v>
      </c>
      <c r="C409" s="8">
        <v>254.79999999999998</v>
      </c>
      <c r="D409" s="8">
        <v>1</v>
      </c>
    </row>
    <row r="410" spans="1:4" x14ac:dyDescent="0.25">
      <c r="A410" s="7" t="s">
        <v>469</v>
      </c>
      <c r="B410" s="8">
        <v>8</v>
      </c>
      <c r="C410" s="8">
        <v>219</v>
      </c>
      <c r="D410" s="8">
        <v>3</v>
      </c>
    </row>
    <row r="411" spans="1:4" x14ac:dyDescent="0.25">
      <c r="A411" s="7" t="s">
        <v>977</v>
      </c>
      <c r="B411" s="8">
        <v>1</v>
      </c>
      <c r="C411" s="8">
        <v>74</v>
      </c>
      <c r="D411" s="8">
        <v>1</v>
      </c>
    </row>
    <row r="412" spans="1:4" x14ac:dyDescent="0.25">
      <c r="A412" s="7" t="s">
        <v>738</v>
      </c>
      <c r="B412" s="8">
        <v>2</v>
      </c>
      <c r="C412" s="8">
        <v>258</v>
      </c>
      <c r="D412" s="8">
        <v>1</v>
      </c>
    </row>
    <row r="413" spans="1:4" x14ac:dyDescent="0.25">
      <c r="A413" s="7" t="s">
        <v>529</v>
      </c>
      <c r="B413" s="8">
        <v>3</v>
      </c>
      <c r="C413" s="8">
        <v>225</v>
      </c>
      <c r="D413" s="8">
        <v>3</v>
      </c>
    </row>
    <row r="414" spans="1:4" x14ac:dyDescent="0.25">
      <c r="A414" s="7" t="s">
        <v>68</v>
      </c>
      <c r="B414" s="8">
        <v>4</v>
      </c>
      <c r="C414" s="8">
        <v>1142.6399999999999</v>
      </c>
      <c r="D414" s="8">
        <v>3</v>
      </c>
    </row>
    <row r="415" spans="1:4" x14ac:dyDescent="0.25">
      <c r="A415" s="7" t="s">
        <v>829</v>
      </c>
      <c r="B415" s="8">
        <v>3</v>
      </c>
      <c r="C415" s="8">
        <v>1444</v>
      </c>
      <c r="D415" s="8">
        <v>2</v>
      </c>
    </row>
    <row r="416" spans="1:4" x14ac:dyDescent="0.25">
      <c r="A416" s="7" t="s">
        <v>525</v>
      </c>
      <c r="B416" s="8">
        <v>2</v>
      </c>
      <c r="C416" s="8">
        <v>428</v>
      </c>
      <c r="D416" s="8">
        <v>1</v>
      </c>
    </row>
    <row r="417" spans="1:4" x14ac:dyDescent="0.25">
      <c r="A417" s="7" t="s">
        <v>991</v>
      </c>
      <c r="B417" s="8">
        <v>1</v>
      </c>
      <c r="C417" s="8">
        <v>357</v>
      </c>
      <c r="D417" s="8">
        <v>1</v>
      </c>
    </row>
    <row r="418" spans="1:4" x14ac:dyDescent="0.25">
      <c r="A418" s="7" t="s">
        <v>1054</v>
      </c>
      <c r="B418" s="8">
        <v>1</v>
      </c>
      <c r="C418" s="8">
        <v>500</v>
      </c>
      <c r="D418" s="8">
        <v>1</v>
      </c>
    </row>
    <row r="419" spans="1:4" x14ac:dyDescent="0.25">
      <c r="A419" s="7" t="s">
        <v>450</v>
      </c>
      <c r="B419" s="8">
        <v>1</v>
      </c>
      <c r="C419" s="8">
        <v>596</v>
      </c>
      <c r="D419" s="8">
        <v>1</v>
      </c>
    </row>
    <row r="420" spans="1:4" x14ac:dyDescent="0.25">
      <c r="A420" s="7" t="s">
        <v>484</v>
      </c>
      <c r="B420" s="8">
        <v>1</v>
      </c>
      <c r="C420" s="8">
        <v>239</v>
      </c>
      <c r="D420" s="8">
        <v>1</v>
      </c>
    </row>
    <row r="421" spans="1:4" x14ac:dyDescent="0.25">
      <c r="A421" s="7" t="s">
        <v>239</v>
      </c>
      <c r="B421" s="8">
        <v>13</v>
      </c>
      <c r="C421" s="8">
        <v>456</v>
      </c>
      <c r="D421" s="8">
        <v>3</v>
      </c>
    </row>
    <row r="422" spans="1:4" x14ac:dyDescent="0.25">
      <c r="A422" s="7" t="s">
        <v>819</v>
      </c>
      <c r="B422" s="8">
        <v>3</v>
      </c>
      <c r="C422" s="8">
        <v>122</v>
      </c>
      <c r="D422" s="8">
        <v>2</v>
      </c>
    </row>
    <row r="423" spans="1:4" x14ac:dyDescent="0.25">
      <c r="A423" s="7" t="s">
        <v>1227</v>
      </c>
      <c r="B423" s="8">
        <v>4</v>
      </c>
      <c r="C423" s="8">
        <v>44</v>
      </c>
      <c r="D423" s="8">
        <v>1</v>
      </c>
    </row>
    <row r="424" spans="1:4" x14ac:dyDescent="0.25">
      <c r="A424" s="7" t="s">
        <v>592</v>
      </c>
      <c r="B424" s="8">
        <v>3</v>
      </c>
      <c r="C424" s="8">
        <v>399</v>
      </c>
      <c r="D424" s="8">
        <v>3</v>
      </c>
    </row>
    <row r="425" spans="1:4" x14ac:dyDescent="0.25">
      <c r="A425" s="7" t="s">
        <v>1038</v>
      </c>
      <c r="B425" s="8">
        <v>1</v>
      </c>
      <c r="C425" s="8">
        <v>49</v>
      </c>
      <c r="D425" s="8">
        <v>1</v>
      </c>
    </row>
    <row r="426" spans="1:4" x14ac:dyDescent="0.25">
      <c r="A426" s="7" t="s">
        <v>1072</v>
      </c>
      <c r="B426" s="8">
        <v>3</v>
      </c>
      <c r="C426" s="8">
        <v>78</v>
      </c>
      <c r="D426" s="8">
        <v>1</v>
      </c>
    </row>
    <row r="427" spans="1:4" x14ac:dyDescent="0.25">
      <c r="A427" s="7" t="s">
        <v>642</v>
      </c>
      <c r="B427" s="8">
        <v>4</v>
      </c>
      <c r="C427" s="8">
        <v>1382</v>
      </c>
      <c r="D427" s="8">
        <v>3</v>
      </c>
    </row>
    <row r="428" spans="1:4" x14ac:dyDescent="0.25">
      <c r="A428" s="7" t="s">
        <v>389</v>
      </c>
      <c r="B428" s="8">
        <v>3</v>
      </c>
      <c r="C428" s="8">
        <v>108</v>
      </c>
      <c r="D428" s="8">
        <v>2</v>
      </c>
    </row>
    <row r="429" spans="1:4" x14ac:dyDescent="0.25">
      <c r="A429" s="7" t="s">
        <v>896</v>
      </c>
      <c r="B429" s="8">
        <v>1</v>
      </c>
      <c r="C429" s="8">
        <v>93</v>
      </c>
      <c r="D429" s="8">
        <v>1</v>
      </c>
    </row>
    <row r="430" spans="1:4" x14ac:dyDescent="0.25">
      <c r="A430" s="7" t="s">
        <v>475</v>
      </c>
      <c r="B430" s="8">
        <v>2</v>
      </c>
      <c r="C430" s="8">
        <v>279</v>
      </c>
      <c r="D430" s="8">
        <v>2</v>
      </c>
    </row>
    <row r="431" spans="1:4" x14ac:dyDescent="0.25">
      <c r="A431" s="7" t="s">
        <v>427</v>
      </c>
      <c r="B431" s="8">
        <v>4</v>
      </c>
      <c r="C431" s="8">
        <v>2227</v>
      </c>
      <c r="D431" s="8">
        <v>3</v>
      </c>
    </row>
    <row r="432" spans="1:4" x14ac:dyDescent="0.25">
      <c r="A432" s="7" t="s">
        <v>716</v>
      </c>
      <c r="B432" s="8">
        <v>1</v>
      </c>
      <c r="C432" s="8">
        <v>538</v>
      </c>
      <c r="D432" s="8">
        <v>1</v>
      </c>
    </row>
    <row r="433" spans="1:4" x14ac:dyDescent="0.25">
      <c r="A433" s="7" t="s">
        <v>823</v>
      </c>
      <c r="B433" s="8">
        <v>1</v>
      </c>
      <c r="C433" s="8">
        <v>889</v>
      </c>
      <c r="D433" s="8">
        <v>1</v>
      </c>
    </row>
    <row r="434" spans="1:4" x14ac:dyDescent="0.25">
      <c r="A434" s="7" t="s">
        <v>490</v>
      </c>
      <c r="B434" s="8">
        <v>2</v>
      </c>
      <c r="C434" s="8">
        <v>1115</v>
      </c>
      <c r="D434" s="8">
        <v>1</v>
      </c>
    </row>
    <row r="435" spans="1:4" x14ac:dyDescent="0.25">
      <c r="A435" s="7" t="s">
        <v>491</v>
      </c>
      <c r="B435" s="8">
        <v>1</v>
      </c>
      <c r="C435" s="8">
        <v>340</v>
      </c>
      <c r="D435" s="8">
        <v>1</v>
      </c>
    </row>
    <row r="436" spans="1:4" x14ac:dyDescent="0.25">
      <c r="A436" s="7" t="s">
        <v>657</v>
      </c>
      <c r="B436" s="8">
        <v>0.16666666999999999</v>
      </c>
      <c r="C436" s="8">
        <v>173.00000369999998</v>
      </c>
      <c r="D436" s="8">
        <v>1</v>
      </c>
    </row>
    <row r="437" spans="1:4" x14ac:dyDescent="0.25">
      <c r="A437" s="7" t="s">
        <v>558</v>
      </c>
      <c r="B437" s="8">
        <v>2</v>
      </c>
      <c r="C437" s="8">
        <v>916</v>
      </c>
      <c r="D437" s="8">
        <v>2</v>
      </c>
    </row>
    <row r="438" spans="1:4" x14ac:dyDescent="0.25">
      <c r="A438" s="7" t="s">
        <v>881</v>
      </c>
      <c r="B438" s="8">
        <v>2</v>
      </c>
      <c r="C438" s="8">
        <v>731</v>
      </c>
      <c r="D438" s="8">
        <v>2</v>
      </c>
    </row>
    <row r="439" spans="1:4" x14ac:dyDescent="0.25">
      <c r="A439" s="7" t="s">
        <v>726</v>
      </c>
      <c r="B439" s="8">
        <v>1</v>
      </c>
      <c r="C439" s="8">
        <v>587</v>
      </c>
      <c r="D439" s="8">
        <v>1</v>
      </c>
    </row>
    <row r="440" spans="1:4" x14ac:dyDescent="0.25">
      <c r="A440" s="7" t="s">
        <v>1071</v>
      </c>
      <c r="B440" s="8">
        <v>1</v>
      </c>
      <c r="C440" s="8">
        <v>162</v>
      </c>
      <c r="D440" s="8">
        <v>1</v>
      </c>
    </row>
    <row r="441" spans="1:4" x14ac:dyDescent="0.25">
      <c r="A441" s="7" t="s">
        <v>768</v>
      </c>
      <c r="B441" s="8">
        <v>1</v>
      </c>
      <c r="C441" s="8">
        <v>801</v>
      </c>
      <c r="D441" s="8">
        <v>1</v>
      </c>
    </row>
    <row r="442" spans="1:4" x14ac:dyDescent="0.25">
      <c r="A442" s="7" t="s">
        <v>1186</v>
      </c>
      <c r="B442" s="8">
        <v>0.2</v>
      </c>
      <c r="C442" s="8">
        <v>389</v>
      </c>
      <c r="D442" s="8">
        <v>1</v>
      </c>
    </row>
    <row r="443" spans="1:4" x14ac:dyDescent="0.25">
      <c r="A443" s="7" t="s">
        <v>719</v>
      </c>
      <c r="B443" s="8">
        <v>0.5</v>
      </c>
      <c r="C443" s="8">
        <v>886.5</v>
      </c>
      <c r="D443" s="8">
        <v>1</v>
      </c>
    </row>
    <row r="444" spans="1:4" x14ac:dyDescent="0.25">
      <c r="A444" s="7" t="s">
        <v>1173</v>
      </c>
      <c r="B444" s="8">
        <v>1</v>
      </c>
      <c r="C444" s="8">
        <v>463</v>
      </c>
      <c r="D444" s="8">
        <v>1</v>
      </c>
    </row>
    <row r="445" spans="1:4" x14ac:dyDescent="0.25">
      <c r="A445" s="7" t="s">
        <v>643</v>
      </c>
      <c r="B445" s="8">
        <v>1</v>
      </c>
      <c r="C445" s="8">
        <v>79</v>
      </c>
      <c r="D445" s="8">
        <v>1</v>
      </c>
    </row>
    <row r="446" spans="1:4" x14ac:dyDescent="0.25">
      <c r="A446" s="7" t="s">
        <v>549</v>
      </c>
      <c r="B446" s="8">
        <v>1</v>
      </c>
      <c r="C446" s="8">
        <v>57</v>
      </c>
      <c r="D446" s="8">
        <v>1</v>
      </c>
    </row>
    <row r="447" spans="1:4" x14ac:dyDescent="0.25">
      <c r="A447" s="7" t="s">
        <v>1062</v>
      </c>
      <c r="B447" s="8">
        <v>1</v>
      </c>
      <c r="C447" s="8">
        <v>355</v>
      </c>
      <c r="D447" s="8">
        <v>1</v>
      </c>
    </row>
    <row r="448" spans="1:4" x14ac:dyDescent="0.25">
      <c r="A448" s="7" t="s">
        <v>367</v>
      </c>
      <c r="B448" s="8">
        <v>1</v>
      </c>
      <c r="C448" s="8">
        <v>148</v>
      </c>
      <c r="D448" s="8">
        <v>1</v>
      </c>
    </row>
    <row r="449" spans="1:4" x14ac:dyDescent="0.25">
      <c r="A449" s="7" t="s">
        <v>687</v>
      </c>
      <c r="B449" s="8">
        <v>1</v>
      </c>
      <c r="C449" s="8">
        <v>761</v>
      </c>
      <c r="D449" s="8">
        <v>1</v>
      </c>
    </row>
    <row r="450" spans="1:4" x14ac:dyDescent="0.25">
      <c r="A450" s="7" t="s">
        <v>550</v>
      </c>
      <c r="B450" s="8">
        <v>1</v>
      </c>
      <c r="C450" s="8">
        <v>54</v>
      </c>
      <c r="D450" s="8">
        <v>1</v>
      </c>
    </row>
    <row r="451" spans="1:4" x14ac:dyDescent="0.25">
      <c r="A451" s="7" t="s">
        <v>426</v>
      </c>
      <c r="B451" s="8">
        <v>1</v>
      </c>
      <c r="C451" s="8">
        <v>195</v>
      </c>
      <c r="D451" s="8">
        <v>1</v>
      </c>
    </row>
    <row r="452" spans="1:4" x14ac:dyDescent="0.25">
      <c r="A452" s="7" t="s">
        <v>813</v>
      </c>
      <c r="B452" s="8">
        <v>1</v>
      </c>
      <c r="C452" s="8">
        <v>236</v>
      </c>
      <c r="D452" s="8">
        <v>1</v>
      </c>
    </row>
    <row r="453" spans="1:4" x14ac:dyDescent="0.25">
      <c r="A453" s="7" t="s">
        <v>815</v>
      </c>
      <c r="B453" s="8">
        <v>1</v>
      </c>
      <c r="C453" s="8">
        <v>98</v>
      </c>
      <c r="D453" s="8">
        <v>1</v>
      </c>
    </row>
    <row r="454" spans="1:4" x14ac:dyDescent="0.25">
      <c r="A454" s="7" t="s">
        <v>814</v>
      </c>
      <c r="B454" s="8">
        <v>1</v>
      </c>
      <c r="C454" s="8">
        <v>104</v>
      </c>
      <c r="D454" s="8">
        <v>1</v>
      </c>
    </row>
    <row r="455" spans="1:4" x14ac:dyDescent="0.25">
      <c r="A455" s="7" t="s">
        <v>457</v>
      </c>
      <c r="B455" s="8">
        <v>1</v>
      </c>
      <c r="C455" s="8">
        <v>239</v>
      </c>
      <c r="D455" s="8">
        <v>1</v>
      </c>
    </row>
    <row r="456" spans="1:4" x14ac:dyDescent="0.25">
      <c r="A456" s="7" t="s">
        <v>806</v>
      </c>
      <c r="B456" s="8">
        <v>2</v>
      </c>
      <c r="C456" s="8">
        <v>534</v>
      </c>
      <c r="D456" s="8">
        <v>2</v>
      </c>
    </row>
    <row r="457" spans="1:4" x14ac:dyDescent="0.25">
      <c r="A457" s="7" t="s">
        <v>1164</v>
      </c>
      <c r="B457" s="8">
        <v>1</v>
      </c>
      <c r="C457" s="8">
        <v>428</v>
      </c>
      <c r="D457" s="8">
        <v>1</v>
      </c>
    </row>
    <row r="458" spans="1:4" x14ac:dyDescent="0.25">
      <c r="A458" s="7" t="s">
        <v>728</v>
      </c>
      <c r="B458" s="8">
        <v>1</v>
      </c>
      <c r="C458" s="8">
        <v>319</v>
      </c>
      <c r="D458" s="8">
        <v>1</v>
      </c>
    </row>
    <row r="459" spans="1:4" x14ac:dyDescent="0.25">
      <c r="A459" s="7" t="s">
        <v>569</v>
      </c>
      <c r="B459" s="8">
        <v>2</v>
      </c>
      <c r="C459" s="8">
        <v>122</v>
      </c>
      <c r="D459" s="8">
        <v>1</v>
      </c>
    </row>
    <row r="460" spans="1:4" x14ac:dyDescent="0.25">
      <c r="A460" s="7" t="s">
        <v>635</v>
      </c>
      <c r="B460" s="8">
        <v>1</v>
      </c>
      <c r="C460" s="8">
        <v>93</v>
      </c>
      <c r="D460" s="8">
        <v>1</v>
      </c>
    </row>
    <row r="461" spans="1:4" x14ac:dyDescent="0.25">
      <c r="A461" s="7" t="s">
        <v>851</v>
      </c>
      <c r="B461" s="8">
        <v>1</v>
      </c>
      <c r="C461" s="8">
        <v>200</v>
      </c>
      <c r="D461" s="8">
        <v>1</v>
      </c>
    </row>
    <row r="462" spans="1:4" x14ac:dyDescent="0.25">
      <c r="A462" s="7" t="s">
        <v>1086</v>
      </c>
      <c r="B462" s="8">
        <v>1</v>
      </c>
      <c r="C462" s="8">
        <v>275</v>
      </c>
      <c r="D462" s="8">
        <v>1</v>
      </c>
    </row>
    <row r="463" spans="1:4" x14ac:dyDescent="0.25">
      <c r="A463" s="7" t="s">
        <v>1117</v>
      </c>
      <c r="B463" s="8">
        <v>1</v>
      </c>
      <c r="C463" s="8">
        <v>1070</v>
      </c>
      <c r="D463" s="8">
        <v>1</v>
      </c>
    </row>
    <row r="464" spans="1:4" x14ac:dyDescent="0.25">
      <c r="A464" s="7" t="s">
        <v>1126</v>
      </c>
      <c r="B464" s="8">
        <v>1</v>
      </c>
      <c r="C464" s="8">
        <v>374</v>
      </c>
      <c r="D464" s="8">
        <v>1</v>
      </c>
    </row>
    <row r="465" spans="1:4" x14ac:dyDescent="0.25">
      <c r="A465" s="7" t="s">
        <v>311</v>
      </c>
      <c r="B465" s="8">
        <v>1</v>
      </c>
      <c r="C465" s="8">
        <v>224</v>
      </c>
      <c r="D465" s="8">
        <v>1</v>
      </c>
    </row>
    <row r="466" spans="1:4" x14ac:dyDescent="0.25">
      <c r="A466" s="7" t="s">
        <v>385</v>
      </c>
      <c r="B466" s="8">
        <v>3</v>
      </c>
      <c r="C466" s="8">
        <v>948</v>
      </c>
      <c r="D466" s="8">
        <v>3</v>
      </c>
    </row>
    <row r="467" spans="1:4" x14ac:dyDescent="0.25">
      <c r="A467" s="7" t="s">
        <v>102</v>
      </c>
      <c r="B467" s="8">
        <v>1</v>
      </c>
      <c r="C467" s="8">
        <v>394</v>
      </c>
      <c r="D467" s="8">
        <v>1</v>
      </c>
    </row>
    <row r="468" spans="1:4" x14ac:dyDescent="0.25">
      <c r="A468" s="7" t="s">
        <v>285</v>
      </c>
      <c r="B468" s="8">
        <v>2</v>
      </c>
      <c r="C468" s="8">
        <v>444</v>
      </c>
      <c r="D468" s="8">
        <v>2</v>
      </c>
    </row>
    <row r="469" spans="1:4" x14ac:dyDescent="0.25">
      <c r="A469" s="7" t="s">
        <v>653</v>
      </c>
      <c r="B469" s="8">
        <v>1</v>
      </c>
      <c r="C469" s="8">
        <v>59</v>
      </c>
      <c r="D469" s="8">
        <v>1</v>
      </c>
    </row>
    <row r="470" spans="1:4" x14ac:dyDescent="0.25">
      <c r="A470" s="7" t="s">
        <v>400</v>
      </c>
      <c r="B470" s="8">
        <v>2</v>
      </c>
      <c r="C470" s="8">
        <v>329.14</v>
      </c>
      <c r="D470" s="8">
        <v>1</v>
      </c>
    </row>
    <row r="471" spans="1:4" x14ac:dyDescent="0.25">
      <c r="A471" s="7" t="s">
        <v>371</v>
      </c>
      <c r="B471" s="8">
        <v>1</v>
      </c>
      <c r="C471" s="8">
        <v>527</v>
      </c>
      <c r="D471" s="8">
        <v>1</v>
      </c>
    </row>
    <row r="472" spans="1:4" x14ac:dyDescent="0.25">
      <c r="A472" s="7" t="s">
        <v>331</v>
      </c>
      <c r="B472" s="8">
        <v>0.53571440000000004</v>
      </c>
      <c r="C472" s="8">
        <v>364.18436400000002</v>
      </c>
      <c r="D472" s="8">
        <v>3</v>
      </c>
    </row>
    <row r="473" spans="1:4" x14ac:dyDescent="0.25">
      <c r="A473" s="7" t="s">
        <v>512</v>
      </c>
      <c r="B473" s="8">
        <v>1</v>
      </c>
      <c r="C473" s="8">
        <v>123</v>
      </c>
      <c r="D473" s="8">
        <v>1</v>
      </c>
    </row>
    <row r="474" spans="1:4" x14ac:dyDescent="0.25">
      <c r="A474" s="7" t="s">
        <v>1077</v>
      </c>
      <c r="B474" s="8">
        <v>1</v>
      </c>
      <c r="C474" s="8">
        <v>85.38</v>
      </c>
      <c r="D474" s="8">
        <v>1</v>
      </c>
    </row>
    <row r="475" spans="1:4" x14ac:dyDescent="0.25">
      <c r="A475" s="7" t="s">
        <v>300</v>
      </c>
      <c r="B475" s="8">
        <v>1</v>
      </c>
      <c r="C475" s="8">
        <v>72</v>
      </c>
      <c r="D475" s="8">
        <v>1</v>
      </c>
    </row>
    <row r="476" spans="1:4" x14ac:dyDescent="0.25">
      <c r="A476" s="7" t="s">
        <v>419</v>
      </c>
      <c r="B476" s="8">
        <v>35</v>
      </c>
      <c r="C476" s="8">
        <v>279</v>
      </c>
      <c r="D476" s="8">
        <v>5</v>
      </c>
    </row>
    <row r="477" spans="1:4" x14ac:dyDescent="0.25">
      <c r="A477" s="7" t="s">
        <v>934</v>
      </c>
      <c r="B477" s="8">
        <v>1</v>
      </c>
      <c r="C477" s="8">
        <v>536</v>
      </c>
      <c r="D477" s="8">
        <v>1</v>
      </c>
    </row>
    <row r="478" spans="1:4" x14ac:dyDescent="0.25">
      <c r="A478" s="7" t="s">
        <v>1184</v>
      </c>
      <c r="B478" s="8">
        <v>1</v>
      </c>
      <c r="C478" s="8">
        <v>679</v>
      </c>
      <c r="D478" s="8">
        <v>1</v>
      </c>
    </row>
    <row r="479" spans="1:4" x14ac:dyDescent="0.25">
      <c r="A479" s="7" t="s">
        <v>534</v>
      </c>
      <c r="B479" s="8">
        <v>1</v>
      </c>
      <c r="C479" s="8">
        <v>241</v>
      </c>
      <c r="D479" s="8">
        <v>1</v>
      </c>
    </row>
    <row r="480" spans="1:4" x14ac:dyDescent="0.25">
      <c r="A480" s="7" t="s">
        <v>472</v>
      </c>
      <c r="B480" s="8">
        <v>1</v>
      </c>
      <c r="C480" s="8">
        <v>252</v>
      </c>
      <c r="D480" s="8">
        <v>1</v>
      </c>
    </row>
    <row r="481" spans="1:4" x14ac:dyDescent="0.25">
      <c r="A481" s="7" t="s">
        <v>831</v>
      </c>
      <c r="B481" s="8">
        <v>1</v>
      </c>
      <c r="C481" s="8">
        <v>217</v>
      </c>
      <c r="D481" s="8">
        <v>1</v>
      </c>
    </row>
    <row r="482" spans="1:4" x14ac:dyDescent="0.25">
      <c r="A482" s="7" t="s">
        <v>1075</v>
      </c>
      <c r="B482" s="8">
        <v>1</v>
      </c>
      <c r="C482" s="8">
        <v>552.61</v>
      </c>
      <c r="D482" s="8">
        <v>1</v>
      </c>
    </row>
    <row r="483" spans="1:4" x14ac:dyDescent="0.25">
      <c r="A483" s="7" t="s">
        <v>523</v>
      </c>
      <c r="B483" s="8">
        <v>1</v>
      </c>
      <c r="C483" s="8">
        <v>395</v>
      </c>
      <c r="D483" s="8">
        <v>1</v>
      </c>
    </row>
    <row r="484" spans="1:4" x14ac:dyDescent="0.25">
      <c r="A484" s="7" t="s">
        <v>499</v>
      </c>
      <c r="B484" s="8">
        <v>1</v>
      </c>
      <c r="C484" s="8">
        <v>443</v>
      </c>
      <c r="D484" s="8">
        <v>1</v>
      </c>
    </row>
    <row r="485" spans="1:4" x14ac:dyDescent="0.25">
      <c r="A485" s="7" t="s">
        <v>493</v>
      </c>
      <c r="B485" s="8">
        <v>1</v>
      </c>
      <c r="C485" s="8">
        <v>309</v>
      </c>
      <c r="D485" s="8">
        <v>1</v>
      </c>
    </row>
    <row r="486" spans="1:4" x14ac:dyDescent="0.25">
      <c r="A486" s="7" t="s">
        <v>416</v>
      </c>
      <c r="B486" s="8">
        <v>1.3</v>
      </c>
      <c r="C486" s="8">
        <v>1449.4</v>
      </c>
      <c r="D486" s="8">
        <v>4</v>
      </c>
    </row>
    <row r="487" spans="1:4" x14ac:dyDescent="0.25">
      <c r="A487" s="7" t="s">
        <v>910</v>
      </c>
      <c r="B487" s="8">
        <v>1</v>
      </c>
      <c r="C487" s="8">
        <v>83</v>
      </c>
      <c r="D487" s="8">
        <v>1</v>
      </c>
    </row>
    <row r="488" spans="1:4" x14ac:dyDescent="0.25">
      <c r="A488" s="7" t="s">
        <v>925</v>
      </c>
      <c r="B488" s="8">
        <v>1</v>
      </c>
      <c r="C488" s="8">
        <v>455</v>
      </c>
      <c r="D488" s="8">
        <v>1</v>
      </c>
    </row>
    <row r="489" spans="1:4" x14ac:dyDescent="0.25">
      <c r="A489" s="7" t="s">
        <v>291</v>
      </c>
      <c r="B489" s="8">
        <v>3</v>
      </c>
      <c r="C489" s="8">
        <v>119</v>
      </c>
      <c r="D489" s="8">
        <v>2</v>
      </c>
    </row>
    <row r="490" spans="1:4" x14ac:dyDescent="0.25">
      <c r="A490" s="7" t="s">
        <v>894</v>
      </c>
      <c r="B490" s="8">
        <v>0.33333332999999998</v>
      </c>
      <c r="C490" s="8">
        <v>510.33332822999995</v>
      </c>
      <c r="D490" s="8">
        <v>1</v>
      </c>
    </row>
    <row r="491" spans="1:4" x14ac:dyDescent="0.25">
      <c r="A491" s="7" t="s">
        <v>275</v>
      </c>
      <c r="B491" s="8">
        <v>1</v>
      </c>
      <c r="C491" s="8">
        <v>788</v>
      </c>
      <c r="D491" s="8">
        <v>1</v>
      </c>
    </row>
    <row r="492" spans="1:4" x14ac:dyDescent="0.25">
      <c r="A492" s="7" t="s">
        <v>435</v>
      </c>
      <c r="B492" s="8">
        <v>2</v>
      </c>
      <c r="C492" s="8">
        <v>1701</v>
      </c>
      <c r="D492" s="8">
        <v>2</v>
      </c>
    </row>
    <row r="493" spans="1:4" x14ac:dyDescent="0.25">
      <c r="A493" s="7" t="s">
        <v>485</v>
      </c>
      <c r="B493" s="8">
        <v>2</v>
      </c>
      <c r="C493" s="8">
        <v>297</v>
      </c>
      <c r="D493" s="8">
        <v>2</v>
      </c>
    </row>
    <row r="494" spans="1:4" x14ac:dyDescent="0.25">
      <c r="A494" s="7" t="s">
        <v>875</v>
      </c>
      <c r="B494" s="8">
        <v>2</v>
      </c>
      <c r="C494" s="8">
        <v>701.74</v>
      </c>
      <c r="D494" s="8">
        <v>2</v>
      </c>
    </row>
    <row r="495" spans="1:4" x14ac:dyDescent="0.25">
      <c r="A495" s="7" t="s">
        <v>603</v>
      </c>
      <c r="B495" s="8">
        <v>1</v>
      </c>
      <c r="C495" s="8">
        <v>719</v>
      </c>
      <c r="D495" s="8">
        <v>1</v>
      </c>
    </row>
    <row r="496" spans="1:4" x14ac:dyDescent="0.25">
      <c r="A496" s="7" t="s">
        <v>1049</v>
      </c>
      <c r="B496" s="8">
        <v>1</v>
      </c>
      <c r="C496" s="8">
        <v>190</v>
      </c>
      <c r="D496" s="8">
        <v>1</v>
      </c>
    </row>
    <row r="497" spans="1:4" x14ac:dyDescent="0.25">
      <c r="A497" s="7" t="s">
        <v>1081</v>
      </c>
      <c r="B497" s="8">
        <v>0.2</v>
      </c>
      <c r="C497" s="8">
        <v>107.80000000000001</v>
      </c>
      <c r="D497" s="8">
        <v>1</v>
      </c>
    </row>
    <row r="498" spans="1:4" x14ac:dyDescent="0.25">
      <c r="A498" s="7" t="s">
        <v>522</v>
      </c>
      <c r="B498" s="8">
        <v>3</v>
      </c>
      <c r="C498" s="8">
        <v>351</v>
      </c>
      <c r="D498" s="8">
        <v>2</v>
      </c>
    </row>
    <row r="499" spans="1:4" x14ac:dyDescent="0.25">
      <c r="A499" s="7" t="s">
        <v>448</v>
      </c>
      <c r="B499" s="8">
        <v>1</v>
      </c>
      <c r="C499" s="8">
        <v>240</v>
      </c>
      <c r="D499" s="8">
        <v>1</v>
      </c>
    </row>
    <row r="500" spans="1:4" x14ac:dyDescent="0.25">
      <c r="A500" s="7" t="s">
        <v>150</v>
      </c>
      <c r="B500" s="8">
        <v>3</v>
      </c>
      <c r="C500" s="8">
        <v>365.15999999999997</v>
      </c>
      <c r="D500" s="8">
        <v>2</v>
      </c>
    </row>
    <row r="501" spans="1:4" x14ac:dyDescent="0.25">
      <c r="A501" s="7" t="s">
        <v>538</v>
      </c>
      <c r="B501" s="8">
        <v>1</v>
      </c>
      <c r="C501" s="8">
        <v>146</v>
      </c>
      <c r="D501" s="8">
        <v>1</v>
      </c>
    </row>
    <row r="502" spans="1:4" x14ac:dyDescent="0.25">
      <c r="A502" s="7" t="s">
        <v>1194</v>
      </c>
      <c r="B502" s="8">
        <v>1</v>
      </c>
      <c r="C502" s="8">
        <v>160</v>
      </c>
      <c r="D502" s="8">
        <v>1</v>
      </c>
    </row>
    <row r="503" spans="1:4" x14ac:dyDescent="0.25">
      <c r="A503" s="7" t="s">
        <v>191</v>
      </c>
      <c r="B503" s="8">
        <v>1</v>
      </c>
      <c r="C503" s="8">
        <v>111</v>
      </c>
      <c r="D503" s="8">
        <v>1</v>
      </c>
    </row>
    <row r="504" spans="1:4" x14ac:dyDescent="0.25">
      <c r="A504" s="7" t="s">
        <v>573</v>
      </c>
      <c r="B504" s="8">
        <v>1</v>
      </c>
      <c r="C504" s="8">
        <v>272</v>
      </c>
      <c r="D504" s="8">
        <v>1</v>
      </c>
    </row>
    <row r="505" spans="1:4" x14ac:dyDescent="0.25">
      <c r="A505" s="7" t="s">
        <v>231</v>
      </c>
      <c r="B505" s="8">
        <v>4</v>
      </c>
      <c r="C505" s="8">
        <v>1358</v>
      </c>
      <c r="D505" s="8">
        <v>3</v>
      </c>
    </row>
    <row r="506" spans="1:4" x14ac:dyDescent="0.25">
      <c r="A506" s="7" t="s">
        <v>1067</v>
      </c>
      <c r="B506" s="8">
        <v>1</v>
      </c>
      <c r="C506" s="8">
        <v>403</v>
      </c>
      <c r="D506" s="8">
        <v>1</v>
      </c>
    </row>
    <row r="507" spans="1:4" x14ac:dyDescent="0.25">
      <c r="A507" s="7" t="s">
        <v>951</v>
      </c>
      <c r="B507" s="8">
        <v>1</v>
      </c>
      <c r="C507" s="8">
        <v>279</v>
      </c>
      <c r="D507" s="8">
        <v>1</v>
      </c>
    </row>
    <row r="508" spans="1:4" x14ac:dyDescent="0.25">
      <c r="A508" s="7" t="s">
        <v>625</v>
      </c>
      <c r="B508" s="8">
        <v>2</v>
      </c>
      <c r="C508" s="8">
        <v>654</v>
      </c>
      <c r="D508" s="8">
        <v>1</v>
      </c>
    </row>
    <row r="509" spans="1:4" x14ac:dyDescent="0.25">
      <c r="A509" s="7" t="s">
        <v>1083</v>
      </c>
      <c r="B509" s="8">
        <v>1</v>
      </c>
      <c r="C509" s="8">
        <v>66</v>
      </c>
      <c r="D509" s="8">
        <v>1</v>
      </c>
    </row>
    <row r="510" spans="1:4" x14ac:dyDescent="0.25">
      <c r="A510" s="7" t="s">
        <v>366</v>
      </c>
      <c r="B510" s="8">
        <v>1</v>
      </c>
      <c r="C510" s="8">
        <v>658</v>
      </c>
      <c r="D510" s="8">
        <v>1</v>
      </c>
    </row>
    <row r="511" spans="1:4" x14ac:dyDescent="0.25">
      <c r="A511" s="7" t="s">
        <v>741</v>
      </c>
      <c r="B511" s="8">
        <v>1</v>
      </c>
      <c r="C511" s="8">
        <v>43</v>
      </c>
      <c r="D511" s="8">
        <v>1</v>
      </c>
    </row>
    <row r="512" spans="1:4" x14ac:dyDescent="0.25">
      <c r="A512" s="7" t="s">
        <v>189</v>
      </c>
      <c r="B512" s="8">
        <v>1</v>
      </c>
      <c r="C512" s="8">
        <v>227</v>
      </c>
      <c r="D512" s="8">
        <v>1</v>
      </c>
    </row>
    <row r="513" spans="1:4" x14ac:dyDescent="0.25">
      <c r="A513" s="7" t="s">
        <v>81</v>
      </c>
      <c r="B513" s="8">
        <v>9</v>
      </c>
      <c r="C513" s="8">
        <v>1451.5</v>
      </c>
      <c r="D513" s="8">
        <v>5</v>
      </c>
    </row>
    <row r="514" spans="1:4" x14ac:dyDescent="0.25">
      <c r="A514" s="7" t="s">
        <v>92</v>
      </c>
      <c r="B514" s="8">
        <v>11</v>
      </c>
      <c r="C514" s="8">
        <v>328</v>
      </c>
      <c r="D514" s="8">
        <v>4</v>
      </c>
    </row>
    <row r="515" spans="1:4" x14ac:dyDescent="0.25">
      <c r="A515" s="7" t="s">
        <v>205</v>
      </c>
      <c r="B515" s="8">
        <v>1</v>
      </c>
      <c r="C515" s="8">
        <v>77</v>
      </c>
      <c r="D515" s="8">
        <v>1</v>
      </c>
    </row>
    <row r="516" spans="1:4" x14ac:dyDescent="0.25">
      <c r="A516" s="7" t="s">
        <v>1070</v>
      </c>
      <c r="B516" s="8">
        <v>1</v>
      </c>
      <c r="C516" s="8">
        <v>87</v>
      </c>
      <c r="D516" s="8">
        <v>1</v>
      </c>
    </row>
    <row r="517" spans="1:4" x14ac:dyDescent="0.25">
      <c r="A517" s="7" t="s">
        <v>648</v>
      </c>
      <c r="B517" s="8">
        <v>1</v>
      </c>
      <c r="C517" s="8">
        <v>376</v>
      </c>
      <c r="D517" s="8">
        <v>1</v>
      </c>
    </row>
    <row r="518" spans="1:4" x14ac:dyDescent="0.25">
      <c r="A518" s="7" t="s">
        <v>207</v>
      </c>
      <c r="B518" s="8">
        <v>1</v>
      </c>
      <c r="C518" s="8">
        <v>3449</v>
      </c>
      <c r="D518" s="8">
        <v>1</v>
      </c>
    </row>
    <row r="519" spans="1:4" x14ac:dyDescent="0.25">
      <c r="A519" s="7" t="s">
        <v>1211</v>
      </c>
      <c r="B519" s="8">
        <v>1</v>
      </c>
      <c r="C519" s="8">
        <v>298</v>
      </c>
      <c r="D519" s="8">
        <v>1</v>
      </c>
    </row>
    <row r="520" spans="1:4" x14ac:dyDescent="0.25">
      <c r="A520" s="7" t="s">
        <v>353</v>
      </c>
      <c r="B520" s="8">
        <v>1</v>
      </c>
      <c r="C520" s="8">
        <v>393</v>
      </c>
      <c r="D520" s="8">
        <v>1</v>
      </c>
    </row>
    <row r="521" spans="1:4" x14ac:dyDescent="0.25">
      <c r="A521" s="7" t="s">
        <v>1125</v>
      </c>
      <c r="B521" s="8">
        <v>1</v>
      </c>
      <c r="C521" s="8">
        <v>728</v>
      </c>
      <c r="D521" s="8">
        <v>1</v>
      </c>
    </row>
    <row r="522" spans="1:4" x14ac:dyDescent="0.25">
      <c r="A522" s="7" t="s">
        <v>1147</v>
      </c>
      <c r="B522" s="8">
        <v>1</v>
      </c>
      <c r="C522" s="8">
        <v>445</v>
      </c>
      <c r="D522" s="8">
        <v>1</v>
      </c>
    </row>
    <row r="523" spans="1:4" x14ac:dyDescent="0.25">
      <c r="A523" s="7" t="s">
        <v>998</v>
      </c>
      <c r="B523" s="8">
        <v>3</v>
      </c>
      <c r="C523" s="8">
        <v>1384</v>
      </c>
      <c r="D523" s="8">
        <v>2</v>
      </c>
    </row>
    <row r="524" spans="1:4" x14ac:dyDescent="0.25">
      <c r="A524" s="7" t="s">
        <v>94</v>
      </c>
      <c r="B524" s="8">
        <v>26</v>
      </c>
      <c r="C524" s="8">
        <v>52</v>
      </c>
      <c r="D524" s="8">
        <v>5</v>
      </c>
    </row>
    <row r="525" spans="1:4" x14ac:dyDescent="0.25">
      <c r="A525" s="7" t="s">
        <v>1012</v>
      </c>
      <c r="B525" s="8">
        <v>2</v>
      </c>
      <c r="C525" s="8">
        <v>328</v>
      </c>
      <c r="D525" s="8">
        <v>2</v>
      </c>
    </row>
    <row r="526" spans="1:4" x14ac:dyDescent="0.25">
      <c r="A526" s="7" t="s">
        <v>990</v>
      </c>
      <c r="B526" s="8">
        <v>1</v>
      </c>
      <c r="C526" s="8">
        <v>574</v>
      </c>
      <c r="D526" s="8">
        <v>1</v>
      </c>
    </row>
    <row r="527" spans="1:4" x14ac:dyDescent="0.25">
      <c r="A527" s="7" t="s">
        <v>1223</v>
      </c>
      <c r="B527" s="8">
        <v>1</v>
      </c>
      <c r="C527" s="8">
        <v>76</v>
      </c>
      <c r="D527" s="8">
        <v>1</v>
      </c>
    </row>
    <row r="528" spans="1:4" x14ac:dyDescent="0.25">
      <c r="A528" s="7" t="s">
        <v>217</v>
      </c>
      <c r="B528" s="8">
        <v>7</v>
      </c>
      <c r="C528" s="8">
        <v>336</v>
      </c>
      <c r="D528" s="8">
        <v>2</v>
      </c>
    </row>
    <row r="529" spans="1:4" x14ac:dyDescent="0.25">
      <c r="A529" s="7" t="s">
        <v>446</v>
      </c>
      <c r="B529" s="8">
        <v>2</v>
      </c>
      <c r="C529" s="8">
        <v>96</v>
      </c>
      <c r="D529" s="8">
        <v>2</v>
      </c>
    </row>
    <row r="530" spans="1:4" x14ac:dyDescent="0.25">
      <c r="A530" s="7" t="s">
        <v>801</v>
      </c>
      <c r="B530" s="8">
        <v>1</v>
      </c>
      <c r="C530" s="8">
        <v>352</v>
      </c>
      <c r="D530" s="8">
        <v>1</v>
      </c>
    </row>
    <row r="531" spans="1:4" x14ac:dyDescent="0.25">
      <c r="A531" s="7" t="s">
        <v>121</v>
      </c>
      <c r="B531" s="8">
        <v>4</v>
      </c>
      <c r="C531" s="8">
        <v>100</v>
      </c>
      <c r="D531" s="8">
        <v>3</v>
      </c>
    </row>
    <row r="532" spans="1:4" x14ac:dyDescent="0.25">
      <c r="A532" s="7" t="s">
        <v>920</v>
      </c>
      <c r="B532" s="8">
        <v>2</v>
      </c>
      <c r="C532" s="8">
        <v>154</v>
      </c>
      <c r="D532" s="8">
        <v>1</v>
      </c>
    </row>
    <row r="533" spans="1:4" x14ac:dyDescent="0.25">
      <c r="A533" s="7" t="s">
        <v>50</v>
      </c>
      <c r="B533" s="8">
        <v>2</v>
      </c>
      <c r="C533" s="8">
        <v>206</v>
      </c>
      <c r="D533" s="8">
        <v>1</v>
      </c>
    </row>
    <row r="534" spans="1:4" x14ac:dyDescent="0.25">
      <c r="A534" s="7" t="s">
        <v>115</v>
      </c>
      <c r="B534" s="8">
        <v>6</v>
      </c>
      <c r="C534" s="8">
        <v>491.67</v>
      </c>
      <c r="D534" s="8">
        <v>3</v>
      </c>
    </row>
    <row r="535" spans="1:4" x14ac:dyDescent="0.25">
      <c r="A535" s="7" t="s">
        <v>495</v>
      </c>
      <c r="B535" s="8">
        <v>5</v>
      </c>
      <c r="C535" s="8">
        <v>504</v>
      </c>
      <c r="D535" s="8">
        <v>3</v>
      </c>
    </row>
    <row r="536" spans="1:4" x14ac:dyDescent="0.25">
      <c r="A536" s="7" t="s">
        <v>1161</v>
      </c>
      <c r="B536" s="8">
        <v>1</v>
      </c>
      <c r="C536" s="8">
        <v>38</v>
      </c>
      <c r="D536" s="8">
        <v>1</v>
      </c>
    </row>
    <row r="537" spans="1:4" x14ac:dyDescent="0.25">
      <c r="A537" s="7" t="s">
        <v>101</v>
      </c>
      <c r="B537" s="8">
        <v>10</v>
      </c>
      <c r="C537" s="8">
        <v>2095</v>
      </c>
      <c r="D537" s="8">
        <v>5</v>
      </c>
    </row>
    <row r="538" spans="1:4" x14ac:dyDescent="0.25">
      <c r="A538" s="7" t="s">
        <v>452</v>
      </c>
      <c r="B538" s="8">
        <v>1</v>
      </c>
      <c r="C538" s="8">
        <v>402</v>
      </c>
      <c r="D538" s="8">
        <v>1</v>
      </c>
    </row>
    <row r="539" spans="1:4" x14ac:dyDescent="0.25">
      <c r="A539" s="7" t="s">
        <v>1016</v>
      </c>
      <c r="B539" s="8">
        <v>1</v>
      </c>
      <c r="C539" s="8">
        <v>449</v>
      </c>
      <c r="D539" s="8">
        <v>1</v>
      </c>
    </row>
    <row r="540" spans="1:4" x14ac:dyDescent="0.25">
      <c r="A540" s="7" t="s">
        <v>594</v>
      </c>
      <c r="B540" s="8">
        <v>13</v>
      </c>
      <c r="C540" s="8">
        <v>203</v>
      </c>
      <c r="D540" s="8">
        <v>4</v>
      </c>
    </row>
    <row r="541" spans="1:4" x14ac:dyDescent="0.25">
      <c r="A541" s="7" t="s">
        <v>96</v>
      </c>
      <c r="B541" s="8">
        <v>2</v>
      </c>
      <c r="C541" s="8">
        <v>29</v>
      </c>
      <c r="D541" s="8">
        <v>1</v>
      </c>
    </row>
    <row r="542" spans="1:4" x14ac:dyDescent="0.25">
      <c r="A542" s="7" t="s">
        <v>1008</v>
      </c>
      <c r="B542" s="8">
        <v>2</v>
      </c>
      <c r="C542" s="8">
        <v>305</v>
      </c>
      <c r="D542" s="8">
        <v>1</v>
      </c>
    </row>
    <row r="543" spans="1:4" x14ac:dyDescent="0.25">
      <c r="A543" s="7" t="s">
        <v>595</v>
      </c>
      <c r="B543" s="8">
        <v>5</v>
      </c>
      <c r="C543" s="8">
        <v>115</v>
      </c>
      <c r="D543" s="8">
        <v>1</v>
      </c>
    </row>
    <row r="544" spans="1:4" x14ac:dyDescent="0.25">
      <c r="A544" s="7" t="s">
        <v>1017</v>
      </c>
      <c r="B544" s="8">
        <v>1</v>
      </c>
      <c r="C544" s="8">
        <v>271</v>
      </c>
      <c r="D544" s="8">
        <v>1</v>
      </c>
    </row>
    <row r="545" spans="1:4" x14ac:dyDescent="0.25">
      <c r="A545" s="7" t="s">
        <v>705</v>
      </c>
      <c r="B545" s="8">
        <v>2</v>
      </c>
      <c r="C545" s="8">
        <v>476</v>
      </c>
      <c r="D545" s="8">
        <v>2</v>
      </c>
    </row>
    <row r="546" spans="1:4" x14ac:dyDescent="0.25">
      <c r="A546" s="7" t="s">
        <v>437</v>
      </c>
      <c r="B546" s="8">
        <v>2</v>
      </c>
      <c r="C546" s="8">
        <v>108</v>
      </c>
      <c r="D546" s="8">
        <v>1</v>
      </c>
    </row>
    <row r="547" spans="1:4" x14ac:dyDescent="0.25">
      <c r="A547" s="7" t="s">
        <v>288</v>
      </c>
      <c r="B547" s="8">
        <v>3</v>
      </c>
      <c r="C547" s="8">
        <v>370</v>
      </c>
      <c r="D547" s="8">
        <v>2</v>
      </c>
    </row>
    <row r="548" spans="1:4" x14ac:dyDescent="0.25">
      <c r="A548" s="7" t="s">
        <v>132</v>
      </c>
      <c r="B548" s="8">
        <v>1</v>
      </c>
      <c r="C548" s="8">
        <v>261</v>
      </c>
      <c r="D548" s="8">
        <v>1</v>
      </c>
    </row>
    <row r="549" spans="1:4" x14ac:dyDescent="0.25">
      <c r="A549" s="7" t="s">
        <v>967</v>
      </c>
      <c r="B549" s="8">
        <v>2</v>
      </c>
      <c r="C549" s="8">
        <v>48</v>
      </c>
      <c r="D549" s="8">
        <v>1</v>
      </c>
    </row>
    <row r="550" spans="1:4" x14ac:dyDescent="0.25">
      <c r="A550" s="7" t="s">
        <v>899</v>
      </c>
      <c r="B550" s="8">
        <v>2</v>
      </c>
      <c r="C550" s="8">
        <v>34</v>
      </c>
      <c r="D550" s="8">
        <v>1</v>
      </c>
    </row>
    <row r="551" spans="1:4" x14ac:dyDescent="0.25">
      <c r="A551" s="7" t="s">
        <v>63</v>
      </c>
      <c r="B551" s="8">
        <v>1</v>
      </c>
      <c r="C551" s="8">
        <v>70</v>
      </c>
      <c r="D551" s="8">
        <v>1</v>
      </c>
    </row>
    <row r="552" spans="1:4" x14ac:dyDescent="0.25">
      <c r="A552" s="7" t="s">
        <v>701</v>
      </c>
      <c r="B552" s="8">
        <v>1</v>
      </c>
      <c r="C552" s="8">
        <v>79</v>
      </c>
      <c r="D552" s="8">
        <v>1</v>
      </c>
    </row>
    <row r="553" spans="1:4" x14ac:dyDescent="0.25">
      <c r="A553" s="7" t="s">
        <v>162</v>
      </c>
      <c r="B553" s="8">
        <v>2</v>
      </c>
      <c r="C553" s="8">
        <v>1335.79</v>
      </c>
      <c r="D553" s="8">
        <v>2</v>
      </c>
    </row>
    <row r="554" spans="1:4" x14ac:dyDescent="0.25">
      <c r="A554" s="7" t="s">
        <v>583</v>
      </c>
      <c r="B554" s="8">
        <v>1</v>
      </c>
      <c r="C554" s="8">
        <v>47.24</v>
      </c>
      <c r="D554" s="8">
        <v>1</v>
      </c>
    </row>
    <row r="555" spans="1:4" x14ac:dyDescent="0.25">
      <c r="A555" s="7" t="s">
        <v>1061</v>
      </c>
      <c r="B555" s="8">
        <v>1</v>
      </c>
      <c r="C555" s="8">
        <v>843</v>
      </c>
      <c r="D555" s="8">
        <v>1</v>
      </c>
    </row>
    <row r="556" spans="1:4" x14ac:dyDescent="0.25">
      <c r="A556" s="7" t="s">
        <v>354</v>
      </c>
      <c r="B556" s="8">
        <v>1</v>
      </c>
      <c r="C556" s="8">
        <v>996.23</v>
      </c>
      <c r="D556" s="8">
        <v>1</v>
      </c>
    </row>
    <row r="557" spans="1:4" x14ac:dyDescent="0.25">
      <c r="A557" s="7" t="s">
        <v>1030</v>
      </c>
      <c r="B557" s="8">
        <v>1</v>
      </c>
      <c r="C557" s="8">
        <v>452</v>
      </c>
      <c r="D557" s="8">
        <v>1</v>
      </c>
    </row>
    <row r="558" spans="1:4" x14ac:dyDescent="0.25">
      <c r="A558" s="7" t="s">
        <v>579</v>
      </c>
      <c r="B558" s="8">
        <v>1</v>
      </c>
      <c r="C558" s="8">
        <v>532</v>
      </c>
      <c r="D558" s="8">
        <v>1</v>
      </c>
    </row>
    <row r="559" spans="1:4" x14ac:dyDescent="0.25">
      <c r="A559" s="7" t="s">
        <v>1000</v>
      </c>
      <c r="B559" s="8">
        <v>1</v>
      </c>
      <c r="C559" s="8">
        <v>128</v>
      </c>
      <c r="D559" s="8">
        <v>1</v>
      </c>
    </row>
    <row r="560" spans="1:4" x14ac:dyDescent="0.25">
      <c r="A560" s="7" t="s">
        <v>1021</v>
      </c>
      <c r="B560" s="8">
        <v>0.33333332999999998</v>
      </c>
      <c r="C560" s="8">
        <v>3355.0032987499999</v>
      </c>
      <c r="D560" s="8">
        <v>1</v>
      </c>
    </row>
    <row r="561" spans="1:4" x14ac:dyDescent="0.25">
      <c r="A561" s="7" t="s">
        <v>178</v>
      </c>
      <c r="B561" s="8">
        <v>1</v>
      </c>
      <c r="C561" s="8">
        <v>357</v>
      </c>
      <c r="D561" s="8">
        <v>1</v>
      </c>
    </row>
    <row r="562" spans="1:4" x14ac:dyDescent="0.25">
      <c r="A562" s="7" t="s">
        <v>909</v>
      </c>
      <c r="B562" s="8">
        <v>1</v>
      </c>
      <c r="C562" s="8">
        <v>742</v>
      </c>
      <c r="D562" s="8">
        <v>1</v>
      </c>
    </row>
    <row r="563" spans="1:4" x14ac:dyDescent="0.25">
      <c r="A563" s="7" t="s">
        <v>615</v>
      </c>
      <c r="B563" s="8">
        <v>2</v>
      </c>
      <c r="C563" s="8">
        <v>64</v>
      </c>
      <c r="D563" s="8">
        <v>1</v>
      </c>
    </row>
    <row r="564" spans="1:4" x14ac:dyDescent="0.25">
      <c r="A564" s="7" t="s">
        <v>785</v>
      </c>
      <c r="B564" s="8">
        <v>1</v>
      </c>
      <c r="C564" s="8">
        <v>928</v>
      </c>
      <c r="D564" s="8">
        <v>1</v>
      </c>
    </row>
    <row r="565" spans="1:4" x14ac:dyDescent="0.25">
      <c r="A565" s="7" t="s">
        <v>784</v>
      </c>
      <c r="B565" s="8">
        <v>2</v>
      </c>
      <c r="C565" s="8">
        <v>1408</v>
      </c>
      <c r="D565" s="8">
        <v>1</v>
      </c>
    </row>
    <row r="566" spans="1:4" x14ac:dyDescent="0.25">
      <c r="A566" s="7" t="s">
        <v>1141</v>
      </c>
      <c r="B566" s="8">
        <v>1</v>
      </c>
      <c r="C566" s="8">
        <v>52</v>
      </c>
      <c r="D566" s="8">
        <v>1</v>
      </c>
    </row>
    <row r="567" spans="1:4" x14ac:dyDescent="0.25">
      <c r="A567" s="7" t="s">
        <v>183</v>
      </c>
      <c r="B567" s="8">
        <v>1</v>
      </c>
      <c r="C567" s="8">
        <v>651</v>
      </c>
      <c r="D567" s="8">
        <v>1</v>
      </c>
    </row>
    <row r="568" spans="1:4" x14ac:dyDescent="0.25">
      <c r="A568" s="7" t="s">
        <v>1024</v>
      </c>
      <c r="B568" s="8">
        <v>1</v>
      </c>
      <c r="C568" s="8">
        <v>64</v>
      </c>
      <c r="D568" s="8">
        <v>1</v>
      </c>
    </row>
    <row r="569" spans="1:4" x14ac:dyDescent="0.25">
      <c r="A569" s="7" t="s">
        <v>126</v>
      </c>
      <c r="B569" s="8">
        <v>1</v>
      </c>
      <c r="C569" s="8">
        <v>124</v>
      </c>
      <c r="D569" s="8">
        <v>1</v>
      </c>
    </row>
    <row r="570" spans="1:4" x14ac:dyDescent="0.25">
      <c r="A570" s="7" t="s">
        <v>510</v>
      </c>
      <c r="B570" s="8">
        <v>1</v>
      </c>
      <c r="C570" s="8">
        <v>676</v>
      </c>
      <c r="D570" s="8">
        <v>1</v>
      </c>
    </row>
    <row r="571" spans="1:4" x14ac:dyDescent="0.25">
      <c r="A571" s="7" t="s">
        <v>602</v>
      </c>
      <c r="B571" s="8">
        <v>1</v>
      </c>
      <c r="C571" s="8">
        <v>255</v>
      </c>
      <c r="D571" s="8">
        <v>1</v>
      </c>
    </row>
    <row r="572" spans="1:4" x14ac:dyDescent="0.25">
      <c r="A572" s="7" t="s">
        <v>898</v>
      </c>
      <c r="B572" s="8">
        <v>1</v>
      </c>
      <c r="C572" s="8">
        <v>563</v>
      </c>
      <c r="D572" s="8">
        <v>1</v>
      </c>
    </row>
    <row r="573" spans="1:4" x14ac:dyDescent="0.25">
      <c r="A573" s="7" t="s">
        <v>467</v>
      </c>
      <c r="B573" s="8">
        <v>1</v>
      </c>
      <c r="C573" s="8">
        <v>378.65</v>
      </c>
      <c r="D573" s="8">
        <v>1</v>
      </c>
    </row>
    <row r="574" spans="1:4" x14ac:dyDescent="0.25">
      <c r="A574" s="7" t="s">
        <v>605</v>
      </c>
      <c r="B574" s="8">
        <v>0.5</v>
      </c>
      <c r="C574" s="8">
        <v>324</v>
      </c>
      <c r="D574" s="8">
        <v>2</v>
      </c>
    </row>
    <row r="575" spans="1:4" x14ac:dyDescent="0.25">
      <c r="A575" s="7" t="s">
        <v>250</v>
      </c>
      <c r="B575" s="8">
        <v>7</v>
      </c>
      <c r="C575" s="8">
        <v>173</v>
      </c>
      <c r="D575" s="8">
        <v>4</v>
      </c>
    </row>
    <row r="576" spans="1:4" x14ac:dyDescent="0.25">
      <c r="A576" s="7" t="s">
        <v>828</v>
      </c>
      <c r="B576" s="8">
        <v>6</v>
      </c>
      <c r="C576" s="8">
        <v>692</v>
      </c>
      <c r="D576" s="8">
        <v>3</v>
      </c>
    </row>
    <row r="577" spans="1:4" x14ac:dyDescent="0.25">
      <c r="A577" s="7" t="s">
        <v>901</v>
      </c>
      <c r="B577" s="8">
        <v>1</v>
      </c>
      <c r="C577" s="8">
        <v>532</v>
      </c>
      <c r="D577" s="8">
        <v>1</v>
      </c>
    </row>
    <row r="578" spans="1:4" x14ac:dyDescent="0.25">
      <c r="A578" s="7" t="s">
        <v>152</v>
      </c>
      <c r="B578" s="8">
        <v>1</v>
      </c>
      <c r="C578" s="8">
        <v>190</v>
      </c>
      <c r="D578" s="8">
        <v>1</v>
      </c>
    </row>
    <row r="579" spans="1:4" x14ac:dyDescent="0.25">
      <c r="A579" s="7" t="s">
        <v>514</v>
      </c>
      <c r="B579" s="8">
        <v>1</v>
      </c>
      <c r="C579" s="8">
        <v>49</v>
      </c>
      <c r="D579" s="8">
        <v>1</v>
      </c>
    </row>
    <row r="580" spans="1:4" x14ac:dyDescent="0.25">
      <c r="A580" s="7" t="s">
        <v>1143</v>
      </c>
      <c r="B580" s="8">
        <v>13</v>
      </c>
      <c r="C580" s="8">
        <v>1557</v>
      </c>
      <c r="D580" s="8">
        <v>1</v>
      </c>
    </row>
    <row r="581" spans="1:4" x14ac:dyDescent="0.25">
      <c r="A581" s="7" t="s">
        <v>1101</v>
      </c>
      <c r="B581" s="8">
        <v>2</v>
      </c>
      <c r="C581" s="8">
        <v>336</v>
      </c>
      <c r="D581" s="8">
        <v>1</v>
      </c>
    </row>
    <row r="582" spans="1:4" x14ac:dyDescent="0.25">
      <c r="A582" s="7" t="s">
        <v>164</v>
      </c>
      <c r="B582" s="8">
        <v>1</v>
      </c>
      <c r="C582" s="8">
        <v>286.20999999999998</v>
      </c>
      <c r="D582" s="8">
        <v>1</v>
      </c>
    </row>
    <row r="583" spans="1:4" x14ac:dyDescent="0.25">
      <c r="A583" s="7" t="s">
        <v>879</v>
      </c>
      <c r="B583" s="8">
        <v>0.1</v>
      </c>
      <c r="C583" s="8">
        <v>75.900000000000006</v>
      </c>
      <c r="D583" s="8">
        <v>1</v>
      </c>
    </row>
    <row r="584" spans="1:4" x14ac:dyDescent="0.25">
      <c r="A584" s="7" t="s">
        <v>1085</v>
      </c>
      <c r="B584" s="8">
        <v>0.33333332999999998</v>
      </c>
      <c r="C584" s="8">
        <v>676.33332656999994</v>
      </c>
      <c r="D584" s="8">
        <v>1</v>
      </c>
    </row>
    <row r="585" spans="1:4" x14ac:dyDescent="0.25">
      <c r="A585" s="7" t="s">
        <v>892</v>
      </c>
      <c r="B585" s="8">
        <v>1</v>
      </c>
      <c r="C585" s="8">
        <v>658</v>
      </c>
      <c r="D585" s="8">
        <v>1</v>
      </c>
    </row>
    <row r="586" spans="1:4" x14ac:dyDescent="0.25">
      <c r="A586" s="7" t="s">
        <v>1175</v>
      </c>
      <c r="B586" s="8">
        <v>2</v>
      </c>
      <c r="C586" s="8">
        <v>1764</v>
      </c>
      <c r="D586" s="8">
        <v>1</v>
      </c>
    </row>
    <row r="587" spans="1:4" x14ac:dyDescent="0.25">
      <c r="A587" s="7" t="s">
        <v>412</v>
      </c>
      <c r="B587" s="8">
        <v>1</v>
      </c>
      <c r="C587" s="8">
        <v>759</v>
      </c>
      <c r="D587" s="8">
        <v>1</v>
      </c>
    </row>
    <row r="588" spans="1:4" x14ac:dyDescent="0.25">
      <c r="A588" s="7" t="s">
        <v>1132</v>
      </c>
      <c r="B588" s="8">
        <v>1</v>
      </c>
      <c r="C588" s="8">
        <v>257</v>
      </c>
      <c r="D588" s="8">
        <v>1</v>
      </c>
    </row>
    <row r="589" spans="1:4" x14ac:dyDescent="0.25">
      <c r="A589" s="7" t="s">
        <v>630</v>
      </c>
      <c r="B589" s="8">
        <v>1</v>
      </c>
      <c r="C589" s="8">
        <v>421</v>
      </c>
      <c r="D589" s="8">
        <v>1</v>
      </c>
    </row>
    <row r="590" spans="1:4" x14ac:dyDescent="0.25">
      <c r="A590" s="7" t="s">
        <v>1209</v>
      </c>
      <c r="B590" s="8">
        <v>1</v>
      </c>
      <c r="C590" s="8">
        <v>472</v>
      </c>
      <c r="D590" s="8">
        <v>1</v>
      </c>
    </row>
    <row r="591" spans="1:4" x14ac:dyDescent="0.25">
      <c r="A591" s="7" t="s">
        <v>590</v>
      </c>
      <c r="B591" s="8">
        <v>3</v>
      </c>
      <c r="C591" s="8">
        <v>93</v>
      </c>
      <c r="D591" s="8">
        <v>1</v>
      </c>
    </row>
    <row r="592" spans="1:4" x14ac:dyDescent="0.25">
      <c r="A592" s="7" t="s">
        <v>1020</v>
      </c>
      <c r="B592" s="8">
        <v>2</v>
      </c>
      <c r="C592" s="8">
        <v>180</v>
      </c>
      <c r="D592" s="8">
        <v>1</v>
      </c>
    </row>
    <row r="593" spans="1:4" x14ac:dyDescent="0.25">
      <c r="A593" s="7" t="s">
        <v>763</v>
      </c>
      <c r="B593" s="8">
        <v>1</v>
      </c>
      <c r="C593" s="8">
        <v>1086.3300002199999</v>
      </c>
      <c r="D593" s="8">
        <v>2</v>
      </c>
    </row>
    <row r="594" spans="1:4" x14ac:dyDescent="0.25">
      <c r="A594" s="7" t="s">
        <v>1094</v>
      </c>
      <c r="B594" s="8">
        <v>1</v>
      </c>
      <c r="C594" s="8">
        <v>94</v>
      </c>
      <c r="D594" s="8">
        <v>1</v>
      </c>
    </row>
    <row r="595" spans="1:4" x14ac:dyDescent="0.25">
      <c r="A595" s="7" t="s">
        <v>695</v>
      </c>
      <c r="B595" s="8">
        <v>1</v>
      </c>
      <c r="C595" s="8">
        <v>359</v>
      </c>
      <c r="D595" s="8">
        <v>1</v>
      </c>
    </row>
    <row r="596" spans="1:4" x14ac:dyDescent="0.25">
      <c r="A596" s="7" t="s">
        <v>55</v>
      </c>
      <c r="B596" s="8">
        <v>3</v>
      </c>
      <c r="C596" s="8">
        <v>263.37</v>
      </c>
      <c r="D596" s="8">
        <v>2</v>
      </c>
    </row>
    <row r="597" spans="1:4" x14ac:dyDescent="0.25">
      <c r="A597" s="7" t="s">
        <v>617</v>
      </c>
      <c r="B597" s="8">
        <v>3</v>
      </c>
      <c r="C597" s="8">
        <v>75</v>
      </c>
      <c r="D597" s="8">
        <v>2</v>
      </c>
    </row>
    <row r="598" spans="1:4" x14ac:dyDescent="0.25">
      <c r="A598" s="7" t="s">
        <v>878</v>
      </c>
      <c r="B598" s="8">
        <v>1</v>
      </c>
      <c r="C598" s="8">
        <v>101</v>
      </c>
      <c r="D598" s="8">
        <v>1</v>
      </c>
    </row>
    <row r="599" spans="1:4" x14ac:dyDescent="0.25">
      <c r="A599" s="7" t="s">
        <v>676</v>
      </c>
      <c r="B599" s="8">
        <v>3</v>
      </c>
      <c r="C599" s="8">
        <v>87.56</v>
      </c>
      <c r="D599" s="8">
        <v>2</v>
      </c>
    </row>
    <row r="600" spans="1:4" x14ac:dyDescent="0.25">
      <c r="A600" s="7" t="s">
        <v>281</v>
      </c>
      <c r="B600" s="8">
        <v>3</v>
      </c>
      <c r="C600" s="8">
        <v>290</v>
      </c>
      <c r="D600" s="8">
        <v>3</v>
      </c>
    </row>
    <row r="601" spans="1:4" x14ac:dyDescent="0.25">
      <c r="A601" s="7" t="s">
        <v>134</v>
      </c>
      <c r="B601" s="8">
        <v>1</v>
      </c>
      <c r="C601" s="8">
        <v>405</v>
      </c>
      <c r="D601" s="8">
        <v>1</v>
      </c>
    </row>
    <row r="602" spans="1:4" x14ac:dyDescent="0.25">
      <c r="A602" s="7" t="s">
        <v>1220</v>
      </c>
      <c r="B602" s="8">
        <v>0.33333333999999998</v>
      </c>
      <c r="C602" s="8">
        <v>680.33334693999996</v>
      </c>
      <c r="D602" s="8">
        <v>1</v>
      </c>
    </row>
    <row r="603" spans="1:4" x14ac:dyDescent="0.25">
      <c r="A603" s="7" t="s">
        <v>816</v>
      </c>
      <c r="B603" s="8">
        <v>1</v>
      </c>
      <c r="C603" s="8">
        <v>409</v>
      </c>
      <c r="D603" s="8">
        <v>1</v>
      </c>
    </row>
    <row r="604" spans="1:4" x14ac:dyDescent="0.25">
      <c r="A604" s="7" t="s">
        <v>1092</v>
      </c>
      <c r="B604" s="8">
        <v>1</v>
      </c>
      <c r="C604" s="8">
        <v>247</v>
      </c>
      <c r="D604" s="8">
        <v>1</v>
      </c>
    </row>
    <row r="605" spans="1:4" x14ac:dyDescent="0.25">
      <c r="A605" s="7" t="s">
        <v>149</v>
      </c>
      <c r="B605" s="8">
        <v>3</v>
      </c>
      <c r="C605" s="8">
        <v>295</v>
      </c>
      <c r="D605" s="8">
        <v>2</v>
      </c>
    </row>
    <row r="606" spans="1:4" x14ac:dyDescent="0.25">
      <c r="A606" s="7" t="s">
        <v>1010</v>
      </c>
      <c r="B606" s="8">
        <v>1</v>
      </c>
      <c r="C606" s="8">
        <v>76</v>
      </c>
      <c r="D606" s="8">
        <v>1</v>
      </c>
    </row>
    <row r="607" spans="1:4" x14ac:dyDescent="0.25">
      <c r="A607" s="7" t="s">
        <v>271</v>
      </c>
      <c r="B607" s="8">
        <v>1</v>
      </c>
      <c r="C607" s="8">
        <v>266</v>
      </c>
      <c r="D607" s="8">
        <v>1</v>
      </c>
    </row>
    <row r="608" spans="1:4" x14ac:dyDescent="0.25">
      <c r="A608" s="7" t="s">
        <v>304</v>
      </c>
      <c r="B608" s="8">
        <v>3</v>
      </c>
      <c r="C608" s="8">
        <v>203</v>
      </c>
      <c r="D608" s="8">
        <v>2</v>
      </c>
    </row>
    <row r="609" spans="1:4" x14ac:dyDescent="0.25">
      <c r="A609" s="7" t="s">
        <v>968</v>
      </c>
      <c r="B609" s="8">
        <v>1</v>
      </c>
      <c r="C609" s="8">
        <v>25</v>
      </c>
      <c r="D609" s="8">
        <v>1</v>
      </c>
    </row>
    <row r="610" spans="1:4" x14ac:dyDescent="0.25">
      <c r="A610" s="7" t="s">
        <v>237</v>
      </c>
      <c r="B610" s="8">
        <v>3</v>
      </c>
      <c r="C610" s="8">
        <v>65</v>
      </c>
      <c r="D610" s="8">
        <v>2</v>
      </c>
    </row>
    <row r="611" spans="1:4" x14ac:dyDescent="0.25">
      <c r="A611" s="7" t="s">
        <v>267</v>
      </c>
      <c r="B611" s="8">
        <v>2</v>
      </c>
      <c r="C611" s="8">
        <v>141</v>
      </c>
      <c r="D611" s="8">
        <v>1</v>
      </c>
    </row>
    <row r="612" spans="1:4" x14ac:dyDescent="0.25">
      <c r="A612" s="7" t="s">
        <v>997</v>
      </c>
      <c r="B612" s="8">
        <v>2</v>
      </c>
      <c r="C612" s="8">
        <v>78</v>
      </c>
      <c r="D612" s="8">
        <v>1</v>
      </c>
    </row>
    <row r="613" spans="1:4" x14ac:dyDescent="0.25">
      <c r="A613" s="7" t="s">
        <v>406</v>
      </c>
      <c r="B613" s="8">
        <v>1</v>
      </c>
      <c r="C613" s="8">
        <v>16</v>
      </c>
      <c r="D613" s="8">
        <v>1</v>
      </c>
    </row>
    <row r="614" spans="1:4" x14ac:dyDescent="0.25">
      <c r="A614" s="7" t="s">
        <v>641</v>
      </c>
      <c r="B614" s="8">
        <v>3</v>
      </c>
      <c r="C614" s="8">
        <v>173</v>
      </c>
      <c r="D614" s="8">
        <v>1</v>
      </c>
    </row>
    <row r="615" spans="1:4" x14ac:dyDescent="0.25">
      <c r="A615" s="7" t="s">
        <v>265</v>
      </c>
      <c r="B615" s="8">
        <v>1</v>
      </c>
      <c r="C615" s="8">
        <v>62</v>
      </c>
      <c r="D615" s="8">
        <v>1</v>
      </c>
    </row>
    <row r="616" spans="1:4" x14ac:dyDescent="0.25">
      <c r="A616" s="7" t="s">
        <v>503</v>
      </c>
      <c r="B616" s="8">
        <v>1</v>
      </c>
      <c r="C616" s="8">
        <v>108</v>
      </c>
      <c r="D616" s="8">
        <v>1</v>
      </c>
    </row>
    <row r="617" spans="1:4" x14ac:dyDescent="0.25">
      <c r="A617" s="7" t="s">
        <v>403</v>
      </c>
      <c r="B617" s="8">
        <v>1</v>
      </c>
      <c r="C617" s="8">
        <v>149</v>
      </c>
      <c r="D617" s="8">
        <v>1</v>
      </c>
    </row>
    <row r="618" spans="1:4" x14ac:dyDescent="0.25">
      <c r="A618" s="7" t="s">
        <v>430</v>
      </c>
      <c r="B618" s="8">
        <v>1</v>
      </c>
      <c r="C618" s="8">
        <v>585</v>
      </c>
      <c r="D618" s="8">
        <v>1</v>
      </c>
    </row>
    <row r="619" spans="1:4" x14ac:dyDescent="0.25">
      <c r="A619" s="7" t="s">
        <v>434</v>
      </c>
      <c r="B619" s="8">
        <v>3</v>
      </c>
      <c r="C619" s="8">
        <v>465</v>
      </c>
      <c r="D619" s="8">
        <v>1</v>
      </c>
    </row>
    <row r="620" spans="1:4" x14ac:dyDescent="0.25">
      <c r="A620" s="7" t="s">
        <v>176</v>
      </c>
      <c r="B620" s="8">
        <v>6</v>
      </c>
      <c r="C620" s="8">
        <v>214.97</v>
      </c>
      <c r="D620" s="8">
        <v>3</v>
      </c>
    </row>
    <row r="621" spans="1:4" x14ac:dyDescent="0.25">
      <c r="A621" s="7" t="s">
        <v>859</v>
      </c>
      <c r="B621" s="8">
        <v>1</v>
      </c>
      <c r="C621" s="8">
        <v>44</v>
      </c>
      <c r="D621" s="8">
        <v>1</v>
      </c>
    </row>
    <row r="622" spans="1:4" x14ac:dyDescent="0.25">
      <c r="A622" s="7" t="s">
        <v>960</v>
      </c>
      <c r="B622" s="8">
        <v>0.28000000000000003</v>
      </c>
      <c r="C622" s="8">
        <v>163</v>
      </c>
      <c r="D622" s="8">
        <v>1</v>
      </c>
    </row>
    <row r="623" spans="1:4" x14ac:dyDescent="0.25">
      <c r="A623" s="7" t="s">
        <v>1218</v>
      </c>
      <c r="B623" s="8">
        <v>0.33333332999999998</v>
      </c>
      <c r="C623" s="8">
        <v>919.99998977999996</v>
      </c>
      <c r="D623" s="8">
        <v>1</v>
      </c>
    </row>
    <row r="624" spans="1:4" x14ac:dyDescent="0.25">
      <c r="A624" s="7" t="s">
        <v>921</v>
      </c>
      <c r="B624" s="8">
        <v>0.33333332999999998</v>
      </c>
      <c r="C624" s="8">
        <v>964.99665594999999</v>
      </c>
      <c r="D624" s="8">
        <v>1</v>
      </c>
    </row>
    <row r="625" spans="1:4" x14ac:dyDescent="0.25">
      <c r="A625" s="7" t="s">
        <v>1041</v>
      </c>
      <c r="B625" s="8">
        <v>1</v>
      </c>
      <c r="C625" s="8">
        <v>1033</v>
      </c>
      <c r="D625" s="8">
        <v>1</v>
      </c>
    </row>
    <row r="626" spans="1:4" x14ac:dyDescent="0.25">
      <c r="A626" s="7" t="s">
        <v>1089</v>
      </c>
      <c r="B626" s="8">
        <v>2</v>
      </c>
      <c r="C626" s="8">
        <v>72</v>
      </c>
      <c r="D626" s="8">
        <v>1</v>
      </c>
    </row>
    <row r="627" spans="1:4" x14ac:dyDescent="0.25">
      <c r="A627" s="7" t="s">
        <v>340</v>
      </c>
      <c r="B627" s="8">
        <v>2</v>
      </c>
      <c r="C627" s="8">
        <v>418</v>
      </c>
      <c r="D627" s="8">
        <v>2</v>
      </c>
    </row>
    <row r="628" spans="1:4" x14ac:dyDescent="0.25">
      <c r="A628" s="7" t="s">
        <v>240</v>
      </c>
      <c r="B628" s="8">
        <v>1</v>
      </c>
      <c r="C628" s="8">
        <v>450</v>
      </c>
      <c r="D628" s="8">
        <v>1</v>
      </c>
    </row>
    <row r="629" spans="1:4" x14ac:dyDescent="0.25">
      <c r="A629" s="7" t="s">
        <v>537</v>
      </c>
      <c r="B629" s="8">
        <v>1</v>
      </c>
      <c r="C629" s="8">
        <v>672</v>
      </c>
      <c r="D629" s="8">
        <v>1</v>
      </c>
    </row>
    <row r="630" spans="1:4" x14ac:dyDescent="0.25">
      <c r="A630" s="7" t="s">
        <v>681</v>
      </c>
      <c r="B630" s="8">
        <v>1</v>
      </c>
      <c r="C630" s="8">
        <v>279</v>
      </c>
      <c r="D630" s="8">
        <v>1</v>
      </c>
    </row>
    <row r="631" spans="1:4" x14ac:dyDescent="0.25">
      <c r="A631" s="7" t="s">
        <v>471</v>
      </c>
      <c r="B631" s="8">
        <v>1</v>
      </c>
      <c r="C631" s="8">
        <v>199</v>
      </c>
      <c r="D631" s="8">
        <v>1</v>
      </c>
    </row>
    <row r="632" spans="1:4" x14ac:dyDescent="0.25">
      <c r="A632" s="7" t="s">
        <v>344</v>
      </c>
      <c r="B632" s="8">
        <v>1</v>
      </c>
      <c r="C632" s="8">
        <v>172</v>
      </c>
      <c r="D632" s="8">
        <v>1</v>
      </c>
    </row>
    <row r="633" spans="1:4" x14ac:dyDescent="0.25">
      <c r="A633" s="7" t="s">
        <v>243</v>
      </c>
      <c r="B633" s="8">
        <v>1</v>
      </c>
      <c r="C633" s="8">
        <v>806</v>
      </c>
      <c r="D633" s="8">
        <v>1</v>
      </c>
    </row>
    <row r="634" spans="1:4" x14ac:dyDescent="0.25">
      <c r="A634" s="7" t="s">
        <v>767</v>
      </c>
      <c r="B634" s="8">
        <v>4</v>
      </c>
      <c r="C634" s="8">
        <v>126.96000000000001</v>
      </c>
      <c r="D634" s="8">
        <v>3</v>
      </c>
    </row>
    <row r="635" spans="1:4" x14ac:dyDescent="0.25">
      <c r="A635" s="7" t="s">
        <v>370</v>
      </c>
      <c r="B635" s="8">
        <v>1</v>
      </c>
      <c r="C635" s="8">
        <v>36</v>
      </c>
      <c r="D635" s="8">
        <v>1</v>
      </c>
    </row>
    <row r="636" spans="1:4" x14ac:dyDescent="0.25">
      <c r="A636" s="7" t="s">
        <v>359</v>
      </c>
      <c r="B636" s="8">
        <v>2</v>
      </c>
      <c r="C636" s="8">
        <v>77</v>
      </c>
      <c r="D636" s="8">
        <v>1</v>
      </c>
    </row>
    <row r="637" spans="1:4" x14ac:dyDescent="0.25">
      <c r="A637" s="7" t="s">
        <v>361</v>
      </c>
      <c r="B637" s="8">
        <v>1</v>
      </c>
      <c r="C637" s="8">
        <v>41</v>
      </c>
      <c r="D637" s="8">
        <v>1</v>
      </c>
    </row>
    <row r="638" spans="1:4" x14ac:dyDescent="0.25">
      <c r="A638" s="7" t="s">
        <v>866</v>
      </c>
      <c r="B638" s="8">
        <v>5</v>
      </c>
      <c r="C638" s="8">
        <v>256</v>
      </c>
      <c r="D638" s="8">
        <v>2</v>
      </c>
    </row>
    <row r="639" spans="1:4" x14ac:dyDescent="0.25">
      <c r="A639" s="7" t="s">
        <v>1074</v>
      </c>
      <c r="B639" s="8">
        <v>3</v>
      </c>
      <c r="C639" s="8">
        <v>295.23</v>
      </c>
      <c r="D639" s="8">
        <v>1</v>
      </c>
    </row>
    <row r="640" spans="1:4" x14ac:dyDescent="0.25">
      <c r="A640" s="7" t="s">
        <v>1225</v>
      </c>
      <c r="B640" s="8">
        <v>1</v>
      </c>
      <c r="C640" s="8">
        <v>322</v>
      </c>
      <c r="D640" s="8">
        <v>1</v>
      </c>
    </row>
    <row r="641" spans="1:4" x14ac:dyDescent="0.25">
      <c r="A641" s="7" t="s">
        <v>980</v>
      </c>
      <c r="B641" s="8">
        <v>1</v>
      </c>
      <c r="C641" s="8">
        <v>193</v>
      </c>
      <c r="D641" s="8">
        <v>1</v>
      </c>
    </row>
    <row r="642" spans="1:4" x14ac:dyDescent="0.25">
      <c r="A642" s="7" t="s">
        <v>1196</v>
      </c>
      <c r="B642" s="8">
        <v>1</v>
      </c>
      <c r="C642" s="8">
        <v>266</v>
      </c>
      <c r="D642" s="8">
        <v>1</v>
      </c>
    </row>
    <row r="643" spans="1:4" x14ac:dyDescent="0.25">
      <c r="A643" s="7" t="s">
        <v>798</v>
      </c>
      <c r="B643" s="8">
        <v>1</v>
      </c>
      <c r="C643" s="8">
        <v>174</v>
      </c>
      <c r="D643" s="8">
        <v>1</v>
      </c>
    </row>
    <row r="644" spans="1:4" x14ac:dyDescent="0.25">
      <c r="A644" s="7" t="s">
        <v>160</v>
      </c>
      <c r="B644" s="8">
        <v>4</v>
      </c>
      <c r="C644" s="8">
        <v>476</v>
      </c>
      <c r="D644" s="8">
        <v>2</v>
      </c>
    </row>
    <row r="645" spans="1:4" x14ac:dyDescent="0.25">
      <c r="A645" s="7" t="s">
        <v>845</v>
      </c>
      <c r="B645" s="8">
        <v>2</v>
      </c>
      <c r="C645" s="8">
        <v>1440</v>
      </c>
      <c r="D645" s="8">
        <v>2</v>
      </c>
    </row>
    <row r="646" spans="1:4" x14ac:dyDescent="0.25">
      <c r="A646" s="7" t="s">
        <v>219</v>
      </c>
      <c r="B646" s="8">
        <v>1</v>
      </c>
      <c r="C646" s="8">
        <v>148</v>
      </c>
      <c r="D646" s="8">
        <v>1</v>
      </c>
    </row>
    <row r="647" spans="1:4" x14ac:dyDescent="0.25">
      <c r="A647" s="7" t="s">
        <v>293</v>
      </c>
      <c r="B647" s="8">
        <v>3</v>
      </c>
      <c r="C647" s="8">
        <v>262</v>
      </c>
      <c r="D647" s="8">
        <v>3</v>
      </c>
    </row>
    <row r="648" spans="1:4" x14ac:dyDescent="0.25">
      <c r="A648" s="7" t="s">
        <v>790</v>
      </c>
      <c r="B648" s="8">
        <v>1</v>
      </c>
      <c r="C648" s="8">
        <v>468</v>
      </c>
      <c r="D648" s="8">
        <v>1</v>
      </c>
    </row>
    <row r="649" spans="1:4" x14ac:dyDescent="0.25">
      <c r="A649" s="7" t="s">
        <v>1026</v>
      </c>
      <c r="B649" s="8">
        <v>1</v>
      </c>
      <c r="C649" s="8">
        <v>176</v>
      </c>
      <c r="D649" s="8">
        <v>1</v>
      </c>
    </row>
    <row r="650" spans="1:4" x14ac:dyDescent="0.25">
      <c r="A650" s="7" t="s">
        <v>973</v>
      </c>
      <c r="B650" s="8">
        <v>0.2</v>
      </c>
      <c r="C650" s="8">
        <v>102.00000000000001</v>
      </c>
      <c r="D650" s="8">
        <v>1</v>
      </c>
    </row>
    <row r="651" spans="1:4" x14ac:dyDescent="0.25">
      <c r="A651" s="7" t="s">
        <v>562</v>
      </c>
      <c r="B651" s="8">
        <v>1</v>
      </c>
      <c r="C651" s="8">
        <v>204</v>
      </c>
      <c r="D651" s="8">
        <v>1</v>
      </c>
    </row>
    <row r="652" spans="1:4" x14ac:dyDescent="0.25">
      <c r="A652" s="7" t="s">
        <v>570</v>
      </c>
      <c r="B652" s="8">
        <v>2</v>
      </c>
      <c r="C652" s="8">
        <v>429</v>
      </c>
      <c r="D652" s="8">
        <v>2</v>
      </c>
    </row>
    <row r="653" spans="1:4" x14ac:dyDescent="0.25">
      <c r="A653" s="7" t="s">
        <v>574</v>
      </c>
      <c r="B653" s="8">
        <v>3</v>
      </c>
      <c r="C653" s="8">
        <v>158</v>
      </c>
      <c r="D653" s="8">
        <v>2</v>
      </c>
    </row>
    <row r="654" spans="1:4" x14ac:dyDescent="0.25">
      <c r="A654" s="7" t="s">
        <v>105</v>
      </c>
      <c r="B654" s="8">
        <v>1</v>
      </c>
      <c r="C654" s="8">
        <v>110</v>
      </c>
      <c r="D654" s="8">
        <v>1</v>
      </c>
    </row>
    <row r="655" spans="1:4" x14ac:dyDescent="0.25">
      <c r="A655" s="7" t="s">
        <v>571</v>
      </c>
      <c r="B655" s="8">
        <v>3</v>
      </c>
      <c r="C655" s="8">
        <v>1548.26</v>
      </c>
      <c r="D655" s="8">
        <v>3</v>
      </c>
    </row>
    <row r="656" spans="1:4" x14ac:dyDescent="0.25">
      <c r="A656" s="7" t="s">
        <v>1045</v>
      </c>
      <c r="B656" s="8">
        <v>1</v>
      </c>
      <c r="C656" s="8">
        <v>632</v>
      </c>
      <c r="D656" s="8">
        <v>1</v>
      </c>
    </row>
    <row r="657" spans="1:4" x14ac:dyDescent="0.25">
      <c r="A657" s="7" t="s">
        <v>760</v>
      </c>
      <c r="B657" s="8">
        <v>1</v>
      </c>
      <c r="C657" s="8">
        <v>416</v>
      </c>
      <c r="D657" s="8">
        <v>1</v>
      </c>
    </row>
    <row r="658" spans="1:4" x14ac:dyDescent="0.25">
      <c r="A658" s="7" t="s">
        <v>1167</v>
      </c>
      <c r="B658" s="8">
        <v>1</v>
      </c>
      <c r="C658" s="8">
        <v>363</v>
      </c>
      <c r="D658" s="8">
        <v>1</v>
      </c>
    </row>
    <row r="659" spans="1:4" x14ac:dyDescent="0.25">
      <c r="A659" s="7" t="s">
        <v>47</v>
      </c>
      <c r="B659" s="8">
        <v>4</v>
      </c>
      <c r="C659" s="8">
        <v>222</v>
      </c>
      <c r="D659" s="8">
        <v>3</v>
      </c>
    </row>
    <row r="660" spans="1:4" x14ac:dyDescent="0.25">
      <c r="A660" s="7" t="s">
        <v>619</v>
      </c>
      <c r="B660" s="8">
        <v>1</v>
      </c>
      <c r="C660" s="8">
        <v>1316</v>
      </c>
      <c r="D660" s="8">
        <v>1</v>
      </c>
    </row>
    <row r="661" spans="1:4" x14ac:dyDescent="0.25">
      <c r="A661" s="7" t="s">
        <v>1136</v>
      </c>
      <c r="B661" s="8">
        <v>1</v>
      </c>
      <c r="C661" s="8">
        <v>351</v>
      </c>
      <c r="D661" s="8">
        <v>1</v>
      </c>
    </row>
    <row r="662" spans="1:4" x14ac:dyDescent="0.25">
      <c r="A662" s="7" t="s">
        <v>561</v>
      </c>
      <c r="B662" s="8">
        <v>1</v>
      </c>
      <c r="C662" s="8">
        <v>282</v>
      </c>
      <c r="D662" s="8">
        <v>1</v>
      </c>
    </row>
    <row r="663" spans="1:4" x14ac:dyDescent="0.25">
      <c r="A663" s="7" t="s">
        <v>396</v>
      </c>
      <c r="B663" s="8">
        <v>2</v>
      </c>
      <c r="C663" s="8">
        <v>192.37</v>
      </c>
      <c r="D663" s="8">
        <v>2</v>
      </c>
    </row>
    <row r="664" spans="1:4" x14ac:dyDescent="0.25">
      <c r="A664" s="7" t="s">
        <v>1139</v>
      </c>
      <c r="B664" s="8">
        <v>1</v>
      </c>
      <c r="C664" s="8">
        <v>49</v>
      </c>
      <c r="D664" s="8">
        <v>1</v>
      </c>
    </row>
    <row r="665" spans="1:4" x14ac:dyDescent="0.25">
      <c r="A665" s="7" t="s">
        <v>1171</v>
      </c>
      <c r="B665" s="8">
        <v>1</v>
      </c>
      <c r="C665" s="8">
        <v>643</v>
      </c>
      <c r="D665" s="8">
        <v>1</v>
      </c>
    </row>
    <row r="666" spans="1:4" x14ac:dyDescent="0.25">
      <c r="A666" s="7" t="s">
        <v>696</v>
      </c>
      <c r="B666" s="8">
        <v>1</v>
      </c>
      <c r="C666" s="8">
        <v>1034</v>
      </c>
      <c r="D666" s="8">
        <v>1</v>
      </c>
    </row>
    <row r="667" spans="1:4" x14ac:dyDescent="0.25">
      <c r="A667" s="7" t="s">
        <v>1034</v>
      </c>
      <c r="B667" s="8">
        <v>2</v>
      </c>
      <c r="C667" s="8">
        <v>311.33</v>
      </c>
      <c r="D667" s="8">
        <v>1</v>
      </c>
    </row>
    <row r="668" spans="1:4" x14ac:dyDescent="0.25">
      <c r="A668" s="7" t="s">
        <v>755</v>
      </c>
      <c r="B668" s="8">
        <v>2</v>
      </c>
      <c r="C668" s="8">
        <v>242</v>
      </c>
      <c r="D668" s="8">
        <v>1</v>
      </c>
    </row>
    <row r="669" spans="1:4" x14ac:dyDescent="0.25">
      <c r="A669" s="7" t="s">
        <v>891</v>
      </c>
      <c r="B669" s="8">
        <v>1</v>
      </c>
      <c r="C669" s="8">
        <v>361</v>
      </c>
      <c r="D669" s="8">
        <v>1</v>
      </c>
    </row>
    <row r="670" spans="1:4" x14ac:dyDescent="0.25">
      <c r="A670" s="7" t="s">
        <v>347</v>
      </c>
      <c r="B670" s="8">
        <v>1</v>
      </c>
      <c r="C670" s="8">
        <v>87</v>
      </c>
      <c r="D670" s="8">
        <v>1</v>
      </c>
    </row>
    <row r="671" spans="1:4" x14ac:dyDescent="0.25">
      <c r="A671" s="7" t="s">
        <v>1091</v>
      </c>
      <c r="B671" s="8">
        <v>1</v>
      </c>
      <c r="C671" s="8">
        <v>74</v>
      </c>
      <c r="D671" s="8">
        <v>1</v>
      </c>
    </row>
    <row r="672" spans="1:4" x14ac:dyDescent="0.25">
      <c r="A672" s="7" t="s">
        <v>667</v>
      </c>
      <c r="B672" s="8">
        <v>4</v>
      </c>
      <c r="C672" s="8">
        <v>188</v>
      </c>
      <c r="D672" s="8">
        <v>2</v>
      </c>
    </row>
    <row r="673" spans="1:4" x14ac:dyDescent="0.25">
      <c r="A673" s="7" t="s">
        <v>1114</v>
      </c>
      <c r="B673" s="8">
        <v>0.05</v>
      </c>
      <c r="C673" s="8">
        <v>88.300000000000011</v>
      </c>
      <c r="D673" s="8">
        <v>1</v>
      </c>
    </row>
    <row r="674" spans="1:4" x14ac:dyDescent="0.25">
      <c r="A674" s="7" t="s">
        <v>803</v>
      </c>
      <c r="B674" s="8">
        <v>0.14000000000000001</v>
      </c>
      <c r="C674" s="8">
        <v>128.16</v>
      </c>
      <c r="D674" s="8">
        <v>2</v>
      </c>
    </row>
    <row r="675" spans="1:4" x14ac:dyDescent="0.25">
      <c r="A675" s="7" t="s">
        <v>1069</v>
      </c>
      <c r="B675" s="8">
        <v>0.05</v>
      </c>
      <c r="C675" s="8">
        <v>56.050000000000004</v>
      </c>
      <c r="D675" s="8">
        <v>1</v>
      </c>
    </row>
    <row r="676" spans="1:4" x14ac:dyDescent="0.25">
      <c r="A676" s="7" t="s">
        <v>714</v>
      </c>
      <c r="B676" s="8">
        <v>0.11000000000000001</v>
      </c>
      <c r="C676" s="8">
        <v>118.9</v>
      </c>
      <c r="D676" s="8">
        <v>2</v>
      </c>
    </row>
    <row r="677" spans="1:4" x14ac:dyDescent="0.25">
      <c r="A677" s="7" t="s">
        <v>949</v>
      </c>
      <c r="B677" s="8">
        <v>1</v>
      </c>
      <c r="C677" s="8">
        <v>539</v>
      </c>
      <c r="D677" s="8">
        <v>1</v>
      </c>
    </row>
    <row r="678" spans="1:4" x14ac:dyDescent="0.25">
      <c r="A678" s="7" t="s">
        <v>500</v>
      </c>
      <c r="B678" s="8">
        <v>1</v>
      </c>
      <c r="C678" s="8">
        <v>305</v>
      </c>
      <c r="D678" s="8">
        <v>1</v>
      </c>
    </row>
    <row r="679" spans="1:4" x14ac:dyDescent="0.25">
      <c r="A679" s="7" t="s">
        <v>564</v>
      </c>
      <c r="B679" s="8">
        <v>1</v>
      </c>
      <c r="C679" s="8">
        <v>101</v>
      </c>
      <c r="D679" s="8">
        <v>1</v>
      </c>
    </row>
    <row r="680" spans="1:4" x14ac:dyDescent="0.25">
      <c r="A680" s="7" t="s">
        <v>351</v>
      </c>
      <c r="B680" s="8">
        <v>1</v>
      </c>
      <c r="C680" s="8">
        <v>458</v>
      </c>
      <c r="D680" s="8">
        <v>1</v>
      </c>
    </row>
    <row r="681" spans="1:4" x14ac:dyDescent="0.25">
      <c r="A681" s="7" t="s">
        <v>172</v>
      </c>
      <c r="B681" s="8">
        <v>7</v>
      </c>
      <c r="C681" s="8">
        <v>280</v>
      </c>
      <c r="D681" s="8">
        <v>2</v>
      </c>
    </row>
    <row r="682" spans="1:4" x14ac:dyDescent="0.25">
      <c r="A682" s="7" t="s">
        <v>517</v>
      </c>
      <c r="B682" s="8">
        <v>11</v>
      </c>
      <c r="C682" s="8">
        <v>1279.94</v>
      </c>
      <c r="D682" s="8">
        <v>4</v>
      </c>
    </row>
    <row r="683" spans="1:4" x14ac:dyDescent="0.25">
      <c r="A683" s="7" t="s">
        <v>346</v>
      </c>
      <c r="B683" s="8">
        <v>1</v>
      </c>
      <c r="C683" s="8">
        <v>514</v>
      </c>
      <c r="D683" s="8">
        <v>1</v>
      </c>
    </row>
    <row r="684" spans="1:4" x14ac:dyDescent="0.25">
      <c r="A684" s="7" t="s">
        <v>757</v>
      </c>
      <c r="B684" s="8">
        <v>1</v>
      </c>
      <c r="C684" s="8">
        <v>1046</v>
      </c>
      <c r="D684" s="8">
        <v>1</v>
      </c>
    </row>
    <row r="685" spans="1:4" x14ac:dyDescent="0.25">
      <c r="A685" s="7" t="s">
        <v>1140</v>
      </c>
      <c r="B685" s="8">
        <v>1</v>
      </c>
      <c r="C685" s="8">
        <v>155</v>
      </c>
      <c r="D685" s="8">
        <v>1</v>
      </c>
    </row>
    <row r="686" spans="1:4" x14ac:dyDescent="0.25">
      <c r="A686" s="7" t="s">
        <v>209</v>
      </c>
      <c r="B686" s="8">
        <v>1</v>
      </c>
      <c r="C686" s="8">
        <v>295</v>
      </c>
      <c r="D686" s="8">
        <v>1</v>
      </c>
    </row>
    <row r="687" spans="1:4" x14ac:dyDescent="0.25">
      <c r="A687" s="7" t="s">
        <v>362</v>
      </c>
      <c r="B687" s="8">
        <v>1</v>
      </c>
      <c r="C687" s="8">
        <v>245</v>
      </c>
      <c r="D687" s="8">
        <v>1</v>
      </c>
    </row>
    <row r="688" spans="1:4" x14ac:dyDescent="0.25">
      <c r="A688" s="7" t="s">
        <v>628</v>
      </c>
      <c r="B688" s="8">
        <v>0.8</v>
      </c>
      <c r="C688" s="8">
        <v>546</v>
      </c>
      <c r="D688" s="8">
        <v>2</v>
      </c>
    </row>
    <row r="689" spans="1:4" x14ac:dyDescent="0.25">
      <c r="A689" s="7" t="s">
        <v>860</v>
      </c>
      <c r="B689" s="8">
        <v>1</v>
      </c>
      <c r="C689" s="8">
        <v>350</v>
      </c>
      <c r="D689" s="8">
        <v>1</v>
      </c>
    </row>
    <row r="690" spans="1:4" x14ac:dyDescent="0.25">
      <c r="A690" s="7" t="s">
        <v>203</v>
      </c>
      <c r="B690" s="8">
        <v>0.21428570999999999</v>
      </c>
      <c r="C690" s="8">
        <v>473.00141807999995</v>
      </c>
      <c r="D690" s="8">
        <v>1</v>
      </c>
    </row>
    <row r="691" spans="1:4" x14ac:dyDescent="0.25">
      <c r="A691" s="7" t="s">
        <v>576</v>
      </c>
      <c r="B691" s="8">
        <v>1</v>
      </c>
      <c r="C691" s="8">
        <v>99</v>
      </c>
      <c r="D691" s="8">
        <v>1</v>
      </c>
    </row>
    <row r="692" spans="1:4" x14ac:dyDescent="0.25">
      <c r="A692" s="7" t="s">
        <v>229</v>
      </c>
      <c r="B692" s="8">
        <v>5</v>
      </c>
      <c r="C692" s="8">
        <v>342.09000000000003</v>
      </c>
      <c r="D692" s="8">
        <v>3</v>
      </c>
    </row>
    <row r="693" spans="1:4" x14ac:dyDescent="0.25">
      <c r="A693" s="7" t="s">
        <v>168</v>
      </c>
      <c r="B693" s="8">
        <v>2</v>
      </c>
      <c r="C693" s="8">
        <v>64</v>
      </c>
      <c r="D693" s="8">
        <v>1</v>
      </c>
    </row>
    <row r="694" spans="1:4" x14ac:dyDescent="0.25">
      <c r="A694" s="7" t="s">
        <v>339</v>
      </c>
      <c r="B694" s="8">
        <v>1</v>
      </c>
      <c r="C694" s="8">
        <v>152</v>
      </c>
      <c r="D694" s="8">
        <v>1</v>
      </c>
    </row>
    <row r="695" spans="1:4" x14ac:dyDescent="0.25">
      <c r="A695" s="7" t="s">
        <v>77</v>
      </c>
      <c r="B695" s="8">
        <v>1</v>
      </c>
      <c r="C695" s="8">
        <v>58.91</v>
      </c>
      <c r="D695" s="8">
        <v>1</v>
      </c>
    </row>
    <row r="696" spans="1:4" x14ac:dyDescent="0.25">
      <c r="A696" s="7" t="s">
        <v>923</v>
      </c>
      <c r="B696" s="8">
        <v>2</v>
      </c>
      <c r="C696" s="8">
        <v>44</v>
      </c>
      <c r="D696" s="8">
        <v>1</v>
      </c>
    </row>
    <row r="697" spans="1:4" x14ac:dyDescent="0.25">
      <c r="A697" s="7" t="s">
        <v>1006</v>
      </c>
      <c r="B697" s="8">
        <v>1</v>
      </c>
      <c r="C697" s="8">
        <v>175.5</v>
      </c>
      <c r="D697" s="8">
        <v>1</v>
      </c>
    </row>
    <row r="698" spans="1:4" x14ac:dyDescent="0.25">
      <c r="A698" s="7" t="s">
        <v>26</v>
      </c>
      <c r="B698" s="8">
        <v>1</v>
      </c>
      <c r="C698" s="8">
        <v>121</v>
      </c>
      <c r="D698" s="8">
        <v>1</v>
      </c>
    </row>
    <row r="699" spans="1:4" x14ac:dyDescent="0.25">
      <c r="A699" s="7" t="s">
        <v>488</v>
      </c>
      <c r="B699" s="8">
        <v>2</v>
      </c>
      <c r="C699" s="8">
        <v>464</v>
      </c>
      <c r="D699" s="8">
        <v>2</v>
      </c>
    </row>
    <row r="700" spans="1:4" x14ac:dyDescent="0.25">
      <c r="A700" s="7" t="s">
        <v>1018</v>
      </c>
      <c r="B700" s="8">
        <v>1</v>
      </c>
      <c r="C700" s="8">
        <v>2456</v>
      </c>
      <c r="D700" s="8">
        <v>1</v>
      </c>
    </row>
    <row r="701" spans="1:4" x14ac:dyDescent="0.25">
      <c r="A701" s="7" t="s">
        <v>567</v>
      </c>
      <c r="B701" s="8">
        <v>1</v>
      </c>
      <c r="C701" s="8">
        <v>254</v>
      </c>
      <c r="D701" s="8">
        <v>1</v>
      </c>
    </row>
    <row r="702" spans="1:4" x14ac:dyDescent="0.25">
      <c r="A702" s="7" t="s">
        <v>1057</v>
      </c>
      <c r="B702" s="8">
        <v>1</v>
      </c>
      <c r="C702" s="8">
        <v>411</v>
      </c>
      <c r="D702" s="8">
        <v>1</v>
      </c>
    </row>
    <row r="703" spans="1:4" x14ac:dyDescent="0.25">
      <c r="A703" s="7" t="s">
        <v>542</v>
      </c>
      <c r="B703" s="8">
        <v>1</v>
      </c>
      <c r="C703" s="8">
        <v>122</v>
      </c>
      <c r="D703" s="8">
        <v>1</v>
      </c>
    </row>
    <row r="704" spans="1:4" x14ac:dyDescent="0.25">
      <c r="A704" s="7" t="s">
        <v>88</v>
      </c>
      <c r="B704" s="8">
        <v>1</v>
      </c>
      <c r="C704" s="8">
        <v>1834</v>
      </c>
      <c r="D704" s="8">
        <v>1</v>
      </c>
    </row>
    <row r="705" spans="1:4" x14ac:dyDescent="0.25">
      <c r="A705" s="7" t="s">
        <v>1203</v>
      </c>
      <c r="B705" s="8">
        <v>1</v>
      </c>
      <c r="C705" s="8">
        <v>459</v>
      </c>
      <c r="D705" s="8">
        <v>1</v>
      </c>
    </row>
    <row r="706" spans="1:4" x14ac:dyDescent="0.25">
      <c r="A706" s="7" t="s">
        <v>1119</v>
      </c>
      <c r="B706" s="8">
        <v>1</v>
      </c>
      <c r="C706" s="8">
        <v>669</v>
      </c>
      <c r="D706" s="8">
        <v>1</v>
      </c>
    </row>
    <row r="707" spans="1:4" x14ac:dyDescent="0.25">
      <c r="A707" s="7" t="s">
        <v>649</v>
      </c>
      <c r="B707" s="8">
        <v>1</v>
      </c>
      <c r="C707" s="8">
        <v>1802</v>
      </c>
      <c r="D707" s="8">
        <v>1</v>
      </c>
    </row>
    <row r="708" spans="1:4" x14ac:dyDescent="0.25">
      <c r="A708" s="7" t="s">
        <v>702</v>
      </c>
      <c r="B708" s="8">
        <v>2</v>
      </c>
      <c r="C708" s="8">
        <v>654</v>
      </c>
      <c r="D708" s="8">
        <v>2</v>
      </c>
    </row>
    <row r="709" spans="1:4" x14ac:dyDescent="0.25">
      <c r="A709" s="7" t="s">
        <v>1036</v>
      </c>
      <c r="B709" s="8">
        <v>1</v>
      </c>
      <c r="C709" s="8">
        <v>1141</v>
      </c>
      <c r="D709" s="8">
        <v>1</v>
      </c>
    </row>
    <row r="710" spans="1:4" x14ac:dyDescent="0.25">
      <c r="A710" s="7" t="s">
        <v>479</v>
      </c>
      <c r="B710" s="8">
        <v>2</v>
      </c>
      <c r="C710" s="8">
        <v>1778</v>
      </c>
      <c r="D710" s="8">
        <v>1</v>
      </c>
    </row>
    <row r="711" spans="1:4" x14ac:dyDescent="0.25">
      <c r="A711" s="7" t="s">
        <v>375</v>
      </c>
      <c r="B711" s="8">
        <v>1</v>
      </c>
      <c r="C711" s="8">
        <v>1028</v>
      </c>
      <c r="D711" s="8">
        <v>1</v>
      </c>
    </row>
    <row r="712" spans="1:4" x14ac:dyDescent="0.25">
      <c r="A712" s="7" t="s">
        <v>846</v>
      </c>
      <c r="B712" s="8">
        <v>1</v>
      </c>
      <c r="C712" s="8">
        <v>84</v>
      </c>
      <c r="D712" s="8">
        <v>1</v>
      </c>
    </row>
    <row r="713" spans="1:4" x14ac:dyDescent="0.25">
      <c r="A713" s="7" t="s">
        <v>818</v>
      </c>
      <c r="B713" s="8">
        <v>1</v>
      </c>
      <c r="C713" s="8">
        <v>44</v>
      </c>
      <c r="D713" s="8">
        <v>1</v>
      </c>
    </row>
    <row r="714" spans="1:4" x14ac:dyDescent="0.25">
      <c r="A714" s="7" t="s">
        <v>302</v>
      </c>
      <c r="B714" s="8">
        <v>6</v>
      </c>
      <c r="C714" s="8">
        <v>417</v>
      </c>
      <c r="D714" s="8">
        <v>3</v>
      </c>
    </row>
    <row r="715" spans="1:4" x14ac:dyDescent="0.25">
      <c r="A715" s="7" t="s">
        <v>820</v>
      </c>
      <c r="B715" s="8">
        <v>1</v>
      </c>
      <c r="C715" s="8">
        <v>507</v>
      </c>
      <c r="D715" s="8">
        <v>1</v>
      </c>
    </row>
    <row r="716" spans="1:4" x14ac:dyDescent="0.25">
      <c r="A716" s="7" t="s">
        <v>380</v>
      </c>
      <c r="B716" s="8">
        <v>2</v>
      </c>
      <c r="C716" s="8">
        <v>84</v>
      </c>
      <c r="D716" s="8">
        <v>1</v>
      </c>
    </row>
    <row r="717" spans="1:4" x14ac:dyDescent="0.25">
      <c r="A717" s="7" t="s">
        <v>369</v>
      </c>
      <c r="B717" s="8">
        <v>10</v>
      </c>
      <c r="C717" s="8">
        <v>580</v>
      </c>
      <c r="D717" s="8">
        <v>5</v>
      </c>
    </row>
    <row r="718" spans="1:4" x14ac:dyDescent="0.25">
      <c r="A718" s="7" t="s">
        <v>732</v>
      </c>
      <c r="B718" s="8">
        <v>1</v>
      </c>
      <c r="C718" s="8">
        <v>91</v>
      </c>
      <c r="D718" s="8">
        <v>1</v>
      </c>
    </row>
    <row r="719" spans="1:4" x14ac:dyDescent="0.25">
      <c r="A719" s="7" t="s">
        <v>1189</v>
      </c>
      <c r="B719" s="8">
        <v>1</v>
      </c>
      <c r="C719" s="8">
        <v>500</v>
      </c>
      <c r="D719" s="8">
        <v>1</v>
      </c>
    </row>
    <row r="720" spans="1:4" x14ac:dyDescent="0.25">
      <c r="A720" s="7" t="s">
        <v>839</v>
      </c>
      <c r="B720" s="8">
        <v>1</v>
      </c>
      <c r="C720" s="8">
        <v>1206</v>
      </c>
      <c r="D720" s="8">
        <v>1</v>
      </c>
    </row>
    <row r="721" spans="1:4" x14ac:dyDescent="0.25">
      <c r="A721" s="7" t="s">
        <v>906</v>
      </c>
      <c r="B721" s="8">
        <v>1</v>
      </c>
      <c r="C721" s="8">
        <v>448</v>
      </c>
      <c r="D721" s="8">
        <v>1</v>
      </c>
    </row>
    <row r="722" spans="1:4" x14ac:dyDescent="0.25">
      <c r="A722" s="7" t="s">
        <v>468</v>
      </c>
      <c r="B722" s="8">
        <v>7</v>
      </c>
      <c r="C722" s="8">
        <v>190.68</v>
      </c>
      <c r="D722" s="8">
        <v>4</v>
      </c>
    </row>
    <row r="723" spans="1:4" x14ac:dyDescent="0.25">
      <c r="A723" s="7" t="s">
        <v>931</v>
      </c>
      <c r="B723" s="8">
        <v>1</v>
      </c>
      <c r="C723" s="8">
        <v>1008</v>
      </c>
      <c r="D723" s="8">
        <v>1</v>
      </c>
    </row>
    <row r="724" spans="1:4" x14ac:dyDescent="0.25">
      <c r="A724" s="7" t="s">
        <v>298</v>
      </c>
      <c r="B724" s="8">
        <v>1</v>
      </c>
      <c r="C724" s="8">
        <v>411</v>
      </c>
      <c r="D724" s="8">
        <v>1</v>
      </c>
    </row>
    <row r="725" spans="1:4" x14ac:dyDescent="0.25">
      <c r="A725" s="7" t="s">
        <v>915</v>
      </c>
      <c r="B725" s="8">
        <v>0.2</v>
      </c>
      <c r="C725" s="8">
        <v>83.000000000000014</v>
      </c>
      <c r="D725" s="8">
        <v>1</v>
      </c>
    </row>
    <row r="726" spans="1:4" x14ac:dyDescent="0.25">
      <c r="A726" s="7" t="s">
        <v>482</v>
      </c>
      <c r="B726" s="8">
        <v>1</v>
      </c>
      <c r="C726" s="8">
        <v>82</v>
      </c>
      <c r="D726" s="8">
        <v>1</v>
      </c>
    </row>
    <row r="727" spans="1:4" x14ac:dyDescent="0.25">
      <c r="A727" s="7" t="s">
        <v>1217</v>
      </c>
      <c r="B727" s="8">
        <v>1</v>
      </c>
      <c r="C727" s="8">
        <v>460</v>
      </c>
      <c r="D727" s="8">
        <v>1</v>
      </c>
    </row>
    <row r="728" spans="1:4" x14ac:dyDescent="0.25">
      <c r="A728" s="7" t="s">
        <v>1111</v>
      </c>
      <c r="B728" s="8">
        <v>1</v>
      </c>
      <c r="C728" s="8">
        <v>300</v>
      </c>
      <c r="D728" s="8">
        <v>1</v>
      </c>
    </row>
    <row r="729" spans="1:4" x14ac:dyDescent="0.25">
      <c r="A729" s="7" t="s">
        <v>811</v>
      </c>
      <c r="B729" s="8">
        <v>1</v>
      </c>
      <c r="C729" s="8">
        <v>206</v>
      </c>
      <c r="D729" s="8">
        <v>1</v>
      </c>
    </row>
    <row r="730" spans="1:4" x14ac:dyDescent="0.25">
      <c r="A730" s="7" t="s">
        <v>232</v>
      </c>
      <c r="B730" s="8">
        <v>2</v>
      </c>
      <c r="C730" s="8">
        <v>299</v>
      </c>
      <c r="D730" s="8">
        <v>2</v>
      </c>
    </row>
    <row r="731" spans="1:4" x14ac:dyDescent="0.25">
      <c r="A731" s="7" t="s">
        <v>386</v>
      </c>
      <c r="B731" s="8">
        <v>1</v>
      </c>
      <c r="C731" s="8">
        <v>102</v>
      </c>
      <c r="D731" s="8">
        <v>1</v>
      </c>
    </row>
    <row r="732" spans="1:4" x14ac:dyDescent="0.25">
      <c r="A732" s="7" t="s">
        <v>1040</v>
      </c>
      <c r="B732" s="8">
        <v>1</v>
      </c>
      <c r="C732" s="8">
        <v>135</v>
      </c>
      <c r="D732" s="8">
        <v>1</v>
      </c>
    </row>
    <row r="733" spans="1:4" x14ac:dyDescent="0.25">
      <c r="A733" s="7" t="s">
        <v>540</v>
      </c>
      <c r="B733" s="8">
        <v>0.30000000000000004</v>
      </c>
      <c r="C733" s="8">
        <v>156.00000000000003</v>
      </c>
      <c r="D733" s="8">
        <v>1</v>
      </c>
    </row>
    <row r="734" spans="1:4" x14ac:dyDescent="0.25">
      <c r="A734" s="7" t="s">
        <v>706</v>
      </c>
      <c r="B734" s="8">
        <v>2</v>
      </c>
      <c r="C734" s="8">
        <v>2201</v>
      </c>
      <c r="D734" s="8">
        <v>2</v>
      </c>
    </row>
    <row r="735" spans="1:4" x14ac:dyDescent="0.25">
      <c r="A735" s="7" t="s">
        <v>927</v>
      </c>
      <c r="B735" s="8">
        <v>1</v>
      </c>
      <c r="C735" s="8">
        <v>461</v>
      </c>
      <c r="D735" s="8">
        <v>1</v>
      </c>
    </row>
    <row r="736" spans="1:4" x14ac:dyDescent="0.25">
      <c r="A736" s="7" t="s">
        <v>1191</v>
      </c>
      <c r="B736" s="8">
        <v>1</v>
      </c>
      <c r="C736" s="8">
        <v>175</v>
      </c>
      <c r="D736" s="8">
        <v>1</v>
      </c>
    </row>
    <row r="737" spans="1:4" x14ac:dyDescent="0.25">
      <c r="A737" s="7" t="s">
        <v>673</v>
      </c>
      <c r="B737" s="8">
        <v>2</v>
      </c>
      <c r="C737" s="8">
        <v>82</v>
      </c>
      <c r="D737" s="8">
        <v>2</v>
      </c>
    </row>
    <row r="738" spans="1:4" x14ac:dyDescent="0.25">
      <c r="A738" s="7" t="s">
        <v>319</v>
      </c>
      <c r="B738" s="8">
        <v>2</v>
      </c>
      <c r="C738" s="8">
        <v>368</v>
      </c>
      <c r="D738" s="8">
        <v>1</v>
      </c>
    </row>
    <row r="739" spans="1:4" x14ac:dyDescent="0.25">
      <c r="A739" s="7" t="s">
        <v>443</v>
      </c>
      <c r="B739" s="8">
        <v>1</v>
      </c>
      <c r="C739" s="8">
        <v>113</v>
      </c>
      <c r="D739" s="8">
        <v>1</v>
      </c>
    </row>
    <row r="740" spans="1:4" x14ac:dyDescent="0.25">
      <c r="A740" s="7" t="s">
        <v>639</v>
      </c>
      <c r="B740" s="8">
        <v>1</v>
      </c>
      <c r="C740" s="8">
        <v>287</v>
      </c>
      <c r="D740" s="8">
        <v>1</v>
      </c>
    </row>
    <row r="741" spans="1:4" x14ac:dyDescent="0.25">
      <c r="A741" s="7" t="s">
        <v>256</v>
      </c>
      <c r="B741" s="8">
        <v>1</v>
      </c>
      <c r="C741" s="8">
        <v>72</v>
      </c>
      <c r="D741" s="8">
        <v>1</v>
      </c>
    </row>
    <row r="742" spans="1:4" x14ac:dyDescent="0.25">
      <c r="A742" s="7" t="s">
        <v>524</v>
      </c>
      <c r="B742" s="8">
        <v>1</v>
      </c>
      <c r="C742" s="8">
        <v>139</v>
      </c>
      <c r="D742" s="8">
        <v>1</v>
      </c>
    </row>
    <row r="743" spans="1:4" x14ac:dyDescent="0.25">
      <c r="A743" s="7" t="s">
        <v>442</v>
      </c>
      <c r="B743" s="8">
        <v>1</v>
      </c>
      <c r="C743" s="8">
        <v>157</v>
      </c>
      <c r="D743" s="8">
        <v>1</v>
      </c>
    </row>
    <row r="744" spans="1:4" x14ac:dyDescent="0.25">
      <c r="A744" s="7" t="s">
        <v>858</v>
      </c>
      <c r="B744" s="8">
        <v>1</v>
      </c>
      <c r="C744" s="8">
        <v>1170</v>
      </c>
      <c r="D744" s="8">
        <v>1</v>
      </c>
    </row>
    <row r="745" spans="1:4" x14ac:dyDescent="0.25">
      <c r="A745" s="7" t="s">
        <v>305</v>
      </c>
      <c r="B745" s="8">
        <v>1</v>
      </c>
      <c r="C745" s="8">
        <v>70</v>
      </c>
      <c r="D745" s="8">
        <v>1</v>
      </c>
    </row>
    <row r="746" spans="1:4" x14ac:dyDescent="0.25">
      <c r="A746" s="7" t="s">
        <v>235</v>
      </c>
      <c r="B746" s="8">
        <v>3</v>
      </c>
      <c r="C746" s="8">
        <v>415</v>
      </c>
      <c r="D746" s="8">
        <v>3</v>
      </c>
    </row>
    <row r="747" spans="1:4" x14ac:dyDescent="0.25">
      <c r="A747" s="7" t="s">
        <v>247</v>
      </c>
      <c r="B747" s="8">
        <v>1</v>
      </c>
      <c r="C747" s="8">
        <v>32</v>
      </c>
      <c r="D747" s="8">
        <v>1</v>
      </c>
    </row>
    <row r="748" spans="1:4" x14ac:dyDescent="0.25">
      <c r="A748" s="7" t="s">
        <v>1037</v>
      </c>
      <c r="B748" s="8">
        <v>6.6666669999999997E-2</v>
      </c>
      <c r="C748" s="8">
        <v>273.00001364999997</v>
      </c>
      <c r="D748" s="8">
        <v>1</v>
      </c>
    </row>
    <row r="749" spans="1:4" x14ac:dyDescent="0.25">
      <c r="A749" s="7" t="s">
        <v>935</v>
      </c>
      <c r="B749" s="8">
        <v>0.2</v>
      </c>
      <c r="C749" s="8">
        <v>327.60000000000002</v>
      </c>
      <c r="D749" s="8">
        <v>1</v>
      </c>
    </row>
    <row r="750" spans="1:4" x14ac:dyDescent="0.25">
      <c r="A750" s="7" t="s">
        <v>809</v>
      </c>
      <c r="B750" s="8">
        <v>0.12</v>
      </c>
      <c r="C750" s="8">
        <v>64.44</v>
      </c>
      <c r="D750" s="8">
        <v>1</v>
      </c>
    </row>
    <row r="751" spans="1:4" x14ac:dyDescent="0.25">
      <c r="A751" s="7" t="s">
        <v>826</v>
      </c>
      <c r="B751" s="8">
        <v>0.24</v>
      </c>
      <c r="C751" s="8">
        <v>322</v>
      </c>
      <c r="D751" s="8">
        <v>1</v>
      </c>
    </row>
    <row r="752" spans="1:4" x14ac:dyDescent="0.25">
      <c r="A752" s="7" t="s">
        <v>1011</v>
      </c>
      <c r="B752" s="8">
        <v>0.04</v>
      </c>
      <c r="C752" s="8">
        <v>25.8</v>
      </c>
      <c r="D752" s="8">
        <v>1</v>
      </c>
    </row>
    <row r="753" spans="1:4" x14ac:dyDescent="0.25">
      <c r="A753" s="7" t="s">
        <v>496</v>
      </c>
      <c r="B753" s="8">
        <v>1</v>
      </c>
      <c r="C753" s="8">
        <v>173</v>
      </c>
      <c r="D753" s="8">
        <v>1</v>
      </c>
    </row>
    <row r="754" spans="1:4" x14ac:dyDescent="0.25">
      <c r="A754" s="7" t="s">
        <v>1052</v>
      </c>
      <c r="B754" s="8">
        <v>1</v>
      </c>
      <c r="C754" s="8">
        <v>214</v>
      </c>
      <c r="D754" s="8">
        <v>1</v>
      </c>
    </row>
    <row r="755" spans="1:4" x14ac:dyDescent="0.25">
      <c r="A755" s="7" t="s">
        <v>263</v>
      </c>
      <c r="B755" s="8">
        <v>1</v>
      </c>
      <c r="C755" s="8">
        <v>29</v>
      </c>
      <c r="D755" s="8">
        <v>1</v>
      </c>
    </row>
    <row r="756" spans="1:4" x14ac:dyDescent="0.25">
      <c r="A756" s="7" t="s">
        <v>98</v>
      </c>
      <c r="B756" s="8">
        <v>7</v>
      </c>
      <c r="C756" s="8">
        <v>315</v>
      </c>
      <c r="D756" s="8">
        <v>3</v>
      </c>
    </row>
    <row r="757" spans="1:4" x14ac:dyDescent="0.25">
      <c r="A757" s="7" t="s">
        <v>593</v>
      </c>
      <c r="B757" s="8">
        <v>1</v>
      </c>
      <c r="C757" s="8">
        <v>14</v>
      </c>
      <c r="D757" s="8">
        <v>1</v>
      </c>
    </row>
    <row r="758" spans="1:4" x14ac:dyDescent="0.25">
      <c r="A758" s="7" t="s">
        <v>636</v>
      </c>
      <c r="B758" s="8">
        <v>1</v>
      </c>
      <c r="C758" s="8">
        <v>27</v>
      </c>
      <c r="D758" s="8">
        <v>1</v>
      </c>
    </row>
    <row r="759" spans="1:4" x14ac:dyDescent="0.25">
      <c r="A759" s="7" t="s">
        <v>632</v>
      </c>
      <c r="B759" s="8">
        <v>1</v>
      </c>
      <c r="C759" s="8">
        <v>471</v>
      </c>
      <c r="D759" s="8">
        <v>1</v>
      </c>
    </row>
    <row r="760" spans="1:4" x14ac:dyDescent="0.25">
      <c r="A760" s="7" t="s">
        <v>682</v>
      </c>
      <c r="B760" s="8">
        <v>0.33333332999999998</v>
      </c>
      <c r="C760" s="8">
        <v>503.99999495999998</v>
      </c>
      <c r="D760" s="8">
        <v>1</v>
      </c>
    </row>
    <row r="761" spans="1:4" x14ac:dyDescent="0.25">
      <c r="A761" s="7" t="s">
        <v>916</v>
      </c>
      <c r="B761" s="8">
        <v>1</v>
      </c>
      <c r="C761" s="8">
        <v>122</v>
      </c>
      <c r="D761" s="8">
        <v>1</v>
      </c>
    </row>
    <row r="762" spans="1:4" x14ac:dyDescent="0.25">
      <c r="A762" s="7" t="s">
        <v>1142</v>
      </c>
      <c r="B762" s="8">
        <v>1</v>
      </c>
      <c r="C762" s="8">
        <v>103</v>
      </c>
      <c r="D762" s="8">
        <v>1</v>
      </c>
    </row>
    <row r="763" spans="1:4" x14ac:dyDescent="0.25">
      <c r="A763" s="7" t="s">
        <v>721</v>
      </c>
      <c r="B763" s="8">
        <v>1</v>
      </c>
      <c r="C763" s="8">
        <v>153</v>
      </c>
      <c r="D763" s="8">
        <v>1</v>
      </c>
    </row>
    <row r="764" spans="1:4" x14ac:dyDescent="0.25">
      <c r="A764" s="7" t="s">
        <v>1107</v>
      </c>
      <c r="B764" s="8">
        <v>1</v>
      </c>
      <c r="C764" s="8">
        <v>242</v>
      </c>
      <c r="D764" s="8">
        <v>1</v>
      </c>
    </row>
    <row r="765" spans="1:4" x14ac:dyDescent="0.25">
      <c r="A765" s="7" t="s">
        <v>715</v>
      </c>
      <c r="B765" s="8">
        <v>3</v>
      </c>
      <c r="C765" s="8">
        <v>117</v>
      </c>
      <c r="D765" s="8">
        <v>1</v>
      </c>
    </row>
    <row r="766" spans="1:4" x14ac:dyDescent="0.25">
      <c r="A766" s="7" t="s">
        <v>957</v>
      </c>
      <c r="B766" s="8">
        <v>1</v>
      </c>
      <c r="C766" s="8">
        <v>511</v>
      </c>
      <c r="D766" s="8">
        <v>1</v>
      </c>
    </row>
    <row r="767" spans="1:4" x14ac:dyDescent="0.25">
      <c r="A767" s="7" t="s">
        <v>744</v>
      </c>
      <c r="B767" s="8">
        <v>9</v>
      </c>
      <c r="C767" s="8">
        <v>333</v>
      </c>
      <c r="D767" s="8">
        <v>1</v>
      </c>
    </row>
    <row r="768" spans="1:4" x14ac:dyDescent="0.25">
      <c r="A768" s="7" t="s">
        <v>854</v>
      </c>
      <c r="B768" s="8">
        <v>10</v>
      </c>
      <c r="C768" s="8">
        <v>370</v>
      </c>
      <c r="D768" s="8">
        <v>1</v>
      </c>
    </row>
    <row r="769" spans="1:4" x14ac:dyDescent="0.25">
      <c r="A769" s="7" t="s">
        <v>122</v>
      </c>
      <c r="B769" s="8">
        <v>2</v>
      </c>
      <c r="C769" s="8">
        <v>92.039999999999992</v>
      </c>
      <c r="D769" s="8">
        <v>2</v>
      </c>
    </row>
    <row r="770" spans="1:4" x14ac:dyDescent="0.25">
      <c r="A770" s="7" t="s">
        <v>598</v>
      </c>
      <c r="B770" s="8">
        <v>1</v>
      </c>
      <c r="C770" s="8">
        <v>276</v>
      </c>
      <c r="D770" s="8">
        <v>1</v>
      </c>
    </row>
    <row r="771" spans="1:4" x14ac:dyDescent="0.25">
      <c r="A771" s="7" t="s">
        <v>623</v>
      </c>
      <c r="B771" s="8">
        <v>1</v>
      </c>
      <c r="C771" s="8">
        <v>50</v>
      </c>
      <c r="D771" s="8">
        <v>1</v>
      </c>
    </row>
    <row r="772" spans="1:4" x14ac:dyDescent="0.25">
      <c r="A772" s="7" t="s">
        <v>242</v>
      </c>
      <c r="B772" s="8">
        <v>2</v>
      </c>
      <c r="C772" s="8">
        <v>585</v>
      </c>
      <c r="D772" s="8">
        <v>2</v>
      </c>
    </row>
    <row r="773" spans="1:4" x14ac:dyDescent="0.25">
      <c r="A773" s="7" t="s">
        <v>530</v>
      </c>
      <c r="B773" s="8">
        <v>2</v>
      </c>
      <c r="C773" s="8">
        <v>1377</v>
      </c>
      <c r="D773" s="8">
        <v>2</v>
      </c>
    </row>
    <row r="774" spans="1:4" x14ac:dyDescent="0.25">
      <c r="A774" s="7" t="s">
        <v>1195</v>
      </c>
      <c r="B774" s="8">
        <v>1</v>
      </c>
      <c r="C774" s="8">
        <v>681</v>
      </c>
      <c r="D774" s="8">
        <v>1</v>
      </c>
    </row>
    <row r="775" spans="1:4" x14ac:dyDescent="0.25">
      <c r="A775" s="7" t="s">
        <v>476</v>
      </c>
      <c r="B775" s="8">
        <v>1</v>
      </c>
      <c r="C775" s="8">
        <v>880</v>
      </c>
      <c r="D775" s="8">
        <v>1</v>
      </c>
    </row>
    <row r="776" spans="1:4" x14ac:dyDescent="0.25">
      <c r="A776" s="7" t="s">
        <v>75</v>
      </c>
      <c r="B776" s="8">
        <v>4</v>
      </c>
      <c r="C776" s="8">
        <v>99</v>
      </c>
      <c r="D776" s="8">
        <v>2</v>
      </c>
    </row>
    <row r="777" spans="1:4" x14ac:dyDescent="0.25">
      <c r="A777" s="7" t="s">
        <v>273</v>
      </c>
      <c r="B777" s="8">
        <v>6</v>
      </c>
      <c r="C777" s="8">
        <v>230</v>
      </c>
      <c r="D777" s="8">
        <v>4</v>
      </c>
    </row>
    <row r="778" spans="1:4" x14ac:dyDescent="0.25">
      <c r="A778" s="7" t="s">
        <v>270</v>
      </c>
      <c r="B778" s="8">
        <v>6</v>
      </c>
      <c r="C778" s="8">
        <v>392</v>
      </c>
      <c r="D778" s="8">
        <v>2</v>
      </c>
    </row>
    <row r="779" spans="1:4" x14ac:dyDescent="0.25">
      <c r="A779" s="7" t="s">
        <v>1151</v>
      </c>
      <c r="B779" s="8">
        <v>1</v>
      </c>
      <c r="C779" s="8">
        <v>219</v>
      </c>
      <c r="D779" s="8">
        <v>1</v>
      </c>
    </row>
    <row r="780" spans="1:4" x14ac:dyDescent="0.25">
      <c r="A780" s="7" t="s">
        <v>751</v>
      </c>
      <c r="B780" s="8">
        <v>1</v>
      </c>
      <c r="C780" s="8">
        <v>455</v>
      </c>
      <c r="D780" s="8">
        <v>1</v>
      </c>
    </row>
    <row r="781" spans="1:4" x14ac:dyDescent="0.25">
      <c r="A781" s="7" t="s">
        <v>116</v>
      </c>
      <c r="B781" s="8">
        <v>1</v>
      </c>
      <c r="C781" s="8">
        <v>127</v>
      </c>
      <c r="D781" s="8">
        <v>1</v>
      </c>
    </row>
    <row r="782" spans="1:4" x14ac:dyDescent="0.25">
      <c r="A782" s="7" t="s">
        <v>282</v>
      </c>
      <c r="B782" s="8">
        <v>1</v>
      </c>
      <c r="C782" s="8">
        <v>141</v>
      </c>
      <c r="D782" s="8">
        <v>1</v>
      </c>
    </row>
    <row r="783" spans="1:4" x14ac:dyDescent="0.25">
      <c r="A783" s="7" t="s">
        <v>408</v>
      </c>
      <c r="B783" s="8">
        <v>3</v>
      </c>
      <c r="C783" s="8">
        <v>68</v>
      </c>
      <c r="D783" s="8">
        <v>2</v>
      </c>
    </row>
    <row r="784" spans="1:4" x14ac:dyDescent="0.25">
      <c r="A784" s="7" t="s">
        <v>1105</v>
      </c>
      <c r="B784" s="8">
        <v>1</v>
      </c>
      <c r="C784" s="8">
        <v>98</v>
      </c>
      <c r="D784" s="8">
        <v>1</v>
      </c>
    </row>
    <row r="785" spans="1:4" x14ac:dyDescent="0.25">
      <c r="A785" s="7" t="s">
        <v>83</v>
      </c>
      <c r="B785" s="8">
        <v>2</v>
      </c>
      <c r="C785" s="8">
        <v>672</v>
      </c>
      <c r="D785" s="8">
        <v>1</v>
      </c>
    </row>
    <row r="786" spans="1:4" x14ac:dyDescent="0.25">
      <c r="A786" s="7" t="s">
        <v>1181</v>
      </c>
      <c r="B786" s="8">
        <v>1</v>
      </c>
      <c r="C786" s="8">
        <v>92</v>
      </c>
      <c r="D786" s="8">
        <v>1</v>
      </c>
    </row>
    <row r="787" spans="1:4" x14ac:dyDescent="0.25">
      <c r="A787" s="7" t="s">
        <v>1004</v>
      </c>
      <c r="B787" s="8">
        <v>3</v>
      </c>
      <c r="C787" s="8">
        <v>166</v>
      </c>
      <c r="D787" s="8">
        <v>2</v>
      </c>
    </row>
    <row r="788" spans="1:4" x14ac:dyDescent="0.25">
      <c r="A788" s="7" t="s">
        <v>827</v>
      </c>
      <c r="B788" s="8">
        <v>1</v>
      </c>
      <c r="C788" s="8">
        <v>127</v>
      </c>
      <c r="D788" s="8">
        <v>1</v>
      </c>
    </row>
    <row r="789" spans="1:4" x14ac:dyDescent="0.25">
      <c r="A789" s="7" t="s">
        <v>71</v>
      </c>
      <c r="B789" s="8">
        <v>2</v>
      </c>
      <c r="C789" s="8">
        <v>1552</v>
      </c>
      <c r="D789" s="8">
        <v>1</v>
      </c>
    </row>
    <row r="790" spans="1:4" x14ac:dyDescent="0.25">
      <c r="A790" s="7" t="s">
        <v>28</v>
      </c>
      <c r="B790" s="8">
        <v>2</v>
      </c>
      <c r="C790" s="8">
        <v>4974</v>
      </c>
      <c r="D790" s="8">
        <v>2</v>
      </c>
    </row>
    <row r="791" spans="1:4" x14ac:dyDescent="0.25">
      <c r="A791" s="7" t="s">
        <v>749</v>
      </c>
      <c r="B791" s="8">
        <v>1</v>
      </c>
      <c r="C791" s="8">
        <v>261</v>
      </c>
      <c r="D791" s="8">
        <v>1</v>
      </c>
    </row>
    <row r="792" spans="1:4" x14ac:dyDescent="0.25">
      <c r="A792" s="7" t="s">
        <v>821</v>
      </c>
      <c r="B792" s="8">
        <v>3</v>
      </c>
      <c r="C792" s="8">
        <v>794.81999999999994</v>
      </c>
      <c r="D792" s="8">
        <v>2</v>
      </c>
    </row>
    <row r="793" spans="1:4" x14ac:dyDescent="0.25">
      <c r="A793" s="7" t="s">
        <v>174</v>
      </c>
      <c r="B793" s="8">
        <v>1</v>
      </c>
      <c r="C793" s="8">
        <v>67</v>
      </c>
      <c r="D793" s="8">
        <v>1</v>
      </c>
    </row>
    <row r="794" spans="1:4" x14ac:dyDescent="0.25">
      <c r="A794" s="7" t="s">
        <v>215</v>
      </c>
      <c r="B794" s="8">
        <v>6</v>
      </c>
      <c r="C794" s="8">
        <v>230</v>
      </c>
      <c r="D794" s="8">
        <v>2</v>
      </c>
    </row>
    <row r="795" spans="1:4" x14ac:dyDescent="0.25">
      <c r="A795" s="7" t="s">
        <v>568</v>
      </c>
      <c r="B795" s="8">
        <v>2</v>
      </c>
      <c r="C795" s="8">
        <v>358</v>
      </c>
      <c r="D795" s="8">
        <v>1</v>
      </c>
    </row>
    <row r="796" spans="1:4" x14ac:dyDescent="0.25">
      <c r="A796" s="7" t="s">
        <v>33</v>
      </c>
      <c r="B796" s="8">
        <v>2</v>
      </c>
      <c r="C796" s="8">
        <v>42</v>
      </c>
      <c r="D796" s="8">
        <v>1</v>
      </c>
    </row>
    <row r="797" spans="1:4" x14ac:dyDescent="0.25">
      <c r="A797" s="7" t="s">
        <v>277</v>
      </c>
      <c r="B797" s="8">
        <v>1</v>
      </c>
      <c r="C797" s="8">
        <v>37</v>
      </c>
      <c r="D797" s="8">
        <v>1</v>
      </c>
    </row>
    <row r="798" spans="1:4" x14ac:dyDescent="0.25">
      <c r="A798" s="7" t="s">
        <v>981</v>
      </c>
      <c r="B798" s="8">
        <v>1</v>
      </c>
      <c r="C798" s="8">
        <v>19</v>
      </c>
      <c r="D798" s="8">
        <v>1</v>
      </c>
    </row>
    <row r="799" spans="1:4" x14ac:dyDescent="0.25">
      <c r="A799" s="7" t="s">
        <v>314</v>
      </c>
      <c r="B799" s="8">
        <v>1</v>
      </c>
      <c r="C799" s="8">
        <v>474</v>
      </c>
      <c r="D799" s="8">
        <v>1</v>
      </c>
    </row>
    <row r="800" spans="1:4" x14ac:dyDescent="0.25">
      <c r="A800" s="7" t="s">
        <v>221</v>
      </c>
      <c r="B800" s="8">
        <v>1</v>
      </c>
      <c r="C800" s="8">
        <v>82</v>
      </c>
      <c r="D800" s="8">
        <v>1</v>
      </c>
    </row>
    <row r="801" spans="1:4" x14ac:dyDescent="0.25">
      <c r="A801" s="7" t="s">
        <v>624</v>
      </c>
      <c r="B801" s="8">
        <v>1</v>
      </c>
      <c r="C801" s="8">
        <v>83</v>
      </c>
      <c r="D801" s="8">
        <v>1</v>
      </c>
    </row>
    <row r="802" spans="1:4" x14ac:dyDescent="0.25">
      <c r="A802" s="7" t="s">
        <v>251</v>
      </c>
      <c r="B802" s="8">
        <v>7</v>
      </c>
      <c r="C802" s="8">
        <v>1412</v>
      </c>
      <c r="D802" s="8">
        <v>4</v>
      </c>
    </row>
    <row r="803" spans="1:4" x14ac:dyDescent="0.25">
      <c r="A803" s="7" t="s">
        <v>1050</v>
      </c>
      <c r="B803" s="8">
        <v>1</v>
      </c>
      <c r="C803" s="8">
        <v>409</v>
      </c>
      <c r="D803" s="8">
        <v>1</v>
      </c>
    </row>
    <row r="804" spans="1:4" x14ac:dyDescent="0.25">
      <c r="A804" s="7" t="s">
        <v>1187</v>
      </c>
      <c r="B804" s="8">
        <v>1</v>
      </c>
      <c r="C804" s="8">
        <v>470</v>
      </c>
      <c r="D804" s="8">
        <v>1</v>
      </c>
    </row>
    <row r="805" spans="1:4" x14ac:dyDescent="0.25">
      <c r="A805" s="7" t="s">
        <v>136</v>
      </c>
      <c r="B805" s="8">
        <v>1</v>
      </c>
      <c r="C805" s="8">
        <v>370</v>
      </c>
      <c r="D805" s="8">
        <v>1</v>
      </c>
    </row>
    <row r="806" spans="1:4" x14ac:dyDescent="0.25">
      <c r="A806" s="7" t="s">
        <v>1096</v>
      </c>
      <c r="B806" s="8">
        <v>1</v>
      </c>
      <c r="C806" s="8">
        <v>639</v>
      </c>
      <c r="D806" s="8">
        <v>1</v>
      </c>
    </row>
    <row r="807" spans="1:4" x14ac:dyDescent="0.25">
      <c r="A807" s="7" t="s">
        <v>1231</v>
      </c>
      <c r="B807" s="8">
        <v>1608.8609523099999</v>
      </c>
      <c r="C807" s="8">
        <v>349767.87759236793</v>
      </c>
      <c r="D807" s="8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34B13-3C14-4D15-8B62-093590F79D50}">
  <dimension ref="A1:R804"/>
  <sheetViews>
    <sheetView topLeftCell="C1" workbookViewId="0">
      <selection activeCell="R10" sqref="R10"/>
    </sheetView>
  </sheetViews>
  <sheetFormatPr defaultRowHeight="13.2" x14ac:dyDescent="0.25"/>
  <cols>
    <col min="1" max="1" width="67.33203125" customWidth="1"/>
    <col min="3" max="3" width="11.44140625" customWidth="1"/>
    <col min="4" max="4" width="14.109375" style="12" customWidth="1"/>
    <col min="5" max="5" width="11" customWidth="1"/>
    <col min="7" max="7" width="9.33203125" style="11" customWidth="1"/>
    <col min="8" max="8" width="14.5546875" customWidth="1"/>
    <col min="9" max="9" width="14.21875" customWidth="1"/>
    <col min="10" max="10" width="10.88671875" customWidth="1"/>
    <col min="11" max="11" width="16" customWidth="1"/>
    <col min="12" max="12" width="15.21875" style="11" customWidth="1"/>
    <col min="13" max="13" width="19.33203125" customWidth="1"/>
    <col min="14" max="14" width="21.109375" customWidth="1"/>
    <col min="16" max="16" width="8.88671875" style="23"/>
  </cols>
  <sheetData>
    <row r="1" spans="1:18" x14ac:dyDescent="0.25">
      <c r="A1" s="9" t="s">
        <v>1233</v>
      </c>
      <c r="B1" s="10" t="s">
        <v>1234</v>
      </c>
      <c r="C1" s="10" t="s">
        <v>1235</v>
      </c>
      <c r="D1" s="13" t="s">
        <v>1236</v>
      </c>
      <c r="E1" s="10" t="s">
        <v>1237</v>
      </c>
      <c r="F1" s="10" t="s">
        <v>1241</v>
      </c>
      <c r="G1" s="18" t="s">
        <v>1242</v>
      </c>
      <c r="H1" s="10" t="s">
        <v>1243</v>
      </c>
      <c r="I1" s="10" t="s">
        <v>1244</v>
      </c>
      <c r="J1" s="10" t="s">
        <v>1262</v>
      </c>
      <c r="K1" s="10" t="s">
        <v>1247</v>
      </c>
      <c r="L1" s="18" t="s">
        <v>1248</v>
      </c>
      <c r="M1" s="10" t="s">
        <v>1250</v>
      </c>
      <c r="N1" s="10" t="s">
        <v>1249</v>
      </c>
      <c r="O1" s="10" t="s">
        <v>1251</v>
      </c>
      <c r="P1" s="22" t="s">
        <v>1267</v>
      </c>
      <c r="Q1" s="10" t="s">
        <v>1266</v>
      </c>
      <c r="R1" s="10" t="s">
        <v>1268</v>
      </c>
    </row>
    <row r="2" spans="1:18" x14ac:dyDescent="0.25">
      <c r="A2" s="7" t="s">
        <v>154</v>
      </c>
      <c r="B2" s="8">
        <v>1</v>
      </c>
      <c r="C2" s="11">
        <v>6.2155775398999025E-4</v>
      </c>
      <c r="D2" s="12">
        <v>0.68576466997715224</v>
      </c>
      <c r="E2" t="s">
        <v>1238</v>
      </c>
      <c r="F2" s="8">
        <v>108</v>
      </c>
      <c r="G2" s="11">
        <v>3.0877621107867171E-4</v>
      </c>
      <c r="H2" s="12">
        <v>0.96249751048640642</v>
      </c>
      <c r="I2" t="s">
        <v>1240</v>
      </c>
      <c r="J2" s="8">
        <v>5</v>
      </c>
      <c r="K2">
        <v>6</v>
      </c>
      <c r="L2" s="11">
        <v>6.2155775398998981E-4</v>
      </c>
      <c r="M2" s="12">
        <v>0.68576466997715213</v>
      </c>
      <c r="N2" t="s">
        <v>1238</v>
      </c>
      <c r="O2" t="s">
        <v>1254</v>
      </c>
      <c r="P2" s="23">
        <f>VLOOKUP(A2,вариация!A$2:G$805,2,FALSE)</f>
        <v>2.2360679774997894</v>
      </c>
      <c r="Q2" t="str">
        <f>IF(вариация!H3="Yes",IF(P5&lt;0.1,"X",IF(P5&lt;0.25,"Y","Z")),"")</f>
        <v/>
      </c>
      <c r="R2" t="str">
        <f>O2&amp;Q2</f>
        <v>ACA</v>
      </c>
    </row>
    <row r="3" spans="1:18" x14ac:dyDescent="0.25">
      <c r="A3" s="7" t="s">
        <v>518</v>
      </c>
      <c r="B3" s="8">
        <v>1</v>
      </c>
      <c r="C3" s="11">
        <v>6.2155775398999025E-4</v>
      </c>
      <c r="D3" s="12">
        <v>0.68638622773114222</v>
      </c>
      <c r="E3" t="s">
        <v>1238</v>
      </c>
      <c r="F3" s="8">
        <v>95</v>
      </c>
      <c r="G3" s="11">
        <v>2.7160870418957238E-4</v>
      </c>
      <c r="H3" s="12">
        <v>0.97256933304555426</v>
      </c>
      <c r="I3" t="s">
        <v>1240</v>
      </c>
      <c r="J3" s="8">
        <v>5</v>
      </c>
      <c r="K3">
        <v>6</v>
      </c>
      <c r="L3" s="11">
        <v>6.2155775398998981E-4</v>
      </c>
      <c r="M3" s="12">
        <v>0.68638622773114211</v>
      </c>
      <c r="N3" t="s">
        <v>1238</v>
      </c>
      <c r="O3" t="s">
        <v>1254</v>
      </c>
      <c r="P3" s="23">
        <f>VLOOKUP(A3,вариация!A$2:G$805,2,FALSE)</f>
        <v>2.2360679774997894</v>
      </c>
      <c r="Q3" t="str">
        <f>IF(вариация!H4="Yes",IF(P6&lt;0.1,"X",IF(P6&lt;0.25,"Y","Z")),"")</f>
        <v/>
      </c>
      <c r="R3" t="str">
        <f>O3&amp;Q3</f>
        <v>ACA</v>
      </c>
    </row>
    <row r="4" spans="1:18" x14ac:dyDescent="0.25">
      <c r="A4" s="7" t="s">
        <v>870</v>
      </c>
      <c r="B4" s="8">
        <v>1</v>
      </c>
      <c r="C4" s="11">
        <v>6.2155775398999025E-4</v>
      </c>
      <c r="D4" s="12">
        <v>0.68700778548513219</v>
      </c>
      <c r="E4" t="s">
        <v>1238</v>
      </c>
      <c r="F4" s="8">
        <v>110</v>
      </c>
      <c r="G4" s="11">
        <v>3.1449428906161011E-4</v>
      </c>
      <c r="H4" s="12">
        <v>0.96062126614825472</v>
      </c>
      <c r="I4" t="s">
        <v>1240</v>
      </c>
      <c r="J4" s="8">
        <v>5</v>
      </c>
      <c r="K4">
        <v>6</v>
      </c>
      <c r="L4" s="11">
        <v>6.2155775398998981E-4</v>
      </c>
      <c r="M4" s="12">
        <v>0.68700778548513208</v>
      </c>
      <c r="N4" t="s">
        <v>1238</v>
      </c>
      <c r="O4" t="s">
        <v>1254</v>
      </c>
      <c r="P4" s="23">
        <f>VLOOKUP(A4,вариация!A$2:G$805,2,FALSE)</f>
        <v>2.2360679774997894</v>
      </c>
      <c r="Q4" t="str">
        <f>IF(вариация!H5="Yes",IF(P7&lt;0.1,"X",IF(P7&lt;0.25,"Y","Z")),"")</f>
        <v/>
      </c>
      <c r="R4" t="str">
        <f>O4&amp;Q4</f>
        <v>ACA</v>
      </c>
    </row>
    <row r="5" spans="1:18" x14ac:dyDescent="0.25">
      <c r="A5" s="7" t="s">
        <v>109</v>
      </c>
      <c r="B5" s="8">
        <v>1</v>
      </c>
      <c r="C5" s="11">
        <v>6.2155775398999025E-4</v>
      </c>
      <c r="D5" s="12">
        <v>0.68762934323912217</v>
      </c>
      <c r="E5" t="s">
        <v>1238</v>
      </c>
      <c r="F5" s="8">
        <v>146</v>
      </c>
      <c r="G5" s="11">
        <v>4.1741969275450066E-4</v>
      </c>
      <c r="H5" s="12">
        <v>0.93697409746903337</v>
      </c>
      <c r="I5" t="s">
        <v>1239</v>
      </c>
      <c r="J5" s="8">
        <v>5</v>
      </c>
      <c r="K5">
        <v>6</v>
      </c>
      <c r="L5" s="11">
        <v>6.2155775398998981E-4</v>
      </c>
      <c r="M5" s="12">
        <v>0.68762934323912206</v>
      </c>
      <c r="N5" t="s">
        <v>1238</v>
      </c>
      <c r="O5" t="s">
        <v>1253</v>
      </c>
      <c r="P5" s="23">
        <f>VLOOKUP(A5,вариация!A$2:G$805,2,FALSE)</f>
        <v>2.2360679774997894</v>
      </c>
      <c r="Q5" t="str">
        <f>IF(вариация!H6="Yes",IF(P8&lt;0.1,"X",IF(P8&lt;0.25,"Y","Z")),"")</f>
        <v/>
      </c>
      <c r="R5" t="str">
        <f>O5&amp;Q5</f>
        <v>ABA</v>
      </c>
    </row>
    <row r="6" spans="1:18" x14ac:dyDescent="0.25">
      <c r="A6" s="7" t="s">
        <v>1212</v>
      </c>
      <c r="B6" s="8">
        <v>1</v>
      </c>
      <c r="C6" s="11">
        <v>6.2155775398999025E-4</v>
      </c>
      <c r="D6" s="12">
        <v>0.68825090099311215</v>
      </c>
      <c r="E6" t="s">
        <v>1238</v>
      </c>
      <c r="F6" s="8">
        <v>177</v>
      </c>
      <c r="G6" s="11">
        <v>5.0604990149004533E-4</v>
      </c>
      <c r="H6" s="12">
        <v>0.91604281568839996</v>
      </c>
      <c r="I6" t="s">
        <v>1239</v>
      </c>
      <c r="J6" s="8">
        <v>5</v>
      </c>
      <c r="K6">
        <v>6</v>
      </c>
      <c r="L6" s="11">
        <v>6.2155775398998981E-4</v>
      </c>
      <c r="M6" s="12">
        <v>0.68825090099311204</v>
      </c>
      <c r="N6" t="s">
        <v>1238</v>
      </c>
      <c r="O6" t="s">
        <v>1253</v>
      </c>
      <c r="P6" s="23">
        <f>VLOOKUP(A6,вариация!A$2:G$805,2,FALSE)</f>
        <v>2.2360679774997894</v>
      </c>
      <c r="Q6" t="str">
        <f>IF(вариация!H7="Yes",IF(P9&lt;0.1,"X",IF(P9&lt;0.25,"Y","Z")),"")</f>
        <v/>
      </c>
      <c r="R6" t="str">
        <f>O6&amp;Q6</f>
        <v>ABA</v>
      </c>
    </row>
    <row r="7" spans="1:18" x14ac:dyDescent="0.25">
      <c r="A7" s="7" t="s">
        <v>213</v>
      </c>
      <c r="B7" s="8">
        <v>2</v>
      </c>
      <c r="C7" s="11">
        <v>1.2431155079799805E-3</v>
      </c>
      <c r="D7" s="12">
        <v>0.5214869555976015</v>
      </c>
      <c r="E7" t="s">
        <v>1238</v>
      </c>
      <c r="F7" s="8">
        <v>190</v>
      </c>
      <c r="G7" s="11">
        <v>5.4321740837914476E-4</v>
      </c>
      <c r="H7" s="12">
        <v>0.9112596434556719</v>
      </c>
      <c r="I7" t="s">
        <v>1239</v>
      </c>
      <c r="J7" s="8">
        <v>5</v>
      </c>
      <c r="K7">
        <v>12</v>
      </c>
      <c r="L7" s="11">
        <v>1.2431155079799796E-3</v>
      </c>
      <c r="M7" s="12">
        <v>0.52148695559760139</v>
      </c>
      <c r="N7" t="s">
        <v>1238</v>
      </c>
      <c r="O7" t="s">
        <v>1253</v>
      </c>
      <c r="P7" s="23">
        <f>VLOOKUP(A7,вариация!A$2:G$805,2,FALSE)</f>
        <v>1.3693063937629151</v>
      </c>
      <c r="Q7" t="str">
        <f>IF(вариация!H8="Yes",IF(P10&lt;0.1,"X",IF(P10&lt;0.25,"Y","Z")),"")</f>
        <v/>
      </c>
      <c r="R7" t="str">
        <f>O7&amp;Q7</f>
        <v>ABA</v>
      </c>
    </row>
    <row r="8" spans="1:18" x14ac:dyDescent="0.25">
      <c r="A8" s="7" t="s">
        <v>180</v>
      </c>
      <c r="B8" s="8">
        <v>3</v>
      </c>
      <c r="C8" s="11">
        <v>1.8646732619699705E-3</v>
      </c>
      <c r="D8" s="12">
        <v>0.41395746415733303</v>
      </c>
      <c r="E8" t="s">
        <v>1238</v>
      </c>
      <c r="F8" s="8">
        <v>411</v>
      </c>
      <c r="G8" s="11">
        <v>1.1750650254938341E-3</v>
      </c>
      <c r="H8" s="12">
        <v>0.72322363846181226</v>
      </c>
      <c r="I8" t="s">
        <v>1238</v>
      </c>
      <c r="J8" s="8">
        <v>5</v>
      </c>
      <c r="K8">
        <v>18</v>
      </c>
      <c r="L8" s="11">
        <v>1.8646732619699697E-3</v>
      </c>
      <c r="M8" s="12">
        <v>0.41395746415733287</v>
      </c>
      <c r="N8" t="s">
        <v>1238</v>
      </c>
      <c r="O8" t="s">
        <v>1252</v>
      </c>
      <c r="P8" s="23">
        <f>VLOOKUP(A8,вариация!A$2:G$805,2,FALSE)</f>
        <v>1.4907119849998598</v>
      </c>
      <c r="Q8" t="str">
        <f>IF(вариация!H9="Yes",IF(P11&lt;0.1,"X",IF(P11&lt;0.25,"Y","Z")),"")</f>
        <v/>
      </c>
      <c r="R8" t="str">
        <f>O8&amp;Q8</f>
        <v>AAA</v>
      </c>
    </row>
    <row r="9" spans="1:18" x14ac:dyDescent="0.25">
      <c r="A9" s="7" t="s">
        <v>44</v>
      </c>
      <c r="B9" s="8">
        <v>1</v>
      </c>
      <c r="C9" s="11">
        <v>6.2155775398999025E-4</v>
      </c>
      <c r="D9" s="12">
        <v>0.68887245874710212</v>
      </c>
      <c r="E9" t="s">
        <v>1238</v>
      </c>
      <c r="F9" s="8">
        <v>64</v>
      </c>
      <c r="G9" s="11">
        <v>1.8297849545402769E-4</v>
      </c>
      <c r="H9" s="12">
        <v>0.98992261328895581</v>
      </c>
      <c r="I9" t="s">
        <v>1240</v>
      </c>
      <c r="J9" s="8">
        <v>5</v>
      </c>
      <c r="K9">
        <v>6</v>
      </c>
      <c r="L9" s="11">
        <v>6.2155775398998981E-4</v>
      </c>
      <c r="M9" s="12">
        <v>0.68887245874710201</v>
      </c>
      <c r="N9" t="s">
        <v>1238</v>
      </c>
      <c r="O9" t="s">
        <v>1254</v>
      </c>
      <c r="P9" s="23">
        <f>VLOOKUP(A9,вариация!A$2:G$805,2,FALSE)</f>
        <v>2.2360679774997894</v>
      </c>
      <c r="Q9" t="str">
        <f>IF(вариация!H10="Yes",IF(P12&lt;0.1,"X",IF(P12&lt;0.25,"Y","Z")),"")</f>
        <v/>
      </c>
      <c r="R9" t="str">
        <f>O9&amp;Q9</f>
        <v>ACA</v>
      </c>
    </row>
    <row r="10" spans="1:18" x14ac:dyDescent="0.25">
      <c r="A10" s="7" t="s">
        <v>766</v>
      </c>
      <c r="B10" s="8">
        <v>1</v>
      </c>
      <c r="C10" s="11">
        <v>6.2155775398999025E-4</v>
      </c>
      <c r="D10" s="12">
        <v>0.6894940165010921</v>
      </c>
      <c r="E10" t="s">
        <v>1238</v>
      </c>
      <c r="F10" s="8">
        <v>213</v>
      </c>
      <c r="G10" s="11">
        <v>6.0897530518293588E-4</v>
      </c>
      <c r="H10" s="12">
        <v>0.89686569729156063</v>
      </c>
      <c r="I10" t="s">
        <v>1239</v>
      </c>
      <c r="J10" s="8">
        <v>5</v>
      </c>
      <c r="K10">
        <v>6</v>
      </c>
      <c r="L10" s="11">
        <v>6.2155775398998981E-4</v>
      </c>
      <c r="M10" s="12">
        <v>0.68949401650109199</v>
      </c>
      <c r="N10" t="s">
        <v>1238</v>
      </c>
      <c r="O10" t="s">
        <v>1253</v>
      </c>
      <c r="P10" s="23">
        <f>VLOOKUP(A10,вариация!A$2:G$805,2,FALSE)</f>
        <v>2.2360679774997894</v>
      </c>
      <c r="Q10" t="str">
        <f>IF(вариация!H11="Yes",IF(P13&lt;0.1,"X",IF(P13&lt;0.25,"Y","Z")),"")</f>
        <v/>
      </c>
      <c r="R10" t="str">
        <f>O10&amp;Q10</f>
        <v>ABA</v>
      </c>
    </row>
    <row r="11" spans="1:18" x14ac:dyDescent="0.25">
      <c r="A11" s="7" t="s">
        <v>505</v>
      </c>
      <c r="B11" s="8">
        <v>1</v>
      </c>
      <c r="C11" s="11">
        <v>6.2155775398999025E-4</v>
      </c>
      <c r="D11" s="12">
        <v>0.69011557425508208</v>
      </c>
      <c r="E11" t="s">
        <v>1238</v>
      </c>
      <c r="F11" s="8">
        <v>201</v>
      </c>
      <c r="G11" s="11">
        <v>5.7466683728530569E-4</v>
      </c>
      <c r="H11" s="12">
        <v>0.90511402478194913</v>
      </c>
      <c r="I11" t="s">
        <v>1239</v>
      </c>
      <c r="J11" s="8">
        <v>5</v>
      </c>
      <c r="K11">
        <v>6</v>
      </c>
      <c r="L11" s="11">
        <v>6.2155775398998981E-4</v>
      </c>
      <c r="M11" s="12">
        <v>0.69011557425508196</v>
      </c>
      <c r="N11" t="s">
        <v>1238</v>
      </c>
      <c r="O11" t="s">
        <v>1253</v>
      </c>
      <c r="P11" s="23">
        <f>VLOOKUP(A11,вариация!A$2:G$805,2,FALSE)</f>
        <v>2.2360679774997894</v>
      </c>
      <c r="Q11" t="str">
        <f>IF(вариация!H12="Yes",IF(P14&lt;0.1,"X",IF(P14&lt;0.25,"Y","Z")),"")</f>
        <v/>
      </c>
      <c r="R11" t="str">
        <f>O11&amp;Q11</f>
        <v>ABA</v>
      </c>
    </row>
    <row r="12" spans="1:18" x14ac:dyDescent="0.25">
      <c r="A12" s="7" t="s">
        <v>871</v>
      </c>
      <c r="B12" s="8">
        <v>1</v>
      </c>
      <c r="C12" s="11">
        <v>6.2155775398999025E-4</v>
      </c>
      <c r="D12" s="12">
        <v>0.69073713200907205</v>
      </c>
      <c r="E12" t="s">
        <v>1238</v>
      </c>
      <c r="F12" s="8">
        <v>45</v>
      </c>
      <c r="G12" s="11">
        <v>1.2865675461611322E-4</v>
      </c>
      <c r="H12" s="12">
        <v>0.99562617925199415</v>
      </c>
      <c r="I12" t="s">
        <v>1240</v>
      </c>
      <c r="J12" s="8">
        <v>5</v>
      </c>
      <c r="K12">
        <v>6</v>
      </c>
      <c r="L12" s="11">
        <v>6.2155775398998981E-4</v>
      </c>
      <c r="M12" s="12">
        <v>0.69073713200907194</v>
      </c>
      <c r="N12" t="s">
        <v>1238</v>
      </c>
      <c r="O12" t="s">
        <v>1254</v>
      </c>
      <c r="P12" s="23">
        <f>VLOOKUP(A12,вариация!A$2:G$805,2,FALSE)</f>
        <v>2.2360679774997894</v>
      </c>
      <c r="Q12" t="str">
        <f>IF(вариация!H13="Yes",IF(P15&lt;0.1,"X",IF(P15&lt;0.25,"Y","Z")),"")</f>
        <v/>
      </c>
      <c r="R12" t="str">
        <f>O12&amp;Q12</f>
        <v>ACA</v>
      </c>
    </row>
    <row r="13" spans="1:18" x14ac:dyDescent="0.25">
      <c r="A13" s="7" t="s">
        <v>86</v>
      </c>
      <c r="B13" s="8">
        <v>2</v>
      </c>
      <c r="C13" s="11">
        <v>1.2431155079799805E-3</v>
      </c>
      <c r="D13" s="12">
        <v>0.52273007110558145</v>
      </c>
      <c r="E13" t="s">
        <v>1238</v>
      </c>
      <c r="F13" s="8">
        <v>2446</v>
      </c>
      <c r="G13" s="11">
        <v>6.9932093731336206E-3</v>
      </c>
      <c r="H13" s="12">
        <v>0.13641588137592639</v>
      </c>
      <c r="I13" t="s">
        <v>1238</v>
      </c>
      <c r="J13" s="8">
        <v>5</v>
      </c>
      <c r="K13">
        <v>12</v>
      </c>
      <c r="L13" s="11">
        <v>1.2431155079799796E-3</v>
      </c>
      <c r="M13" s="12">
        <v>0.52273007110558134</v>
      </c>
      <c r="N13" t="s">
        <v>1238</v>
      </c>
      <c r="O13" t="s">
        <v>1252</v>
      </c>
      <c r="P13" s="23">
        <f>VLOOKUP(A13,вариация!A$2:G$805,2,FALSE)</f>
        <v>1.3693063937629151</v>
      </c>
      <c r="Q13" t="str">
        <f>IF(вариация!H14="Yes",IF(P16&lt;0.1,"X",IF(P16&lt;0.25,"Y","Z")),"")</f>
        <v/>
      </c>
      <c r="R13" t="str">
        <f>O13&amp;Q13</f>
        <v>AAA</v>
      </c>
    </row>
    <row r="14" spans="1:18" x14ac:dyDescent="0.25">
      <c r="A14" s="7" t="s">
        <v>847</v>
      </c>
      <c r="B14" s="8">
        <v>2</v>
      </c>
      <c r="C14" s="11">
        <v>1.2431155079799805E-3</v>
      </c>
      <c r="D14" s="12">
        <v>0.5239731866135614</v>
      </c>
      <c r="E14" t="s">
        <v>1238</v>
      </c>
      <c r="F14" s="8">
        <v>160</v>
      </c>
      <c r="G14" s="11">
        <v>4.5744623863506925E-4</v>
      </c>
      <c r="H14" s="12">
        <v>0.92864297220945202</v>
      </c>
      <c r="I14" t="s">
        <v>1239</v>
      </c>
      <c r="J14" s="8">
        <v>5</v>
      </c>
      <c r="K14">
        <v>12</v>
      </c>
      <c r="L14" s="11">
        <v>1.2431155079799796E-3</v>
      </c>
      <c r="M14" s="12">
        <v>0.52397318661356129</v>
      </c>
      <c r="N14" t="s">
        <v>1238</v>
      </c>
      <c r="O14" t="s">
        <v>1253</v>
      </c>
      <c r="P14" s="23">
        <f>VLOOKUP(A14,вариация!A$2:G$805,2,FALSE)</f>
        <v>2.2360679774997894</v>
      </c>
      <c r="Q14" t="str">
        <f>IF(вариация!H15="Yes",IF(P17&lt;0.1,"X",IF(P17&lt;0.25,"Y","Z")),"")</f>
        <v/>
      </c>
      <c r="R14" t="str">
        <f>O14&amp;Q14</f>
        <v>ABA</v>
      </c>
    </row>
    <row r="15" spans="1:18" x14ac:dyDescent="0.25">
      <c r="A15" s="7" t="s">
        <v>904</v>
      </c>
      <c r="B15" s="8">
        <v>1</v>
      </c>
      <c r="C15" s="11">
        <v>6.2155775398999025E-4</v>
      </c>
      <c r="D15" s="12">
        <v>0.69135868976306203</v>
      </c>
      <c r="E15" t="s">
        <v>1238</v>
      </c>
      <c r="F15" s="8">
        <v>347</v>
      </c>
      <c r="G15" s="11">
        <v>9.9208653003980641E-4</v>
      </c>
      <c r="H15" s="12">
        <v>0.78354934506826823</v>
      </c>
      <c r="I15" t="s">
        <v>1238</v>
      </c>
      <c r="J15" s="8">
        <v>5</v>
      </c>
      <c r="K15">
        <v>6</v>
      </c>
      <c r="L15" s="11">
        <v>6.2155775398998981E-4</v>
      </c>
      <c r="M15" s="12">
        <v>0.69135868976306192</v>
      </c>
      <c r="N15" t="s">
        <v>1238</v>
      </c>
      <c r="O15" t="s">
        <v>1252</v>
      </c>
      <c r="P15" s="23">
        <f>VLOOKUP(A15,вариация!A$2:G$805,2,FALSE)</f>
        <v>2.2360679774997894</v>
      </c>
      <c r="Q15" t="str">
        <f>IF(вариация!H16="Yes",IF(P18&lt;0.1,"X",IF(P18&lt;0.25,"Y","Z")),"")</f>
        <v/>
      </c>
      <c r="R15" t="str">
        <f>O15&amp;Q15</f>
        <v>AAA</v>
      </c>
    </row>
    <row r="16" spans="1:18" x14ac:dyDescent="0.25">
      <c r="A16" s="7" t="s">
        <v>1002</v>
      </c>
      <c r="B16" s="8">
        <v>1</v>
      </c>
      <c r="C16" s="11">
        <v>6.2155775398999025E-4</v>
      </c>
      <c r="D16" s="12">
        <v>0.69198024751705201</v>
      </c>
      <c r="E16" t="s">
        <v>1238</v>
      </c>
      <c r="F16" s="8">
        <v>529</v>
      </c>
      <c r="G16" s="11">
        <v>1.5124316264871977E-3</v>
      </c>
      <c r="H16" s="12">
        <v>0.63332400285857937</v>
      </c>
      <c r="I16" t="s">
        <v>1238</v>
      </c>
      <c r="J16" s="8">
        <v>5</v>
      </c>
      <c r="K16">
        <v>6</v>
      </c>
      <c r="L16" s="11">
        <v>6.2155775398998981E-4</v>
      </c>
      <c r="M16" s="12">
        <v>0.69198024751705189</v>
      </c>
      <c r="N16" t="s">
        <v>1238</v>
      </c>
      <c r="O16" t="s">
        <v>1252</v>
      </c>
      <c r="P16" s="23">
        <f>VLOOKUP(A16,вариация!A$2:G$805,2,FALSE)</f>
        <v>2.2360679774997894</v>
      </c>
      <c r="Q16" t="str">
        <f>IF(вариация!H17="Yes",IF(P19&lt;0.1,"X",IF(P19&lt;0.25,"Y","Z")),"")</f>
        <v/>
      </c>
      <c r="R16" t="str">
        <f>O16&amp;Q16</f>
        <v>AAA</v>
      </c>
    </row>
    <row r="17" spans="1:18" x14ac:dyDescent="0.25">
      <c r="A17" s="7" t="s">
        <v>1127</v>
      </c>
      <c r="B17" s="8">
        <v>1</v>
      </c>
      <c r="C17" s="11">
        <v>6.2155775398999025E-4</v>
      </c>
      <c r="D17" s="12">
        <v>0.69260180527104198</v>
      </c>
      <c r="E17" t="s">
        <v>1238</v>
      </c>
      <c r="F17" s="8">
        <v>81</v>
      </c>
      <c r="G17" s="11">
        <v>2.315821583090038E-4</v>
      </c>
      <c r="H17" s="12">
        <v>0.9806483482468682</v>
      </c>
      <c r="I17" t="s">
        <v>1240</v>
      </c>
      <c r="J17" s="8">
        <v>5</v>
      </c>
      <c r="K17">
        <v>6</v>
      </c>
      <c r="L17" s="11">
        <v>6.2155775398998981E-4</v>
      </c>
      <c r="M17" s="12">
        <v>0.69260180527104187</v>
      </c>
      <c r="N17" t="s">
        <v>1238</v>
      </c>
      <c r="O17" t="s">
        <v>1254</v>
      </c>
      <c r="P17" s="23">
        <f>VLOOKUP(A17,вариация!A$2:G$805,2,FALSE)</f>
        <v>2.2360679774997894</v>
      </c>
      <c r="Q17" t="str">
        <f>IF(вариация!H18="Yes",IF(P20&lt;0.1,"X",IF(P20&lt;0.25,"Y","Z")),"")</f>
        <v/>
      </c>
      <c r="R17" t="str">
        <f>O17&amp;Q17</f>
        <v>ACA</v>
      </c>
    </row>
    <row r="18" spans="1:18" x14ac:dyDescent="0.25">
      <c r="A18" s="7" t="s">
        <v>1199</v>
      </c>
      <c r="B18" s="8">
        <v>1</v>
      </c>
      <c r="C18" s="11">
        <v>6.2155775398999025E-4</v>
      </c>
      <c r="D18" s="12">
        <v>0.69322336302503196</v>
      </c>
      <c r="E18" t="s">
        <v>1238</v>
      </c>
      <c r="F18" s="8">
        <v>195</v>
      </c>
      <c r="G18" s="11">
        <v>5.575126033364906E-4</v>
      </c>
      <c r="H18" s="12">
        <v>0.90851196403292034</v>
      </c>
      <c r="I18" t="s">
        <v>1239</v>
      </c>
      <c r="J18" s="8">
        <v>5</v>
      </c>
      <c r="K18">
        <v>6</v>
      </c>
      <c r="L18" s="11">
        <v>6.2155775398998981E-4</v>
      </c>
      <c r="M18" s="12">
        <v>0.69322336302503185</v>
      </c>
      <c r="N18" t="s">
        <v>1238</v>
      </c>
      <c r="O18" t="s">
        <v>1253</v>
      </c>
      <c r="P18" s="23">
        <f>VLOOKUP(A18,вариация!A$2:G$805,2,FALSE)</f>
        <v>2.2360679774997894</v>
      </c>
      <c r="Q18" t="str">
        <f>IF(вариация!H19="Yes",IF(P21&lt;0.1,"X",IF(P21&lt;0.25,"Y","Z")),"")</f>
        <v/>
      </c>
      <c r="R18" t="str">
        <f>O18&amp;Q18</f>
        <v>ABA</v>
      </c>
    </row>
    <row r="19" spans="1:18" x14ac:dyDescent="0.25">
      <c r="A19" s="7" t="s">
        <v>556</v>
      </c>
      <c r="B19" s="8">
        <v>1</v>
      </c>
      <c r="C19" s="11">
        <v>6.2155775398999025E-4</v>
      </c>
      <c r="D19" s="12">
        <v>0.69384492077902193</v>
      </c>
      <c r="E19" t="s">
        <v>1238</v>
      </c>
      <c r="F19" s="8">
        <v>602</v>
      </c>
      <c r="G19" s="11">
        <v>1.7211414728644479E-3</v>
      </c>
      <c r="H19" s="12">
        <v>0.58320902340232306</v>
      </c>
      <c r="I19" t="s">
        <v>1238</v>
      </c>
      <c r="J19" s="8">
        <v>5</v>
      </c>
      <c r="K19">
        <v>6</v>
      </c>
      <c r="L19" s="11">
        <v>6.2155775398998981E-4</v>
      </c>
      <c r="M19" s="12">
        <v>0.69384492077902182</v>
      </c>
      <c r="N19" t="s">
        <v>1238</v>
      </c>
      <c r="O19" t="s">
        <v>1252</v>
      </c>
      <c r="P19" s="23">
        <f>VLOOKUP(A19,вариация!A$2:G$805,2,FALSE)</f>
        <v>2.2360679774997894</v>
      </c>
      <c r="Q19" t="str">
        <f>IF(вариация!H20="Yes",IF(P22&lt;0.1,"X",IF(P22&lt;0.25,"Y","Z")),"")</f>
        <v/>
      </c>
      <c r="R19" t="str">
        <f>O19&amp;Q19</f>
        <v>AAA</v>
      </c>
    </row>
    <row r="20" spans="1:18" x14ac:dyDescent="0.25">
      <c r="A20" s="7" t="s">
        <v>868</v>
      </c>
      <c r="B20" s="8">
        <v>0.5</v>
      </c>
      <c r="C20" s="11">
        <v>3.1077887699499512E-4</v>
      </c>
      <c r="D20" s="12">
        <v>0.99542622298126426</v>
      </c>
      <c r="E20" t="s">
        <v>1240</v>
      </c>
      <c r="F20" s="8">
        <v>1378</v>
      </c>
      <c r="G20" s="11">
        <v>3.9397557302445338E-3</v>
      </c>
      <c r="H20" s="12">
        <v>0.3021156765727927</v>
      </c>
      <c r="I20" t="s">
        <v>1238</v>
      </c>
      <c r="J20" s="8">
        <v>5</v>
      </c>
      <c r="K20">
        <v>3</v>
      </c>
      <c r="L20" s="11">
        <v>3.1077887699499491E-4</v>
      </c>
      <c r="M20" s="12">
        <v>0.99542622298126415</v>
      </c>
      <c r="N20" t="s">
        <v>1240</v>
      </c>
      <c r="O20" t="s">
        <v>1258</v>
      </c>
      <c r="P20" s="23">
        <f>VLOOKUP(A20,вариация!A$2:G$805,2,FALSE)</f>
        <v>2.2360679774997894</v>
      </c>
      <c r="Q20" t="str">
        <f>IF(вариация!H21="Yes",IF(P23&lt;0.1,"X",IF(P23&lt;0.25,"Y","Z")),"")</f>
        <v/>
      </c>
      <c r="R20" t="str">
        <f>O20&amp;Q20</f>
        <v>CAC</v>
      </c>
    </row>
    <row r="21" spans="1:18" x14ac:dyDescent="0.25">
      <c r="A21" s="7" t="s">
        <v>498</v>
      </c>
      <c r="B21" s="8">
        <v>1</v>
      </c>
      <c r="C21" s="11">
        <v>6.2155775398999025E-4</v>
      </c>
      <c r="D21" s="12">
        <v>0.69446647853301191</v>
      </c>
      <c r="E21" t="s">
        <v>1238</v>
      </c>
      <c r="F21" s="8">
        <v>149</v>
      </c>
      <c r="G21" s="11">
        <v>4.2599680972890821E-4</v>
      </c>
      <c r="H21" s="12">
        <v>0.93528440542507507</v>
      </c>
      <c r="I21" t="s">
        <v>1239</v>
      </c>
      <c r="J21" s="8">
        <v>5</v>
      </c>
      <c r="K21">
        <v>6</v>
      </c>
      <c r="L21" s="11">
        <v>6.2155775398998981E-4</v>
      </c>
      <c r="M21" s="12">
        <v>0.6944664785330118</v>
      </c>
      <c r="N21" t="s">
        <v>1238</v>
      </c>
      <c r="O21" t="s">
        <v>1253</v>
      </c>
      <c r="P21" s="23">
        <f>VLOOKUP(A21,вариация!A$2:G$805,2,FALSE)</f>
        <v>2.2360679774997894</v>
      </c>
      <c r="Q21" t="str">
        <f>IF(вариация!H22="Yes",IF(P24&lt;0.1,"X",IF(P24&lt;0.25,"Y","Z")),"")</f>
        <v/>
      </c>
      <c r="R21" t="str">
        <f>O21&amp;Q21</f>
        <v>ABA</v>
      </c>
    </row>
    <row r="22" spans="1:18" x14ac:dyDescent="0.25">
      <c r="A22" s="7" t="s">
        <v>867</v>
      </c>
      <c r="B22" s="8">
        <v>1</v>
      </c>
      <c r="C22" s="11">
        <v>6.2155775398999025E-4</v>
      </c>
      <c r="D22" s="12">
        <v>0.69508803628700189</v>
      </c>
      <c r="E22" t="s">
        <v>1238</v>
      </c>
      <c r="F22" s="8">
        <v>122</v>
      </c>
      <c r="G22" s="11">
        <v>3.488027569592403E-4</v>
      </c>
      <c r="H22" s="12">
        <v>0.95288785158022959</v>
      </c>
      <c r="I22" t="s">
        <v>1240</v>
      </c>
      <c r="J22" s="8">
        <v>5</v>
      </c>
      <c r="K22">
        <v>6</v>
      </c>
      <c r="L22" s="11">
        <v>6.2155775398998981E-4</v>
      </c>
      <c r="M22" s="12">
        <v>0.69508803628700178</v>
      </c>
      <c r="N22" t="s">
        <v>1238</v>
      </c>
      <c r="O22" t="s">
        <v>1254</v>
      </c>
      <c r="P22" s="23">
        <f>VLOOKUP(A22,вариация!A$2:G$805,2,FALSE)</f>
        <v>2.2360679774997894</v>
      </c>
      <c r="Q22" t="str">
        <f>IF(вариация!H23="Yes",IF(P25&lt;0.1,"X",IF(P25&lt;0.25,"Y","Z")),"")</f>
        <v/>
      </c>
      <c r="R22" t="str">
        <f>O22&amp;Q22</f>
        <v>ACA</v>
      </c>
    </row>
    <row r="23" spans="1:18" x14ac:dyDescent="0.25">
      <c r="A23" s="7" t="s">
        <v>1079</v>
      </c>
      <c r="B23" s="8">
        <v>1</v>
      </c>
      <c r="C23" s="11">
        <v>6.2155775398999025E-4</v>
      </c>
      <c r="D23" s="12">
        <v>0.69570959404099186</v>
      </c>
      <c r="E23" t="s">
        <v>1238</v>
      </c>
      <c r="F23" s="8">
        <v>981</v>
      </c>
      <c r="G23" s="11">
        <v>2.8047172506312683E-3</v>
      </c>
      <c r="H23" s="12">
        <v>0.42561815569571432</v>
      </c>
      <c r="I23" t="s">
        <v>1238</v>
      </c>
      <c r="J23" s="8">
        <v>5</v>
      </c>
      <c r="K23">
        <v>6</v>
      </c>
      <c r="L23" s="11">
        <v>6.2155775398998981E-4</v>
      </c>
      <c r="M23" s="12">
        <v>0.69570959404099175</v>
      </c>
      <c r="N23" t="s">
        <v>1238</v>
      </c>
      <c r="O23" t="s">
        <v>1252</v>
      </c>
      <c r="P23" s="23">
        <f>VLOOKUP(A23,вариация!A$2:G$805,2,FALSE)</f>
        <v>2.2360679774997894</v>
      </c>
      <c r="Q23" t="str">
        <f>IF(вариация!H24="Yes",IF(P26&lt;0.1,"X",IF(P26&lt;0.25,"Y","Z")),"")</f>
        <v/>
      </c>
      <c r="R23" t="str">
        <f>O23&amp;Q23</f>
        <v>AAA</v>
      </c>
    </row>
    <row r="24" spans="1:18" x14ac:dyDescent="0.25">
      <c r="A24" s="7" t="s">
        <v>1182</v>
      </c>
      <c r="B24" s="8">
        <v>0.2</v>
      </c>
      <c r="C24" s="11">
        <v>1.2431155079799805E-4</v>
      </c>
      <c r="D24" s="12">
        <v>0.99847244792877365</v>
      </c>
      <c r="E24" t="s">
        <v>1240</v>
      </c>
      <c r="F24" s="8">
        <v>313</v>
      </c>
      <c r="G24" s="11">
        <v>8.9487920432985415E-4</v>
      </c>
      <c r="H24" s="12">
        <v>0.81002070105365298</v>
      </c>
      <c r="I24" t="s">
        <v>1239</v>
      </c>
      <c r="J24" s="8">
        <v>5</v>
      </c>
      <c r="K24">
        <v>1.2</v>
      </c>
      <c r="L24" s="11">
        <v>1.2431155079799797E-4</v>
      </c>
      <c r="M24" s="12">
        <v>0.99847244792877354</v>
      </c>
      <c r="N24" t="s">
        <v>1240</v>
      </c>
      <c r="O24" t="s">
        <v>1259</v>
      </c>
      <c r="P24" s="23">
        <f>VLOOKUP(A24,вариация!A$2:G$805,2,FALSE)</f>
        <v>2.2360679774997898</v>
      </c>
      <c r="Q24" t="str">
        <f>IF(вариация!H25="Yes",IF(P27&lt;0.1,"X",IF(P27&lt;0.25,"Y","Z")),"")</f>
        <v/>
      </c>
      <c r="R24" t="str">
        <f>O24&amp;Q24</f>
        <v>CBC</v>
      </c>
    </row>
    <row r="25" spans="1:18" x14ac:dyDescent="0.25">
      <c r="A25" s="7" t="s">
        <v>964</v>
      </c>
      <c r="B25" s="8">
        <v>1</v>
      </c>
      <c r="C25" s="11">
        <v>6.2155775398999025E-4</v>
      </c>
      <c r="D25" s="12">
        <v>0.69633115179498184</v>
      </c>
      <c r="E25" t="s">
        <v>1238</v>
      </c>
      <c r="F25" s="8">
        <v>607</v>
      </c>
      <c r="G25" s="11">
        <v>1.7354366678217939E-3</v>
      </c>
      <c r="H25" s="12">
        <v>0.57975530430062838</v>
      </c>
      <c r="I25" t="s">
        <v>1238</v>
      </c>
      <c r="J25" s="8">
        <v>5</v>
      </c>
      <c r="K25">
        <v>6</v>
      </c>
      <c r="L25" s="11">
        <v>6.2155775398998981E-4</v>
      </c>
      <c r="M25" s="12">
        <v>0.69633115179498173</v>
      </c>
      <c r="N25" t="s">
        <v>1238</v>
      </c>
      <c r="O25" t="s">
        <v>1252</v>
      </c>
      <c r="P25" s="23">
        <f>VLOOKUP(A25,вариация!A$2:G$805,2,FALSE)</f>
        <v>2.2360679774997894</v>
      </c>
      <c r="Q25" t="str">
        <f>IF(вариация!H26="Yes",IF(P28&lt;0.1,"X",IF(P28&lt;0.25,"Y","Z")),"")</f>
        <v/>
      </c>
      <c r="R25" t="str">
        <f>O25&amp;Q25</f>
        <v>AAA</v>
      </c>
    </row>
    <row r="26" spans="1:18" x14ac:dyDescent="0.25">
      <c r="A26" s="7" t="s">
        <v>864</v>
      </c>
      <c r="B26" s="8">
        <v>1</v>
      </c>
      <c r="C26" s="11">
        <v>6.2155775398999025E-4</v>
      </c>
      <c r="D26" s="12">
        <v>0.69695270954897182</v>
      </c>
      <c r="E26" t="s">
        <v>1238</v>
      </c>
      <c r="F26" s="8">
        <v>131</v>
      </c>
      <c r="G26" s="11">
        <v>3.7453410788246293E-4</v>
      </c>
      <c r="H26" s="12">
        <v>0.94530247805118295</v>
      </c>
      <c r="I26" t="s">
        <v>1239</v>
      </c>
      <c r="J26" s="8">
        <v>5</v>
      </c>
      <c r="K26">
        <v>6</v>
      </c>
      <c r="L26" s="11">
        <v>6.2155775398998981E-4</v>
      </c>
      <c r="M26" s="12">
        <v>0.69695270954897171</v>
      </c>
      <c r="N26" t="s">
        <v>1238</v>
      </c>
      <c r="O26" t="s">
        <v>1253</v>
      </c>
      <c r="P26" s="23">
        <f>VLOOKUP(A26,вариация!A$2:G$805,2,FALSE)</f>
        <v>2.2360679774997894</v>
      </c>
      <c r="Q26" t="str">
        <f>IF(вариация!H27="Yes",IF(P29&lt;0.1,"X",IF(P29&lt;0.25,"Y","Z")),"")</f>
        <v/>
      </c>
      <c r="R26" t="str">
        <f>O26&amp;Q26</f>
        <v>ABA</v>
      </c>
    </row>
    <row r="27" spans="1:18" x14ac:dyDescent="0.25">
      <c r="A27" s="7" t="s">
        <v>897</v>
      </c>
      <c r="B27" s="8">
        <v>1</v>
      </c>
      <c r="C27" s="11">
        <v>6.2155775398999025E-4</v>
      </c>
      <c r="D27" s="12">
        <v>0.69757426730296179</v>
      </c>
      <c r="E27" t="s">
        <v>1238</v>
      </c>
      <c r="F27" s="8">
        <v>987</v>
      </c>
      <c r="G27" s="11">
        <v>2.8218714845800832E-3</v>
      </c>
      <c r="H27" s="12">
        <v>0.42281343844508307</v>
      </c>
      <c r="I27" t="s">
        <v>1238</v>
      </c>
      <c r="J27" s="8">
        <v>5</v>
      </c>
      <c r="K27">
        <v>6</v>
      </c>
      <c r="L27" s="11">
        <v>6.2155775398998981E-4</v>
      </c>
      <c r="M27" s="12">
        <v>0.69757426730296168</v>
      </c>
      <c r="N27" t="s">
        <v>1238</v>
      </c>
      <c r="O27" t="s">
        <v>1252</v>
      </c>
      <c r="P27" s="23">
        <f>VLOOKUP(A27,вариация!A$2:G$805,2,FALSE)</f>
        <v>2.2360679774997894</v>
      </c>
      <c r="Q27" t="str">
        <f>IF(вариация!H28="Yes",IF(P30&lt;0.1,"X",IF(P30&lt;0.25,"Y","Z")),"")</f>
        <v/>
      </c>
      <c r="R27" t="str">
        <f>O27&amp;Q27</f>
        <v>AAA</v>
      </c>
    </row>
    <row r="28" spans="1:18" x14ac:dyDescent="0.25">
      <c r="A28" s="7" t="s">
        <v>544</v>
      </c>
      <c r="B28" s="8">
        <v>1</v>
      </c>
      <c r="C28" s="11">
        <v>6.2155775398999025E-4</v>
      </c>
      <c r="D28" s="12">
        <v>0.69819582505695177</v>
      </c>
      <c r="E28" t="s">
        <v>1238</v>
      </c>
      <c r="F28" s="8">
        <v>606</v>
      </c>
      <c r="G28" s="11">
        <v>1.7325776288303247E-3</v>
      </c>
      <c r="H28" s="12">
        <v>0.58148788192945866</v>
      </c>
      <c r="I28" t="s">
        <v>1238</v>
      </c>
      <c r="J28" s="8">
        <v>5</v>
      </c>
      <c r="K28">
        <v>6</v>
      </c>
      <c r="L28" s="11">
        <v>6.2155775398998981E-4</v>
      </c>
      <c r="M28" s="12">
        <v>0.69819582505695166</v>
      </c>
      <c r="N28" t="s">
        <v>1238</v>
      </c>
      <c r="O28" t="s">
        <v>1252</v>
      </c>
      <c r="P28" s="23">
        <f>VLOOKUP(A28,вариация!A$2:G$805,2,FALSE)</f>
        <v>2.2360679774997894</v>
      </c>
      <c r="Q28" t="str">
        <f>IF(вариация!H29="Yes",IF(P31&lt;0.1,"X",IF(P31&lt;0.25,"Y","Z")),"")</f>
        <v/>
      </c>
      <c r="R28" t="str">
        <f>O28&amp;Q28</f>
        <v>AAA</v>
      </c>
    </row>
    <row r="29" spans="1:18" x14ac:dyDescent="0.25">
      <c r="A29" s="7" t="s">
        <v>905</v>
      </c>
      <c r="B29" s="8">
        <v>1</v>
      </c>
      <c r="C29" s="11">
        <v>6.2155775398999025E-4</v>
      </c>
      <c r="D29" s="12">
        <v>0.69881738281094175</v>
      </c>
      <c r="E29" t="s">
        <v>1238</v>
      </c>
      <c r="F29" s="8">
        <v>307</v>
      </c>
      <c r="G29" s="11">
        <v>8.7772497038103906E-4</v>
      </c>
      <c r="H29" s="12">
        <v>0.81533442515202792</v>
      </c>
      <c r="I29" t="s">
        <v>1239</v>
      </c>
      <c r="J29" s="8">
        <v>5</v>
      </c>
      <c r="K29">
        <v>6</v>
      </c>
      <c r="L29" s="11">
        <v>6.2155775398998981E-4</v>
      </c>
      <c r="M29" s="12">
        <v>0.69881738281094163</v>
      </c>
      <c r="N29" t="s">
        <v>1238</v>
      </c>
      <c r="O29" t="s">
        <v>1253</v>
      </c>
      <c r="P29" s="23">
        <f>VLOOKUP(A29,вариация!A$2:G$805,2,FALSE)</f>
        <v>2.2360679774997894</v>
      </c>
      <c r="Q29" t="str">
        <f>IF(вариация!H30="Yes",IF(P32&lt;0.1,"X",IF(P32&lt;0.25,"Y","Z")),"")</f>
        <v/>
      </c>
      <c r="R29" t="str">
        <f>O29&amp;Q29</f>
        <v>ABA</v>
      </c>
    </row>
    <row r="30" spans="1:18" x14ac:dyDescent="0.25">
      <c r="A30" s="7" t="s">
        <v>481</v>
      </c>
      <c r="B30" s="8">
        <v>1</v>
      </c>
      <c r="C30" s="11">
        <v>6.2155775398999025E-4</v>
      </c>
      <c r="D30" s="12">
        <v>0.69943894056493172</v>
      </c>
      <c r="E30" t="s">
        <v>1238</v>
      </c>
      <c r="F30" s="8">
        <v>71</v>
      </c>
      <c r="G30" s="11">
        <v>2.0299176839431196E-4</v>
      </c>
      <c r="H30" s="12">
        <v>0.9878056664581123</v>
      </c>
      <c r="I30" t="s">
        <v>1240</v>
      </c>
      <c r="J30" s="8">
        <v>5</v>
      </c>
      <c r="K30">
        <v>6</v>
      </c>
      <c r="L30" s="11">
        <v>6.2155775398998981E-4</v>
      </c>
      <c r="M30" s="12">
        <v>0.69943894056493161</v>
      </c>
      <c r="N30" t="s">
        <v>1238</v>
      </c>
      <c r="O30" t="s">
        <v>1254</v>
      </c>
      <c r="P30" s="23">
        <f>VLOOKUP(A30,вариация!A$2:G$805,2,FALSE)</f>
        <v>2.2360679774997894</v>
      </c>
      <c r="Q30" t="str">
        <f>IF(вариация!H31="Yes",IF(P33&lt;0.1,"X",IF(P33&lt;0.25,"Y","Z")),"")</f>
        <v/>
      </c>
      <c r="R30" t="str">
        <f>O30&amp;Q30</f>
        <v>ACA</v>
      </c>
    </row>
    <row r="31" spans="1:18" x14ac:dyDescent="0.25">
      <c r="A31" s="7" t="s">
        <v>532</v>
      </c>
      <c r="B31" s="8">
        <v>1</v>
      </c>
      <c r="C31" s="11">
        <v>6.2155775398999025E-4</v>
      </c>
      <c r="D31" s="12">
        <v>0.7000604983189217</v>
      </c>
      <c r="E31" t="s">
        <v>1238</v>
      </c>
      <c r="F31" s="8">
        <v>346</v>
      </c>
      <c r="G31" s="11">
        <v>9.8922749104833727E-4</v>
      </c>
      <c r="H31" s="12">
        <v>0.78453857255931658</v>
      </c>
      <c r="I31" t="s">
        <v>1238</v>
      </c>
      <c r="J31" s="8">
        <v>5</v>
      </c>
      <c r="K31">
        <v>6</v>
      </c>
      <c r="L31" s="11">
        <v>6.2155775398998981E-4</v>
      </c>
      <c r="M31" s="12">
        <v>0.70006049831892159</v>
      </c>
      <c r="N31" t="s">
        <v>1238</v>
      </c>
      <c r="O31" t="s">
        <v>1252</v>
      </c>
      <c r="P31" s="23">
        <f>VLOOKUP(A31,вариация!A$2:G$805,2,FALSE)</f>
        <v>2.2360679774997894</v>
      </c>
      <c r="Q31" t="str">
        <f>IF(вариация!H32="Yes",IF(P34&lt;0.1,"X",IF(P34&lt;0.25,"Y","Z")),"")</f>
        <v/>
      </c>
      <c r="R31" t="str">
        <f>O31&amp;Q31</f>
        <v>AAA</v>
      </c>
    </row>
    <row r="32" spans="1:18" x14ac:dyDescent="0.25">
      <c r="A32" s="7" t="s">
        <v>1206</v>
      </c>
      <c r="B32" s="8">
        <v>1</v>
      </c>
      <c r="C32" s="11">
        <v>6.2155775398999025E-4</v>
      </c>
      <c r="D32" s="12">
        <v>0.70068205607291167</v>
      </c>
      <c r="E32" t="s">
        <v>1238</v>
      </c>
      <c r="F32" s="8">
        <v>1037</v>
      </c>
      <c r="G32" s="11">
        <v>2.9648234341535427E-3</v>
      </c>
      <c r="H32" s="12">
        <v>0.39380808761116937</v>
      </c>
      <c r="I32" t="s">
        <v>1238</v>
      </c>
      <c r="J32" s="8">
        <v>5</v>
      </c>
      <c r="K32">
        <v>6</v>
      </c>
      <c r="L32" s="11">
        <v>6.2155775398998981E-4</v>
      </c>
      <c r="M32" s="12">
        <v>0.70068205607291156</v>
      </c>
      <c r="N32" t="s">
        <v>1238</v>
      </c>
      <c r="O32" t="s">
        <v>1252</v>
      </c>
      <c r="P32" s="23">
        <f>VLOOKUP(A32,вариация!A$2:G$805,2,FALSE)</f>
        <v>2.2360679774997894</v>
      </c>
      <c r="Q32" t="str">
        <f>IF(вариация!H33="Yes",IF(P35&lt;0.1,"X",IF(P35&lt;0.25,"Y","Z")),"")</f>
        <v/>
      </c>
      <c r="R32" t="str">
        <f>O32&amp;Q32</f>
        <v>AAA</v>
      </c>
    </row>
    <row r="33" spans="1:18" x14ac:dyDescent="0.25">
      <c r="A33" s="7" t="s">
        <v>678</v>
      </c>
      <c r="B33" s="8">
        <v>1</v>
      </c>
      <c r="C33" s="11">
        <v>6.2155775398999025E-4</v>
      </c>
      <c r="D33" s="12">
        <v>0.70130361382690165</v>
      </c>
      <c r="E33" t="s">
        <v>1238</v>
      </c>
      <c r="F33" s="8">
        <v>1706</v>
      </c>
      <c r="G33" s="11">
        <v>4.8775205194464257E-3</v>
      </c>
      <c r="H33" s="12">
        <v>0.22140456073842665</v>
      </c>
      <c r="I33" t="s">
        <v>1238</v>
      </c>
      <c r="J33" s="8">
        <v>5</v>
      </c>
      <c r="K33">
        <v>6</v>
      </c>
      <c r="L33" s="11">
        <v>6.2155775398998981E-4</v>
      </c>
      <c r="M33" s="12">
        <v>0.70130361382690154</v>
      </c>
      <c r="N33" t="s">
        <v>1238</v>
      </c>
      <c r="O33" t="s">
        <v>1252</v>
      </c>
      <c r="P33" s="23">
        <f>VLOOKUP(A33,вариация!A$2:G$805,2,FALSE)</f>
        <v>2.2360679774997894</v>
      </c>
      <c r="Q33" t="str">
        <f>IF(вариация!H34="Yes",IF(P36&lt;0.1,"X",IF(P36&lt;0.25,"Y","Z")),"")</f>
        <v/>
      </c>
      <c r="R33" t="str">
        <f>O33&amp;Q33</f>
        <v>AAA</v>
      </c>
    </row>
    <row r="34" spans="1:18" x14ac:dyDescent="0.25">
      <c r="A34" s="7" t="s">
        <v>987</v>
      </c>
      <c r="B34" s="8">
        <v>1</v>
      </c>
      <c r="C34" s="11">
        <v>6.2155775398999025E-4</v>
      </c>
      <c r="D34" s="12">
        <v>0.70192517158089163</v>
      </c>
      <c r="E34" t="s">
        <v>1238</v>
      </c>
      <c r="F34" s="8">
        <v>110</v>
      </c>
      <c r="G34" s="11">
        <v>3.1449428906161011E-4</v>
      </c>
      <c r="H34" s="12">
        <v>0.96093576043731632</v>
      </c>
      <c r="I34" t="s">
        <v>1240</v>
      </c>
      <c r="J34" s="8">
        <v>5</v>
      </c>
      <c r="K34">
        <v>6</v>
      </c>
      <c r="L34" s="11">
        <v>6.2155775398998981E-4</v>
      </c>
      <c r="M34" s="12">
        <v>0.70192517158089152</v>
      </c>
      <c r="N34" t="s">
        <v>1238</v>
      </c>
      <c r="O34" t="s">
        <v>1254</v>
      </c>
      <c r="P34" s="23">
        <f>VLOOKUP(A34,вариация!A$2:G$805,2,FALSE)</f>
        <v>2.2360679774997894</v>
      </c>
      <c r="Q34" t="str">
        <f>IF(вариация!H35="Yes",IF(P37&lt;0.1,"X",IF(P37&lt;0.25,"Y","Z")),"")</f>
        <v/>
      </c>
      <c r="R34" t="str">
        <f>O34&amp;Q34</f>
        <v>ACA</v>
      </c>
    </row>
    <row r="35" spans="1:18" x14ac:dyDescent="0.25">
      <c r="A35" s="7" t="s">
        <v>621</v>
      </c>
      <c r="B35" s="8">
        <v>1</v>
      </c>
      <c r="C35" s="11">
        <v>6.2155775398999025E-4</v>
      </c>
      <c r="D35" s="12">
        <v>0.7025467293348816</v>
      </c>
      <c r="E35" t="s">
        <v>1238</v>
      </c>
      <c r="F35" s="8">
        <v>870</v>
      </c>
      <c r="G35" s="11">
        <v>2.487363922578189E-3</v>
      </c>
      <c r="H35" s="12">
        <v>0.45713476242818629</v>
      </c>
      <c r="I35" t="s">
        <v>1238</v>
      </c>
      <c r="J35" s="8">
        <v>5</v>
      </c>
      <c r="K35">
        <v>6</v>
      </c>
      <c r="L35" s="11">
        <v>6.2155775398998981E-4</v>
      </c>
      <c r="M35" s="12">
        <v>0.70254672933488149</v>
      </c>
      <c r="N35" t="s">
        <v>1238</v>
      </c>
      <c r="O35" t="s">
        <v>1252</v>
      </c>
      <c r="P35" s="23">
        <f>VLOOKUP(A35,вариация!A$2:G$805,2,FALSE)</f>
        <v>2.2360679774997894</v>
      </c>
      <c r="Q35" t="str">
        <f>IF(вариация!H36="Yes",IF(P38&lt;0.1,"X",IF(P38&lt;0.25,"Y","Z")),"")</f>
        <v/>
      </c>
      <c r="R35" t="str">
        <f>O35&amp;Q35</f>
        <v>AAA</v>
      </c>
    </row>
    <row r="36" spans="1:18" x14ac:dyDescent="0.25">
      <c r="A36" s="7" t="s">
        <v>913</v>
      </c>
      <c r="B36" s="8">
        <v>1</v>
      </c>
      <c r="C36" s="11">
        <v>6.2155775398999025E-4</v>
      </c>
      <c r="D36" s="12">
        <v>0.70316828708887158</v>
      </c>
      <c r="E36" t="s">
        <v>1238</v>
      </c>
      <c r="F36" s="8">
        <v>98</v>
      </c>
      <c r="G36" s="11">
        <v>2.8018582116397993E-4</v>
      </c>
      <c r="H36" s="12">
        <v>0.96924998877645852</v>
      </c>
      <c r="I36" t="s">
        <v>1240</v>
      </c>
      <c r="J36" s="8">
        <v>5</v>
      </c>
      <c r="K36">
        <v>6</v>
      </c>
      <c r="L36" s="11">
        <v>6.2155775398998981E-4</v>
      </c>
      <c r="M36" s="12">
        <v>0.70316828708887147</v>
      </c>
      <c r="N36" t="s">
        <v>1238</v>
      </c>
      <c r="O36" t="s">
        <v>1254</v>
      </c>
      <c r="P36" s="23">
        <f>VLOOKUP(A36,вариация!A$2:G$805,2,FALSE)</f>
        <v>2.2360679774997894</v>
      </c>
      <c r="Q36" t="str">
        <f>IF(вариация!H37="Yes",IF(P39&lt;0.1,"X",IF(P39&lt;0.25,"Y","Z")),"")</f>
        <v/>
      </c>
      <c r="R36" t="str">
        <f>O36&amp;Q36</f>
        <v>ACA</v>
      </c>
    </row>
    <row r="37" spans="1:18" x14ac:dyDescent="0.25">
      <c r="A37" s="7" t="s">
        <v>958</v>
      </c>
      <c r="B37" s="8">
        <v>1</v>
      </c>
      <c r="C37" s="11">
        <v>6.2155775398999025E-4</v>
      </c>
      <c r="D37" s="12">
        <v>0.70378984484286156</v>
      </c>
      <c r="E37" t="s">
        <v>1238</v>
      </c>
      <c r="F37" s="8">
        <v>36</v>
      </c>
      <c r="G37" s="11">
        <v>1.0292540369289058E-4</v>
      </c>
      <c r="H37" s="12">
        <v>0.99795344270912789</v>
      </c>
      <c r="I37" t="s">
        <v>1240</v>
      </c>
      <c r="J37" s="8">
        <v>5</v>
      </c>
      <c r="K37">
        <v>6</v>
      </c>
      <c r="L37" s="11">
        <v>6.2155775398998981E-4</v>
      </c>
      <c r="M37" s="12">
        <v>0.70378984484286145</v>
      </c>
      <c r="N37" t="s">
        <v>1238</v>
      </c>
      <c r="O37" t="s">
        <v>1254</v>
      </c>
      <c r="P37" s="23">
        <f>VLOOKUP(A37,вариация!A$2:G$805,2,FALSE)</f>
        <v>2.2360679774997894</v>
      </c>
      <c r="Q37" t="str">
        <f>IF(вариация!H38="Yes",IF(P40&lt;0.1,"X",IF(P40&lt;0.25,"Y","Z")),"")</f>
        <v/>
      </c>
      <c r="R37" t="str">
        <f>O37&amp;Q37</f>
        <v>ACA</v>
      </c>
    </row>
    <row r="38" spans="1:18" x14ac:dyDescent="0.25">
      <c r="A38" s="7" t="s">
        <v>887</v>
      </c>
      <c r="B38" s="8">
        <v>1</v>
      </c>
      <c r="C38" s="11">
        <v>6.2155775398999025E-4</v>
      </c>
      <c r="D38" s="12">
        <v>0.70441140259685153</v>
      </c>
      <c r="E38" t="s">
        <v>1238</v>
      </c>
      <c r="F38" s="8">
        <v>39</v>
      </c>
      <c r="G38" s="11">
        <v>1.1150252066729813E-4</v>
      </c>
      <c r="H38" s="12">
        <v>0.99720151545437141</v>
      </c>
      <c r="I38" t="s">
        <v>1240</v>
      </c>
      <c r="J38" s="8">
        <v>5</v>
      </c>
      <c r="K38">
        <v>6</v>
      </c>
      <c r="L38" s="11">
        <v>6.2155775398998981E-4</v>
      </c>
      <c r="M38" s="12">
        <v>0.70441140259685142</v>
      </c>
      <c r="N38" t="s">
        <v>1238</v>
      </c>
      <c r="O38" t="s">
        <v>1254</v>
      </c>
      <c r="P38" s="23">
        <f>VLOOKUP(A38,вариация!A$2:G$805,2,FALSE)</f>
        <v>2.2360679774997894</v>
      </c>
      <c r="Q38" t="str">
        <f>IF(вариация!H39="Yes",IF(P41&lt;0.1,"X",IF(P41&lt;0.25,"Y","Z")),"")</f>
        <v/>
      </c>
      <c r="R38" t="str">
        <f>O38&amp;Q38</f>
        <v>ACA</v>
      </c>
    </row>
    <row r="39" spans="1:18" x14ac:dyDescent="0.25">
      <c r="A39" s="7" t="s">
        <v>478</v>
      </c>
      <c r="B39" s="8">
        <v>1</v>
      </c>
      <c r="C39" s="11">
        <v>6.2155775398999025E-4</v>
      </c>
      <c r="D39" s="12">
        <v>0.70503296035084151</v>
      </c>
      <c r="E39" t="s">
        <v>1238</v>
      </c>
      <c r="F39" s="8">
        <v>378</v>
      </c>
      <c r="G39" s="11">
        <v>1.080716738775351E-3</v>
      </c>
      <c r="H39" s="12">
        <v>0.75364567170638863</v>
      </c>
      <c r="I39" t="s">
        <v>1238</v>
      </c>
      <c r="J39" s="8">
        <v>5</v>
      </c>
      <c r="K39">
        <v>6</v>
      </c>
      <c r="L39" s="11">
        <v>6.2155775398998981E-4</v>
      </c>
      <c r="M39" s="12">
        <v>0.7050329603508414</v>
      </c>
      <c r="N39" t="s">
        <v>1238</v>
      </c>
      <c r="O39" t="s">
        <v>1252</v>
      </c>
      <c r="P39" s="23">
        <f>VLOOKUP(A39,вариация!A$2:G$805,2,FALSE)</f>
        <v>2.2360679774997894</v>
      </c>
      <c r="Q39" t="str">
        <f>IF(вариация!H40="Yes",IF(P42&lt;0.1,"X",IF(P42&lt;0.25,"Y","Z")),"")</f>
        <v/>
      </c>
      <c r="R39" t="str">
        <f>O39&amp;Q39</f>
        <v>AAA</v>
      </c>
    </row>
    <row r="40" spans="1:18" x14ac:dyDescent="0.25">
      <c r="A40" s="7" t="s">
        <v>607</v>
      </c>
      <c r="B40" s="8">
        <v>1</v>
      </c>
      <c r="C40" s="11">
        <v>6.2155775398999025E-4</v>
      </c>
      <c r="D40" s="12">
        <v>0.70565451810483149</v>
      </c>
      <c r="E40" t="s">
        <v>1238</v>
      </c>
      <c r="F40" s="8">
        <v>593</v>
      </c>
      <c r="G40" s="11">
        <v>1.6954101219412254E-3</v>
      </c>
      <c r="H40" s="12">
        <v>0.58830668992411261</v>
      </c>
      <c r="I40" t="s">
        <v>1238</v>
      </c>
      <c r="J40" s="8">
        <v>5</v>
      </c>
      <c r="K40">
        <v>6</v>
      </c>
      <c r="L40" s="11">
        <v>6.2155775398998981E-4</v>
      </c>
      <c r="M40" s="12">
        <v>0.70565451810483137</v>
      </c>
      <c r="N40" t="s">
        <v>1238</v>
      </c>
      <c r="O40" t="s">
        <v>1252</v>
      </c>
      <c r="P40" s="23">
        <f>VLOOKUP(A40,вариация!A$2:G$805,2,FALSE)</f>
        <v>2.2360679774997894</v>
      </c>
      <c r="Q40" t="str">
        <f>IF(вариация!H41="Yes",IF(P43&lt;0.1,"X",IF(P43&lt;0.25,"Y","Z")),"")</f>
        <v/>
      </c>
      <c r="R40" t="str">
        <f>O40&amp;Q40</f>
        <v>AAA</v>
      </c>
    </row>
    <row r="41" spans="1:18" x14ac:dyDescent="0.25">
      <c r="A41" s="7" t="s">
        <v>473</v>
      </c>
      <c r="B41" s="8">
        <v>1</v>
      </c>
      <c r="C41" s="11">
        <v>6.2155775398999025E-4</v>
      </c>
      <c r="D41" s="12">
        <v>0.70627607585882146</v>
      </c>
      <c r="E41" t="s">
        <v>1238</v>
      </c>
      <c r="F41" s="8">
        <v>403</v>
      </c>
      <c r="G41" s="11">
        <v>1.1521927135620805E-3</v>
      </c>
      <c r="H41" s="12">
        <v>0.73137761766548237</v>
      </c>
      <c r="I41" t="s">
        <v>1238</v>
      </c>
      <c r="J41" s="8">
        <v>5</v>
      </c>
      <c r="K41">
        <v>6</v>
      </c>
      <c r="L41" s="11">
        <v>6.2155775398998981E-4</v>
      </c>
      <c r="M41" s="12">
        <v>0.70627607585882135</v>
      </c>
      <c r="N41" t="s">
        <v>1238</v>
      </c>
      <c r="O41" t="s">
        <v>1252</v>
      </c>
      <c r="P41" s="23">
        <f>VLOOKUP(A41,вариация!A$2:G$805,2,FALSE)</f>
        <v>2.2360679774997894</v>
      </c>
      <c r="Q41" t="str">
        <f>IF(вариация!H42="Yes",IF(P44&lt;0.1,"X",IF(P44&lt;0.25,"Y","Z")),"")</f>
        <v/>
      </c>
      <c r="R41" t="str">
        <f>O41&amp;Q41</f>
        <v>AAA</v>
      </c>
    </row>
    <row r="42" spans="1:18" x14ac:dyDescent="0.25">
      <c r="A42" s="7" t="s">
        <v>740</v>
      </c>
      <c r="B42" s="8">
        <v>1</v>
      </c>
      <c r="C42" s="11">
        <v>6.2155775398999025E-4</v>
      </c>
      <c r="D42" s="12">
        <v>0.70689763361281144</v>
      </c>
      <c r="E42" t="s">
        <v>1238</v>
      </c>
      <c r="F42" s="8">
        <v>61</v>
      </c>
      <c r="G42" s="11">
        <v>1.7440137847962015E-4</v>
      </c>
      <c r="H42" s="12">
        <v>0.99171240028800534</v>
      </c>
      <c r="I42" t="s">
        <v>1240</v>
      </c>
      <c r="J42" s="8">
        <v>5</v>
      </c>
      <c r="K42">
        <v>6</v>
      </c>
      <c r="L42" s="11">
        <v>6.2155775398998981E-4</v>
      </c>
      <c r="M42" s="12">
        <v>0.70689763361281133</v>
      </c>
      <c r="N42" t="s">
        <v>1238</v>
      </c>
      <c r="O42" t="s">
        <v>1254</v>
      </c>
      <c r="P42" s="23">
        <f>VLOOKUP(A42,вариация!A$2:G$805,2,FALSE)</f>
        <v>2.2360679774997894</v>
      </c>
      <c r="Q42" t="str">
        <f>IF(вариация!H43="Yes",IF(P45&lt;0.1,"X",IF(P45&lt;0.25,"Y","Z")),"")</f>
        <v/>
      </c>
      <c r="R42" t="str">
        <f>O42&amp;Q42</f>
        <v>ACA</v>
      </c>
    </row>
    <row r="43" spans="1:18" x14ac:dyDescent="0.25">
      <c r="A43" s="7" t="s">
        <v>444</v>
      </c>
      <c r="B43" s="8">
        <v>1</v>
      </c>
      <c r="C43" s="11">
        <v>6.2155775398999025E-4</v>
      </c>
      <c r="D43" s="12">
        <v>0.70751919136680141</v>
      </c>
      <c r="E43" t="s">
        <v>1238</v>
      </c>
      <c r="F43" s="8">
        <v>161</v>
      </c>
      <c r="G43" s="11">
        <v>4.603052776265384E-4</v>
      </c>
      <c r="H43" s="12">
        <v>0.92818552597081694</v>
      </c>
      <c r="I43" t="s">
        <v>1239</v>
      </c>
      <c r="J43" s="8">
        <v>5</v>
      </c>
      <c r="K43">
        <v>6</v>
      </c>
      <c r="L43" s="11">
        <v>6.2155775398998981E-4</v>
      </c>
      <c r="M43" s="12">
        <v>0.7075191913668013</v>
      </c>
      <c r="N43" t="s">
        <v>1238</v>
      </c>
      <c r="O43" t="s">
        <v>1253</v>
      </c>
      <c r="P43" s="23">
        <f>VLOOKUP(A43,вариация!A$2:G$805,2,FALSE)</f>
        <v>2.2360679774997894</v>
      </c>
      <c r="Q43" t="str">
        <f>IF(вариация!H44="Yes",IF(P46&lt;0.1,"X",IF(P46&lt;0.25,"Y","Z")),"")</f>
        <v/>
      </c>
      <c r="R43" t="str">
        <f>O43&amp;Q43</f>
        <v>ABA</v>
      </c>
    </row>
    <row r="44" spans="1:18" x14ac:dyDescent="0.25">
      <c r="A44" s="7" t="s">
        <v>1170</v>
      </c>
      <c r="B44" s="8">
        <v>1</v>
      </c>
      <c r="C44" s="11">
        <v>6.2155775398999025E-4</v>
      </c>
      <c r="D44" s="12">
        <v>0.70814074912079139</v>
      </c>
      <c r="E44" t="s">
        <v>1238</v>
      </c>
      <c r="F44" s="8">
        <v>119</v>
      </c>
      <c r="G44" s="11">
        <v>3.4022563998483275E-4</v>
      </c>
      <c r="H44" s="12">
        <v>0.95635586587688182</v>
      </c>
      <c r="I44" t="s">
        <v>1240</v>
      </c>
      <c r="J44" s="8">
        <v>5</v>
      </c>
      <c r="K44">
        <v>6</v>
      </c>
      <c r="L44" s="11">
        <v>6.2155775398998981E-4</v>
      </c>
      <c r="M44" s="12">
        <v>0.70814074912079128</v>
      </c>
      <c r="N44" t="s">
        <v>1238</v>
      </c>
      <c r="O44" t="s">
        <v>1254</v>
      </c>
      <c r="P44" s="23">
        <f>VLOOKUP(A44,вариация!A$2:G$805,2,FALSE)</f>
        <v>2.2360679774997894</v>
      </c>
      <c r="Q44" t="str">
        <f>IF(вариация!H45="Yes",IF(P47&lt;0.1,"X",IF(P47&lt;0.25,"Y","Z")),"")</f>
        <v/>
      </c>
      <c r="R44" t="str">
        <f>O44&amp;Q44</f>
        <v>ACA</v>
      </c>
    </row>
    <row r="45" spans="1:18" x14ac:dyDescent="0.25">
      <c r="A45" s="7" t="s">
        <v>730</v>
      </c>
      <c r="B45" s="8">
        <v>1</v>
      </c>
      <c r="C45" s="11">
        <v>6.2155775398999025E-4</v>
      </c>
      <c r="D45" s="12">
        <v>0.70876230687478137</v>
      </c>
      <c r="E45" t="s">
        <v>1238</v>
      </c>
      <c r="F45" s="8">
        <v>141</v>
      </c>
      <c r="G45" s="11">
        <v>4.0312449779715477E-4</v>
      </c>
      <c r="H45" s="12">
        <v>0.93902402842591692</v>
      </c>
      <c r="I45" t="s">
        <v>1239</v>
      </c>
      <c r="J45" s="8">
        <v>5</v>
      </c>
      <c r="K45">
        <v>6</v>
      </c>
      <c r="L45" s="11">
        <v>6.2155775398998981E-4</v>
      </c>
      <c r="M45" s="12">
        <v>0.70876230687478126</v>
      </c>
      <c r="N45" t="s">
        <v>1238</v>
      </c>
      <c r="O45" t="s">
        <v>1253</v>
      </c>
      <c r="P45" s="23">
        <f>VLOOKUP(A45,вариация!A$2:G$805,2,FALSE)</f>
        <v>2.2360679774997894</v>
      </c>
      <c r="Q45" t="str">
        <f>IF(вариация!H46="Yes",IF(P48&lt;0.1,"X",IF(P48&lt;0.25,"Y","Z")),"")</f>
        <v/>
      </c>
      <c r="R45" t="str">
        <f>O45&amp;Q45</f>
        <v>ABA</v>
      </c>
    </row>
    <row r="46" spans="1:18" x14ac:dyDescent="0.25">
      <c r="A46" s="7" t="s">
        <v>507</v>
      </c>
      <c r="B46" s="8">
        <v>1</v>
      </c>
      <c r="C46" s="11">
        <v>6.2155775398999025E-4</v>
      </c>
      <c r="D46" s="12">
        <v>0.70938386462877134</v>
      </c>
      <c r="E46" t="s">
        <v>1238</v>
      </c>
      <c r="F46" s="8">
        <v>23</v>
      </c>
      <c r="G46" s="11">
        <v>6.5757896803791195E-5</v>
      </c>
      <c r="H46" s="12">
        <v>0.99972518917214159</v>
      </c>
      <c r="I46" t="s">
        <v>1240</v>
      </c>
      <c r="J46" s="8">
        <v>5</v>
      </c>
      <c r="K46">
        <v>6</v>
      </c>
      <c r="L46" s="11">
        <v>6.2155775398998981E-4</v>
      </c>
      <c r="M46" s="12">
        <v>0.70938386462877123</v>
      </c>
      <c r="N46" t="s">
        <v>1238</v>
      </c>
      <c r="O46" t="s">
        <v>1254</v>
      </c>
      <c r="P46" s="23">
        <f>VLOOKUP(A46,вариация!A$2:G$805,2,FALSE)</f>
        <v>2.2360679774997894</v>
      </c>
      <c r="Q46" t="str">
        <f>IF(вариация!H47="Yes",IF(P49&lt;0.1,"X",IF(P49&lt;0.25,"Y","Z")),"")</f>
        <v/>
      </c>
      <c r="R46" t="str">
        <f>O46&amp;Q46</f>
        <v>ACA</v>
      </c>
    </row>
    <row r="47" spans="1:18" x14ac:dyDescent="0.25">
      <c r="A47" s="7" t="s">
        <v>599</v>
      </c>
      <c r="B47" s="8">
        <v>1</v>
      </c>
      <c r="C47" s="11">
        <v>6.2155775398999025E-4</v>
      </c>
      <c r="D47" s="12">
        <v>0.71000542238276132</v>
      </c>
      <c r="E47" t="s">
        <v>1238</v>
      </c>
      <c r="F47" s="8">
        <v>273</v>
      </c>
      <c r="G47" s="11">
        <v>7.8051764467108691E-4</v>
      </c>
      <c r="H47" s="12">
        <v>0.84650778529219861</v>
      </c>
      <c r="I47" t="s">
        <v>1239</v>
      </c>
      <c r="J47" s="8">
        <v>5</v>
      </c>
      <c r="K47">
        <v>6</v>
      </c>
      <c r="L47" s="11">
        <v>6.2155775398998981E-4</v>
      </c>
      <c r="M47" s="12">
        <v>0.71000542238276121</v>
      </c>
      <c r="N47" t="s">
        <v>1238</v>
      </c>
      <c r="O47" t="s">
        <v>1253</v>
      </c>
      <c r="P47" s="23">
        <f>VLOOKUP(A47,вариация!A$2:G$805,2,FALSE)</f>
        <v>2.2360679774997894</v>
      </c>
      <c r="Q47" t="str">
        <f>IF(вариация!H48="Yes",IF(P50&lt;0.1,"X",IF(P50&lt;0.25,"Y","Z")),"")</f>
        <v/>
      </c>
      <c r="R47" t="str">
        <f>O47&amp;Q47</f>
        <v>ABA</v>
      </c>
    </row>
    <row r="48" spans="1:18" x14ac:dyDescent="0.25">
      <c r="A48" s="7" t="s">
        <v>677</v>
      </c>
      <c r="B48" s="8">
        <v>1</v>
      </c>
      <c r="C48" s="11">
        <v>6.2155775398999025E-4</v>
      </c>
      <c r="D48" s="12">
        <v>0.7106269801367513</v>
      </c>
      <c r="E48" t="s">
        <v>1238</v>
      </c>
      <c r="F48" s="8">
        <v>102</v>
      </c>
      <c r="G48" s="11">
        <v>2.9162197712985662E-4</v>
      </c>
      <c r="H48" s="12">
        <v>0.96609360972987657</v>
      </c>
      <c r="I48" t="s">
        <v>1240</v>
      </c>
      <c r="J48" s="8">
        <v>5</v>
      </c>
      <c r="K48">
        <v>6</v>
      </c>
      <c r="L48" s="11">
        <v>6.2155775398998981E-4</v>
      </c>
      <c r="M48" s="12">
        <v>0.71062698013675119</v>
      </c>
      <c r="N48" t="s">
        <v>1238</v>
      </c>
      <c r="O48" t="s">
        <v>1254</v>
      </c>
      <c r="P48" s="23">
        <f>VLOOKUP(A48,вариация!A$2:G$805,2,FALSE)</f>
        <v>2.2360679774997894</v>
      </c>
      <c r="Q48" t="str">
        <f>IF(вариация!H49="Yes",IF(P51&lt;0.1,"X",IF(P51&lt;0.25,"Y","Z")),"")</f>
        <v/>
      </c>
      <c r="R48" t="str">
        <f>O48&amp;Q48</f>
        <v>ACA</v>
      </c>
    </row>
    <row r="49" spans="1:18" x14ac:dyDescent="0.25">
      <c r="A49" s="7" t="s">
        <v>610</v>
      </c>
      <c r="B49" s="8">
        <v>3</v>
      </c>
      <c r="C49" s="11">
        <v>1.8646732619699705E-3</v>
      </c>
      <c r="D49" s="12">
        <v>0.41582213741930302</v>
      </c>
      <c r="E49" t="s">
        <v>1238</v>
      </c>
      <c r="F49" s="8">
        <v>293</v>
      </c>
      <c r="G49" s="11">
        <v>8.3769842450047058E-4</v>
      </c>
      <c r="H49" s="12">
        <v>0.8273087380272689</v>
      </c>
      <c r="I49" t="s">
        <v>1239</v>
      </c>
      <c r="J49" s="8">
        <v>5</v>
      </c>
      <c r="K49">
        <v>18</v>
      </c>
      <c r="L49" s="11">
        <v>1.8646732619699697E-3</v>
      </c>
      <c r="M49" s="12">
        <v>0.41582213741930285</v>
      </c>
      <c r="N49" t="s">
        <v>1238</v>
      </c>
      <c r="O49" t="s">
        <v>1253</v>
      </c>
      <c r="P49" s="23">
        <f>VLOOKUP(A49,вариация!A$2:G$805,2,FALSE)</f>
        <v>1.4907119849998598</v>
      </c>
      <c r="Q49" t="str">
        <f>IF(вариация!H50="Yes",IF(P52&lt;0.1,"X",IF(P52&lt;0.25,"Y","Z")),"")</f>
        <v/>
      </c>
      <c r="R49" t="str">
        <f>O49&amp;Q49</f>
        <v>ABA</v>
      </c>
    </row>
    <row r="50" spans="1:18" x14ac:dyDescent="0.25">
      <c r="A50" s="7" t="s">
        <v>689</v>
      </c>
      <c r="B50" s="8">
        <v>2</v>
      </c>
      <c r="C50" s="11">
        <v>1.2431155079799805E-3</v>
      </c>
      <c r="D50" s="12">
        <v>0.52521630212154136</v>
      </c>
      <c r="E50" t="s">
        <v>1238</v>
      </c>
      <c r="F50" s="8">
        <v>323</v>
      </c>
      <c r="G50" s="11">
        <v>9.2346959424454604E-4</v>
      </c>
      <c r="H50" s="12">
        <v>0.80273015162540662</v>
      </c>
      <c r="I50" t="s">
        <v>1239</v>
      </c>
      <c r="J50" s="8">
        <v>5</v>
      </c>
      <c r="K50">
        <v>12</v>
      </c>
      <c r="L50" s="11">
        <v>1.2431155079799796E-3</v>
      </c>
      <c r="M50" s="12">
        <v>0.52521630212154125</v>
      </c>
      <c r="N50" t="s">
        <v>1238</v>
      </c>
      <c r="O50" t="s">
        <v>1253</v>
      </c>
      <c r="P50" s="23">
        <f>VLOOKUP(A50,вариация!A$2:G$805,2,FALSE)</f>
        <v>2.2360679774997894</v>
      </c>
      <c r="Q50" t="str">
        <f>IF(вариация!H51="Yes",IF(P53&lt;0.1,"X",IF(P53&lt;0.25,"Y","Z")),"")</f>
        <v/>
      </c>
      <c r="R50" t="str">
        <f>O50&amp;Q50</f>
        <v>ABA</v>
      </c>
    </row>
    <row r="51" spans="1:18" x14ac:dyDescent="0.25">
      <c r="A51" s="7" t="s">
        <v>941</v>
      </c>
      <c r="B51" s="8">
        <v>1</v>
      </c>
      <c r="C51" s="11">
        <v>6.2155775398999025E-4</v>
      </c>
      <c r="D51" s="12">
        <v>0.71124853789074127</v>
      </c>
      <c r="E51" t="s">
        <v>1238</v>
      </c>
      <c r="F51" s="8">
        <v>72.5</v>
      </c>
      <c r="G51" s="11">
        <v>2.0728032688151573E-4</v>
      </c>
      <c r="H51" s="12">
        <v>0.98677927146017486</v>
      </c>
      <c r="I51" t="s">
        <v>1240</v>
      </c>
      <c r="J51" s="8">
        <v>5</v>
      </c>
      <c r="K51">
        <v>6</v>
      </c>
      <c r="L51" s="11">
        <v>6.2155775398998981E-4</v>
      </c>
      <c r="M51" s="12">
        <v>0.71124853789074116</v>
      </c>
      <c r="N51" t="s">
        <v>1238</v>
      </c>
      <c r="O51" t="s">
        <v>1254</v>
      </c>
      <c r="P51" s="23">
        <f>VLOOKUP(A51,вариация!A$2:G$805,2,FALSE)</f>
        <v>2.2360679774997894</v>
      </c>
      <c r="Q51" t="str">
        <f>IF(вариация!H52="Yes",IF(P54&lt;0.1,"X",IF(P54&lt;0.25,"Y","Z")),"")</f>
        <v/>
      </c>
      <c r="R51" t="str">
        <f>O51&amp;Q51</f>
        <v>ACA</v>
      </c>
    </row>
    <row r="52" spans="1:18" x14ac:dyDescent="0.25">
      <c r="A52" s="7" t="s">
        <v>257</v>
      </c>
      <c r="B52" s="8">
        <v>3</v>
      </c>
      <c r="C52" s="11">
        <v>1.8646732619699705E-3</v>
      </c>
      <c r="D52" s="12">
        <v>0.417686810681273</v>
      </c>
      <c r="E52" t="s">
        <v>1238</v>
      </c>
      <c r="F52" s="8">
        <v>165</v>
      </c>
      <c r="G52" s="11">
        <v>4.7174143359241514E-4</v>
      </c>
      <c r="H52" s="12">
        <v>0.92633392654877178</v>
      </c>
      <c r="I52" t="s">
        <v>1239</v>
      </c>
      <c r="J52" s="8">
        <v>5</v>
      </c>
      <c r="K52">
        <v>18</v>
      </c>
      <c r="L52" s="11">
        <v>1.8646732619699697E-3</v>
      </c>
      <c r="M52" s="12">
        <v>0.41768681068127284</v>
      </c>
      <c r="N52" t="s">
        <v>1238</v>
      </c>
      <c r="O52" t="s">
        <v>1253</v>
      </c>
      <c r="P52" s="23">
        <f>VLOOKUP(A52,вариация!A$2:G$805,2,FALSE)</f>
        <v>2.2360679774997898</v>
      </c>
      <c r="Q52" t="str">
        <f>IF(вариация!H53="Yes",IF(P55&lt;0.1,"X",IF(P55&lt;0.25,"Y","Z")),"")</f>
        <v/>
      </c>
      <c r="R52" t="str">
        <f>O52&amp;Q52</f>
        <v>ABA</v>
      </c>
    </row>
    <row r="53" spans="1:18" x14ac:dyDescent="0.25">
      <c r="A53" s="7" t="s">
        <v>422</v>
      </c>
      <c r="B53" s="8">
        <v>1</v>
      </c>
      <c r="C53" s="11">
        <v>6.2155775398999025E-4</v>
      </c>
      <c r="D53" s="12">
        <v>0.71187009564473125</v>
      </c>
      <c r="E53" t="s">
        <v>1238</v>
      </c>
      <c r="F53" s="8">
        <v>102</v>
      </c>
      <c r="G53" s="11">
        <v>2.9162197712985662E-4</v>
      </c>
      <c r="H53" s="12">
        <v>0.96638523170700641</v>
      </c>
      <c r="I53" t="s">
        <v>1240</v>
      </c>
      <c r="J53" s="8">
        <v>5</v>
      </c>
      <c r="K53">
        <v>6</v>
      </c>
      <c r="L53" s="11">
        <v>6.2155775398998981E-4</v>
      </c>
      <c r="M53" s="12">
        <v>0.71187009564473114</v>
      </c>
      <c r="N53" t="s">
        <v>1238</v>
      </c>
      <c r="O53" t="s">
        <v>1254</v>
      </c>
      <c r="P53" s="23">
        <f>VLOOKUP(A53,вариация!A$2:G$805,2,FALSE)</f>
        <v>2.2360679774997894</v>
      </c>
      <c r="Q53" t="str">
        <f>IF(вариация!H54="Yes",IF(P56&lt;0.1,"X",IF(P56&lt;0.25,"Y","Z")),"")</f>
        <v/>
      </c>
      <c r="R53" t="str">
        <f>O53&amp;Q53</f>
        <v>ACA</v>
      </c>
    </row>
    <row r="54" spans="1:18" x14ac:dyDescent="0.25">
      <c r="A54" s="7" t="s">
        <v>372</v>
      </c>
      <c r="B54" s="8">
        <v>1</v>
      </c>
      <c r="C54" s="11">
        <v>6.2155775398999025E-4</v>
      </c>
      <c r="D54" s="12">
        <v>0.71249165339872123</v>
      </c>
      <c r="E54" t="s">
        <v>1238</v>
      </c>
      <c r="F54" s="8">
        <v>468</v>
      </c>
      <c r="G54" s="11">
        <v>1.3380302480075774E-3</v>
      </c>
      <c r="H54" s="12">
        <v>0.66739518407539344</v>
      </c>
      <c r="I54" t="s">
        <v>1238</v>
      </c>
      <c r="J54" s="8">
        <v>5</v>
      </c>
      <c r="K54">
        <v>6</v>
      </c>
      <c r="L54" s="11">
        <v>6.2155775398998981E-4</v>
      </c>
      <c r="M54" s="12">
        <v>0.71249165339872111</v>
      </c>
      <c r="N54" t="s">
        <v>1238</v>
      </c>
      <c r="O54" t="s">
        <v>1252</v>
      </c>
      <c r="P54" s="23">
        <f>VLOOKUP(A54,вариация!A$2:G$805,2,FALSE)</f>
        <v>2.2360679774997894</v>
      </c>
      <c r="Q54" t="str">
        <f>IF(вариация!H55="Yes",IF(P57&lt;0.1,"X",IF(P57&lt;0.25,"Y","Z")),"")</f>
        <v/>
      </c>
      <c r="R54" t="str">
        <f>O54&amp;Q54</f>
        <v>AAA</v>
      </c>
    </row>
    <row r="55" spans="1:18" x14ac:dyDescent="0.25">
      <c r="A55" s="7" t="s">
        <v>516</v>
      </c>
      <c r="B55" s="8">
        <v>1</v>
      </c>
      <c r="C55" s="11">
        <v>6.2155775398999025E-4</v>
      </c>
      <c r="D55" s="12">
        <v>0.7131132111527112</v>
      </c>
      <c r="E55" t="s">
        <v>1238</v>
      </c>
      <c r="F55" s="8">
        <v>139</v>
      </c>
      <c r="G55" s="11">
        <v>3.9740641981421637E-4</v>
      </c>
      <c r="H55" s="12">
        <v>0.94103393283691961</v>
      </c>
      <c r="I55" t="s">
        <v>1239</v>
      </c>
      <c r="J55" s="8">
        <v>5</v>
      </c>
      <c r="K55">
        <v>6</v>
      </c>
      <c r="L55" s="11">
        <v>6.2155775398998981E-4</v>
      </c>
      <c r="M55" s="12">
        <v>0.71311321115271109</v>
      </c>
      <c r="N55" t="s">
        <v>1238</v>
      </c>
      <c r="O55" t="s">
        <v>1253</v>
      </c>
      <c r="P55" s="23">
        <f>VLOOKUP(A55,вариация!A$2:G$805,2,FALSE)</f>
        <v>2.2360679774997894</v>
      </c>
      <c r="Q55" t="str">
        <f>IF(вариация!H56="Yes",IF(P58&lt;0.1,"X",IF(P58&lt;0.25,"Y","Z")),"")</f>
        <v/>
      </c>
      <c r="R55" t="str">
        <f>O55&amp;Q55</f>
        <v>ABA</v>
      </c>
    </row>
    <row r="56" spans="1:18" x14ac:dyDescent="0.25">
      <c r="A56" s="7" t="s">
        <v>459</v>
      </c>
      <c r="B56" s="8">
        <v>1</v>
      </c>
      <c r="C56" s="11">
        <v>6.2155775398999025E-4</v>
      </c>
      <c r="D56" s="12">
        <v>0.71373476890670118</v>
      </c>
      <c r="E56" t="s">
        <v>1238</v>
      </c>
      <c r="F56" s="8">
        <v>43</v>
      </c>
      <c r="G56" s="11">
        <v>1.2293867663317484E-4</v>
      </c>
      <c r="H56" s="12">
        <v>0.99637810650675029</v>
      </c>
      <c r="I56" t="s">
        <v>1240</v>
      </c>
      <c r="J56" s="8">
        <v>5</v>
      </c>
      <c r="K56">
        <v>6</v>
      </c>
      <c r="L56" s="11">
        <v>6.2155775398998981E-4</v>
      </c>
      <c r="M56" s="12">
        <v>0.71373476890670107</v>
      </c>
      <c r="N56" t="s">
        <v>1238</v>
      </c>
      <c r="O56" t="s">
        <v>1254</v>
      </c>
      <c r="P56" s="23">
        <f>VLOOKUP(A56,вариация!A$2:G$805,2,FALSE)</f>
        <v>2.2360679774997894</v>
      </c>
      <c r="Q56" t="str">
        <f>IF(вариация!H57="Yes",IF(P59&lt;0.1,"X",IF(P59&lt;0.25,"Y","Z")),"")</f>
        <v/>
      </c>
      <c r="R56" t="str">
        <f>O56&amp;Q56</f>
        <v>ACA</v>
      </c>
    </row>
    <row r="57" spans="1:18" x14ac:dyDescent="0.25">
      <c r="A57" s="7" t="s">
        <v>835</v>
      </c>
      <c r="B57" s="8">
        <v>1</v>
      </c>
      <c r="C57" s="11">
        <v>6.2155775398999025E-4</v>
      </c>
      <c r="D57" s="12">
        <v>0.71435632666069115</v>
      </c>
      <c r="E57" t="s">
        <v>1238</v>
      </c>
      <c r="F57" s="8">
        <v>118</v>
      </c>
      <c r="G57" s="11">
        <v>3.3736660099336355E-4</v>
      </c>
      <c r="H57" s="12">
        <v>0.95737339785394571</v>
      </c>
      <c r="I57" t="s">
        <v>1240</v>
      </c>
      <c r="J57" s="8">
        <v>5</v>
      </c>
      <c r="K57">
        <v>6</v>
      </c>
      <c r="L57" s="11">
        <v>6.2155775398998981E-4</v>
      </c>
      <c r="M57" s="12">
        <v>0.71435632666069104</v>
      </c>
      <c r="N57" t="s">
        <v>1238</v>
      </c>
      <c r="O57" t="s">
        <v>1254</v>
      </c>
      <c r="P57" s="23">
        <f>VLOOKUP(A57,вариация!A$2:G$805,2,FALSE)</f>
        <v>2.2360679774997894</v>
      </c>
      <c r="Q57" t="str">
        <f>IF(вариация!H58="Yes",IF(P60&lt;0.1,"X",IF(P60&lt;0.25,"Y","Z")),"")</f>
        <v/>
      </c>
      <c r="R57" t="str">
        <f>O57&amp;Q57</f>
        <v>ACA</v>
      </c>
    </row>
    <row r="58" spans="1:18" x14ac:dyDescent="0.25">
      <c r="A58" s="7" t="s">
        <v>548</v>
      </c>
      <c r="B58" s="8">
        <v>1</v>
      </c>
      <c r="C58" s="11">
        <v>6.2155775398999025E-4</v>
      </c>
      <c r="D58" s="12">
        <v>0.71497788441468113</v>
      </c>
      <c r="E58" t="s">
        <v>1238</v>
      </c>
      <c r="F58" s="8">
        <v>167</v>
      </c>
      <c r="G58" s="11">
        <v>4.7745951157535349E-4</v>
      </c>
      <c r="H58" s="12">
        <v>0.92443838369742781</v>
      </c>
      <c r="I58" t="s">
        <v>1239</v>
      </c>
      <c r="J58" s="8">
        <v>5</v>
      </c>
      <c r="K58">
        <v>6</v>
      </c>
      <c r="L58" s="11">
        <v>6.2155775398998981E-4</v>
      </c>
      <c r="M58" s="12">
        <v>0.71497788441468102</v>
      </c>
      <c r="N58" t="s">
        <v>1238</v>
      </c>
      <c r="O58" t="s">
        <v>1253</v>
      </c>
      <c r="P58" s="23">
        <f>VLOOKUP(A58,вариация!A$2:G$805,2,FALSE)</f>
        <v>2.2360679774997894</v>
      </c>
      <c r="Q58" t="str">
        <f>IF(вариация!H59="Yes",IF(P61&lt;0.1,"X",IF(P61&lt;0.25,"Y","Z")),"")</f>
        <v/>
      </c>
      <c r="R58" t="str">
        <f>O58&amp;Q58</f>
        <v>ABA</v>
      </c>
    </row>
    <row r="59" spans="1:18" x14ac:dyDescent="0.25">
      <c r="A59" s="7" t="s">
        <v>527</v>
      </c>
      <c r="B59" s="8">
        <v>1</v>
      </c>
      <c r="C59" s="11">
        <v>6.2155775398999025E-4</v>
      </c>
      <c r="D59" s="12">
        <v>0.71559944216867111</v>
      </c>
      <c r="E59" t="s">
        <v>1238</v>
      </c>
      <c r="F59" s="8">
        <v>448</v>
      </c>
      <c r="G59" s="11">
        <v>1.2808494681781938E-3</v>
      </c>
      <c r="H59" s="12">
        <v>0.69495346091416499</v>
      </c>
      <c r="I59" t="s">
        <v>1238</v>
      </c>
      <c r="J59" s="8">
        <v>5</v>
      </c>
      <c r="K59">
        <v>6</v>
      </c>
      <c r="L59" s="11">
        <v>6.2155775398998981E-4</v>
      </c>
      <c r="M59" s="12">
        <v>0.715599442168671</v>
      </c>
      <c r="N59" t="s">
        <v>1238</v>
      </c>
      <c r="O59" t="s">
        <v>1252</v>
      </c>
      <c r="P59" s="23">
        <f>VLOOKUP(A59,вариация!A$2:G$805,2,FALSE)</f>
        <v>2.2360679774997894</v>
      </c>
      <c r="Q59" t="str">
        <f>IF(вариация!H60="Yes",IF(P62&lt;0.1,"X",IF(P62&lt;0.25,"Y","Z")),"")</f>
        <v/>
      </c>
      <c r="R59" t="str">
        <f>O59&amp;Q59</f>
        <v>AAA</v>
      </c>
    </row>
    <row r="60" spans="1:18" x14ac:dyDescent="0.25">
      <c r="A60" s="7" t="s">
        <v>31</v>
      </c>
      <c r="B60" s="8">
        <v>4</v>
      </c>
      <c r="C60" s="11">
        <v>2.486231015959961E-3</v>
      </c>
      <c r="D60" s="12">
        <v>0.35988193956020387</v>
      </c>
      <c r="E60" t="s">
        <v>1238</v>
      </c>
      <c r="F60" s="8">
        <v>1999</v>
      </c>
      <c r="G60" s="11">
        <v>5.7152189439468966E-3</v>
      </c>
      <c r="H60" s="12">
        <v>0.18014576905253488</v>
      </c>
      <c r="I60" t="s">
        <v>1238</v>
      </c>
      <c r="J60" s="8">
        <v>5</v>
      </c>
      <c r="K60">
        <v>24</v>
      </c>
      <c r="L60" s="11">
        <v>2.4862310159599593E-3</v>
      </c>
      <c r="M60" s="12">
        <v>0.3598819395602037</v>
      </c>
      <c r="N60" t="s">
        <v>1238</v>
      </c>
      <c r="O60" t="s">
        <v>1252</v>
      </c>
      <c r="P60" s="23">
        <f>VLOOKUP(A60,вариация!A$2:G$805,2,FALSE)</f>
        <v>1.0458250331675945</v>
      </c>
      <c r="Q60" t="str">
        <f>IF(вариация!H61="Yes",IF(P63&lt;0.1,"X",IF(P63&lt;0.25,"Y","Z")),"")</f>
        <v>Z</v>
      </c>
      <c r="R60" t="str">
        <f>O60&amp;Q60</f>
        <v>AAAZ</v>
      </c>
    </row>
    <row r="61" spans="1:18" x14ac:dyDescent="0.25">
      <c r="A61" s="7" t="s">
        <v>170</v>
      </c>
      <c r="B61" s="8">
        <v>1</v>
      </c>
      <c r="C61" s="11">
        <v>6.2155775398999025E-4</v>
      </c>
      <c r="D61" s="12">
        <v>0.71622099992266108</v>
      </c>
      <c r="E61" t="s">
        <v>1238</v>
      </c>
      <c r="F61" s="8">
        <v>1607</v>
      </c>
      <c r="G61" s="11">
        <v>4.5944756592909766E-3</v>
      </c>
      <c r="H61" s="12">
        <v>0.24016271556145594</v>
      </c>
      <c r="I61" t="s">
        <v>1238</v>
      </c>
      <c r="J61" s="8">
        <v>5</v>
      </c>
      <c r="K61">
        <v>6</v>
      </c>
      <c r="L61" s="11">
        <v>6.2155775398998981E-4</v>
      </c>
      <c r="M61" s="12">
        <v>0.71622099992266097</v>
      </c>
      <c r="N61" t="s">
        <v>1238</v>
      </c>
      <c r="O61" t="s">
        <v>1252</v>
      </c>
      <c r="P61" s="23">
        <f>VLOOKUP(A61,вариация!A$2:G$805,2,FALSE)</f>
        <v>2.2360679774997894</v>
      </c>
      <c r="Q61" t="str">
        <f>IF(вариация!H62="Yes",IF(P64&lt;0.1,"X",IF(P64&lt;0.25,"Y","Z")),"")</f>
        <v/>
      </c>
      <c r="R61" t="str">
        <f>O61&amp;Q61</f>
        <v>AAA</v>
      </c>
    </row>
    <row r="62" spans="1:18" x14ac:dyDescent="0.25">
      <c r="A62" s="7" t="s">
        <v>770</v>
      </c>
      <c r="B62" s="8">
        <v>1</v>
      </c>
      <c r="C62" s="11">
        <v>6.2155775398999025E-4</v>
      </c>
      <c r="D62" s="12">
        <v>0.71684255767665106</v>
      </c>
      <c r="E62" t="s">
        <v>1238</v>
      </c>
      <c r="F62" s="8">
        <v>1628</v>
      </c>
      <c r="G62" s="11">
        <v>4.6545154781118293E-3</v>
      </c>
      <c r="H62" s="12">
        <v>0.23092230154102755</v>
      </c>
      <c r="I62" t="s">
        <v>1238</v>
      </c>
      <c r="J62" s="8">
        <v>5</v>
      </c>
      <c r="K62">
        <v>6</v>
      </c>
      <c r="L62" s="11">
        <v>6.2155775398998981E-4</v>
      </c>
      <c r="M62" s="12">
        <v>0.71684255767665095</v>
      </c>
      <c r="N62" t="s">
        <v>1238</v>
      </c>
      <c r="O62" t="s">
        <v>1252</v>
      </c>
      <c r="P62" s="23">
        <f>VLOOKUP(A62,вариация!A$2:G$805,2,FALSE)</f>
        <v>2.2360679774997894</v>
      </c>
      <c r="Q62" t="str">
        <f>IF(вариация!H63="Yes",IF(P65&lt;0.1,"X",IF(P65&lt;0.25,"Y","Z")),"")</f>
        <v/>
      </c>
      <c r="R62" t="str">
        <f>O62&amp;Q62</f>
        <v>AAA</v>
      </c>
    </row>
    <row r="63" spans="1:18" x14ac:dyDescent="0.25">
      <c r="A63" s="7" t="s">
        <v>287</v>
      </c>
      <c r="B63" s="8">
        <v>1</v>
      </c>
      <c r="C63" s="11">
        <v>6.2155775398999025E-4</v>
      </c>
      <c r="D63" s="12">
        <v>0.71746411543064104</v>
      </c>
      <c r="E63" t="s">
        <v>1238</v>
      </c>
      <c r="F63" s="8">
        <v>276</v>
      </c>
      <c r="G63" s="11">
        <v>7.8909476164549445E-4</v>
      </c>
      <c r="H63" s="12">
        <v>0.84101271231156893</v>
      </c>
      <c r="I63" t="s">
        <v>1239</v>
      </c>
      <c r="J63" s="8">
        <v>5</v>
      </c>
      <c r="K63">
        <v>6</v>
      </c>
      <c r="L63" s="11">
        <v>6.2155775398998981E-4</v>
      </c>
      <c r="M63" s="12">
        <v>0.71746411543064093</v>
      </c>
      <c r="N63" t="s">
        <v>1238</v>
      </c>
      <c r="O63" t="s">
        <v>1253</v>
      </c>
      <c r="P63" s="23">
        <f>VLOOKUP(A63,вариация!A$2:G$805,2,FALSE)</f>
        <v>2.2360679774997894</v>
      </c>
      <c r="Q63" t="str">
        <f>IF(вариация!H64="Yes",IF(P66&lt;0.1,"X",IF(P66&lt;0.25,"Y","Z")),"")</f>
        <v/>
      </c>
      <c r="R63" t="str">
        <f>O63&amp;Q63</f>
        <v>ABA</v>
      </c>
    </row>
    <row r="64" spans="1:18" x14ac:dyDescent="0.25">
      <c r="A64" s="7" t="s">
        <v>119</v>
      </c>
      <c r="B64" s="8">
        <v>8</v>
      </c>
      <c r="C64" s="11">
        <v>4.972462031919922E-3</v>
      </c>
      <c r="D64" s="12">
        <v>0.24365063956407607</v>
      </c>
      <c r="E64" t="s">
        <v>1238</v>
      </c>
      <c r="F64" s="8">
        <v>449</v>
      </c>
      <c r="G64" s="11">
        <v>1.283708507169663E-3</v>
      </c>
      <c r="H64" s="12">
        <v>0.69238890293881716</v>
      </c>
      <c r="I64" t="s">
        <v>1238</v>
      </c>
      <c r="J64" s="8">
        <v>5</v>
      </c>
      <c r="K64">
        <v>48</v>
      </c>
      <c r="L64" s="11">
        <v>4.9724620319199185E-3</v>
      </c>
      <c r="M64" s="12">
        <v>0.24365063956407593</v>
      </c>
      <c r="N64" t="s">
        <v>1238</v>
      </c>
      <c r="O64" t="s">
        <v>1252</v>
      </c>
      <c r="P64" s="23">
        <f>VLOOKUP(A64,вариация!A$2:G$805,2,FALSE)</f>
        <v>1.2960275845829823</v>
      </c>
      <c r="Q64" t="str">
        <f>IF(вариация!H65="Yes",IF(P67&lt;0.1,"X",IF(P67&lt;0.25,"Y","Z")),"")</f>
        <v>Z</v>
      </c>
      <c r="R64" t="str">
        <f>O64&amp;Q64</f>
        <v>AAAZ</v>
      </c>
    </row>
    <row r="65" spans="1:18" x14ac:dyDescent="0.25">
      <c r="A65" s="7" t="s">
        <v>358</v>
      </c>
      <c r="B65" s="8">
        <v>6</v>
      </c>
      <c r="C65" s="11">
        <v>3.729346523939941E-3</v>
      </c>
      <c r="D65" s="12">
        <v>0.2834303358194355</v>
      </c>
      <c r="E65" t="s">
        <v>1238</v>
      </c>
      <c r="F65" s="8">
        <v>96</v>
      </c>
      <c r="G65" s="11">
        <v>2.7446774318104153E-4</v>
      </c>
      <c r="H65" s="12">
        <v>0.97119985336864045</v>
      </c>
      <c r="I65" t="s">
        <v>1240</v>
      </c>
      <c r="J65" s="8">
        <v>5</v>
      </c>
      <c r="K65">
        <v>36</v>
      </c>
      <c r="L65" s="11">
        <v>3.7293465239399393E-3</v>
      </c>
      <c r="M65" s="12">
        <v>0.28343033581943533</v>
      </c>
      <c r="N65" t="s">
        <v>1238</v>
      </c>
      <c r="O65" t="s">
        <v>1254</v>
      </c>
      <c r="P65" s="23">
        <f>VLOOKUP(A65,вариация!A$2:G$805,2,FALSE)</f>
        <v>0.37267799624996489</v>
      </c>
      <c r="Q65" t="str">
        <f>IF(вариация!H66="Yes",IF(P68&lt;0.1,"X",IF(P68&lt;0.25,"Y","Z")),"")</f>
        <v>Z</v>
      </c>
      <c r="R65" t="str">
        <f>O65&amp;Q65</f>
        <v>ACAZ</v>
      </c>
    </row>
    <row r="66" spans="1:18" x14ac:dyDescent="0.25">
      <c r="A66" s="7" t="s">
        <v>986</v>
      </c>
      <c r="B66" s="8">
        <v>4</v>
      </c>
      <c r="C66" s="11">
        <v>2.486231015959961E-3</v>
      </c>
      <c r="D66" s="12">
        <v>0.36236817057616383</v>
      </c>
      <c r="E66" t="s">
        <v>1238</v>
      </c>
      <c r="F66" s="8">
        <v>62.01</v>
      </c>
      <c r="G66" s="11">
        <v>1.7728900786100402E-4</v>
      </c>
      <c r="H66" s="12">
        <v>0.99100907669610394</v>
      </c>
      <c r="I66" t="s">
        <v>1240</v>
      </c>
      <c r="J66" s="8">
        <v>5</v>
      </c>
      <c r="K66">
        <v>24</v>
      </c>
      <c r="L66" s="11">
        <v>2.4862310159599593E-3</v>
      </c>
      <c r="M66" s="12">
        <v>0.36236817057616366</v>
      </c>
      <c r="N66" t="s">
        <v>1238</v>
      </c>
      <c r="O66" t="s">
        <v>1254</v>
      </c>
      <c r="P66" s="23">
        <f>VLOOKUP(A66,вариация!A$2:G$805,2,FALSE)</f>
        <v>1.6298006013006621</v>
      </c>
      <c r="Q66" t="str">
        <f>IF(вариация!H67="Yes",IF(P69&lt;0.1,"X",IF(P69&lt;0.25,"Y","Z")),"")</f>
        <v/>
      </c>
      <c r="R66" t="str">
        <f>O66&amp;Q66</f>
        <v>ACA</v>
      </c>
    </row>
    <row r="67" spans="1:18" x14ac:dyDescent="0.25">
      <c r="A67" s="7" t="s">
        <v>310</v>
      </c>
      <c r="B67" s="8">
        <v>2</v>
      </c>
      <c r="C67" s="11">
        <v>1.2431155079799805E-3</v>
      </c>
      <c r="D67" s="12">
        <v>0.52645941762952131</v>
      </c>
      <c r="E67" t="s">
        <v>1238</v>
      </c>
      <c r="F67" s="8">
        <v>96</v>
      </c>
      <c r="G67" s="11">
        <v>2.7446774318104153E-4</v>
      </c>
      <c r="H67" s="12">
        <v>0.97147432111182153</v>
      </c>
      <c r="I67" t="s">
        <v>1240</v>
      </c>
      <c r="J67" s="8">
        <v>5</v>
      </c>
      <c r="K67">
        <v>12</v>
      </c>
      <c r="L67" s="11">
        <v>1.2431155079799796E-3</v>
      </c>
      <c r="M67" s="12">
        <v>0.5264594176295212</v>
      </c>
      <c r="N67" t="s">
        <v>1238</v>
      </c>
      <c r="O67" t="s">
        <v>1254</v>
      </c>
      <c r="P67" s="23">
        <f>VLOOKUP(A67,вариация!A$2:G$805,2,FALSE)</f>
        <v>2.2360679774997894</v>
      </c>
      <c r="Q67" t="str">
        <f>IF(вариация!H68="Yes",IF(P70&lt;0.1,"X",IF(P70&lt;0.25,"Y","Z")),"")</f>
        <v/>
      </c>
      <c r="R67" t="str">
        <f>O67&amp;Q67</f>
        <v>ACA</v>
      </c>
    </row>
    <row r="68" spans="1:18" x14ac:dyDescent="0.25">
      <c r="A68" s="7" t="s">
        <v>1150</v>
      </c>
      <c r="B68" s="8">
        <v>1</v>
      </c>
      <c r="C68" s="11">
        <v>6.2155775398999025E-4</v>
      </c>
      <c r="D68" s="12">
        <v>0.71808567318463101</v>
      </c>
      <c r="E68" t="s">
        <v>1238</v>
      </c>
      <c r="F68" s="8">
        <v>101</v>
      </c>
      <c r="G68" s="11">
        <v>2.8876293813838747E-4</v>
      </c>
      <c r="H68" s="12">
        <v>0.96696561662227465</v>
      </c>
      <c r="I68" t="s">
        <v>1240</v>
      </c>
      <c r="J68" s="8">
        <v>5</v>
      </c>
      <c r="K68">
        <v>6</v>
      </c>
      <c r="L68" s="11">
        <v>6.2155775398998981E-4</v>
      </c>
      <c r="M68" s="12">
        <v>0.7180856731846309</v>
      </c>
      <c r="N68" t="s">
        <v>1238</v>
      </c>
      <c r="O68" t="s">
        <v>1254</v>
      </c>
      <c r="P68" s="23">
        <f>VLOOKUP(A68,вариация!A$2:G$805,2,FALSE)</f>
        <v>2.2360679774997894</v>
      </c>
      <c r="Q68" t="str">
        <f>IF(вариация!H69="Yes",IF(P71&lt;0.1,"X",IF(P71&lt;0.25,"Y","Z")),"")</f>
        <v/>
      </c>
      <c r="R68" t="str">
        <f>O68&amp;Q68</f>
        <v>ACA</v>
      </c>
    </row>
    <row r="69" spans="1:18" x14ac:dyDescent="0.25">
      <c r="A69" s="7" t="s">
        <v>834</v>
      </c>
      <c r="B69" s="8">
        <v>4</v>
      </c>
      <c r="C69" s="11">
        <v>2.486231015959961E-3</v>
      </c>
      <c r="D69" s="12">
        <v>0.36485440159212379</v>
      </c>
      <c r="E69" t="s">
        <v>1238</v>
      </c>
      <c r="F69" s="8">
        <v>41</v>
      </c>
      <c r="G69" s="11">
        <v>1.1722059865023649E-4</v>
      </c>
      <c r="H69" s="12">
        <v>0.99686128409630859</v>
      </c>
      <c r="I69" t="s">
        <v>1240</v>
      </c>
      <c r="J69" s="8">
        <v>5</v>
      </c>
      <c r="K69">
        <v>24</v>
      </c>
      <c r="L69" s="11">
        <v>2.4862310159599593E-3</v>
      </c>
      <c r="M69" s="12">
        <v>0.36485440159212362</v>
      </c>
      <c r="N69" t="s">
        <v>1238</v>
      </c>
      <c r="O69" t="s">
        <v>1254</v>
      </c>
      <c r="P69" s="23">
        <f>VLOOKUP(A69,вариация!A$2:G$805,2,FALSE)</f>
        <v>1.0458250331675945</v>
      </c>
      <c r="Q69" t="str">
        <f>IF(вариация!H70="Yes",IF(P72&lt;0.1,"X",IF(P72&lt;0.25,"Y","Z")),"")</f>
        <v>Z</v>
      </c>
      <c r="R69" t="str">
        <f>O69&amp;Q69</f>
        <v>ACAZ</v>
      </c>
    </row>
    <row r="70" spans="1:18" x14ac:dyDescent="0.25">
      <c r="A70" s="7" t="s">
        <v>508</v>
      </c>
      <c r="B70" s="8">
        <v>3</v>
      </c>
      <c r="C70" s="11">
        <v>1.8646732619699705E-3</v>
      </c>
      <c r="D70" s="12">
        <v>0.41955148394324299</v>
      </c>
      <c r="E70" t="s">
        <v>1238</v>
      </c>
      <c r="F70" s="8">
        <v>33</v>
      </c>
      <c r="G70" s="11">
        <v>9.4348286718483034E-5</v>
      </c>
      <c r="H70" s="12">
        <v>0.99845091549364362</v>
      </c>
      <c r="I70" t="s">
        <v>1240</v>
      </c>
      <c r="J70" s="8">
        <v>5</v>
      </c>
      <c r="K70">
        <v>18</v>
      </c>
      <c r="L70" s="11">
        <v>1.8646732619699697E-3</v>
      </c>
      <c r="M70" s="12">
        <v>0.41955148394324282</v>
      </c>
      <c r="N70" t="s">
        <v>1238</v>
      </c>
      <c r="O70" t="s">
        <v>1254</v>
      </c>
      <c r="P70" s="23">
        <f>VLOOKUP(A70,вариация!A$2:G$805,2,FALSE)</f>
        <v>0.91287092917527679</v>
      </c>
      <c r="Q70" t="str">
        <f>IF(вариация!H71="Yes",IF(P73&lt;0.1,"X",IF(P73&lt;0.25,"Y","Z")),"")</f>
        <v>Z</v>
      </c>
      <c r="R70" t="str">
        <f>O70&amp;Q70</f>
        <v>ACAZ</v>
      </c>
    </row>
    <row r="71" spans="1:18" x14ac:dyDescent="0.25">
      <c r="A71" s="7" t="s">
        <v>918</v>
      </c>
      <c r="B71" s="8">
        <v>1</v>
      </c>
      <c r="C71" s="11">
        <v>6.2155775398999025E-4</v>
      </c>
      <c r="D71" s="12">
        <v>0.71870723093862099</v>
      </c>
      <c r="E71" t="s">
        <v>1238</v>
      </c>
      <c r="F71" s="8">
        <v>36</v>
      </c>
      <c r="G71" s="11">
        <v>1.0292540369289058E-4</v>
      </c>
      <c r="H71" s="12">
        <v>0.99805636811282084</v>
      </c>
      <c r="I71" t="s">
        <v>1240</v>
      </c>
      <c r="J71" s="8">
        <v>5</v>
      </c>
      <c r="K71">
        <v>6</v>
      </c>
      <c r="L71" s="11">
        <v>6.2155775398998981E-4</v>
      </c>
      <c r="M71" s="12">
        <v>0.71870723093862088</v>
      </c>
      <c r="N71" t="s">
        <v>1238</v>
      </c>
      <c r="O71" t="s">
        <v>1254</v>
      </c>
      <c r="P71" s="23">
        <f>VLOOKUP(A71,вариация!A$2:G$805,2,FALSE)</f>
        <v>2.2360679774997894</v>
      </c>
      <c r="Q71" t="str">
        <f>IF(вариация!H72="Yes",IF(P74&lt;0.1,"X",IF(P74&lt;0.25,"Y","Z")),"")</f>
        <v/>
      </c>
      <c r="R71" t="str">
        <f>O71&amp;Q71</f>
        <v>ACA</v>
      </c>
    </row>
    <row r="72" spans="1:18" x14ac:dyDescent="0.25">
      <c r="A72" s="7" t="s">
        <v>262</v>
      </c>
      <c r="B72" s="8">
        <v>6</v>
      </c>
      <c r="C72" s="11">
        <v>3.729346523939941E-3</v>
      </c>
      <c r="D72" s="12">
        <v>0.28715968234337541</v>
      </c>
      <c r="E72" t="s">
        <v>1238</v>
      </c>
      <c r="F72" s="8">
        <v>321</v>
      </c>
      <c r="G72" s="11">
        <v>9.1775151626160764E-4</v>
      </c>
      <c r="H72" s="12">
        <v>0.80641259384641883</v>
      </c>
      <c r="I72" t="s">
        <v>1239</v>
      </c>
      <c r="J72" s="8">
        <v>5</v>
      </c>
      <c r="K72">
        <v>36</v>
      </c>
      <c r="L72" s="11">
        <v>3.7293465239399393E-3</v>
      </c>
      <c r="M72" s="12">
        <v>0.28715968234337524</v>
      </c>
      <c r="N72" t="s">
        <v>1238</v>
      </c>
      <c r="O72" t="s">
        <v>1253</v>
      </c>
      <c r="P72" s="23">
        <f>VLOOKUP(A72,вариация!A$2:G$805,2,FALSE)</f>
        <v>1.0865337342004415</v>
      </c>
      <c r="Q72" t="str">
        <f>IF(вариация!H73="Yes",IF(P75&lt;0.1,"X",IF(P75&lt;0.25,"Y","Z")),"")</f>
        <v>Z</v>
      </c>
      <c r="R72" t="str">
        <f>O72&amp;Q72</f>
        <v>ABAZ</v>
      </c>
    </row>
    <row r="73" spans="1:18" x14ac:dyDescent="0.25">
      <c r="A73" s="7" t="s">
        <v>185</v>
      </c>
      <c r="B73" s="8">
        <v>2</v>
      </c>
      <c r="C73" s="11">
        <v>1.2431155079799805E-3</v>
      </c>
      <c r="D73" s="12">
        <v>0.52770253313750126</v>
      </c>
      <c r="E73" t="s">
        <v>1238</v>
      </c>
      <c r="F73" s="8">
        <v>166</v>
      </c>
      <c r="G73" s="11">
        <v>4.7460047258388434E-4</v>
      </c>
      <c r="H73" s="12">
        <v>0.92491298417001166</v>
      </c>
      <c r="I73" t="s">
        <v>1239</v>
      </c>
      <c r="J73" s="8">
        <v>5</v>
      </c>
      <c r="K73">
        <v>12</v>
      </c>
      <c r="L73" s="11">
        <v>1.2431155079799796E-3</v>
      </c>
      <c r="M73" s="12">
        <v>0.52770253313750115</v>
      </c>
      <c r="N73" t="s">
        <v>1238</v>
      </c>
      <c r="O73" t="s">
        <v>1253</v>
      </c>
      <c r="P73" s="23">
        <f>VLOOKUP(A73,вариация!A$2:G$805,2,FALSE)</f>
        <v>1.3693063937629151</v>
      </c>
      <c r="Q73" t="str">
        <f>IF(вариация!H74="Yes",IF(P76&lt;0.1,"X",IF(P76&lt;0.25,"Y","Z")),"")</f>
        <v/>
      </c>
      <c r="R73" t="str">
        <f>O73&amp;Q73</f>
        <v>ABA</v>
      </c>
    </row>
    <row r="74" spans="1:18" x14ac:dyDescent="0.25">
      <c r="A74" s="7" t="s">
        <v>1108</v>
      </c>
      <c r="B74" s="8">
        <v>1</v>
      </c>
      <c r="C74" s="11">
        <v>6.2155775398999025E-4</v>
      </c>
      <c r="D74" s="12">
        <v>0.71932878869261097</v>
      </c>
      <c r="E74" t="s">
        <v>1238</v>
      </c>
      <c r="F74" s="8">
        <v>122</v>
      </c>
      <c r="G74" s="11">
        <v>3.488027569592403E-4</v>
      </c>
      <c r="H74" s="12">
        <v>0.95323665433718885</v>
      </c>
      <c r="I74" t="s">
        <v>1240</v>
      </c>
      <c r="J74" s="8">
        <v>5</v>
      </c>
      <c r="K74">
        <v>6</v>
      </c>
      <c r="L74" s="11">
        <v>6.2155775398998981E-4</v>
      </c>
      <c r="M74" s="12">
        <v>0.71932878869261085</v>
      </c>
      <c r="N74" t="s">
        <v>1238</v>
      </c>
      <c r="O74" t="s">
        <v>1254</v>
      </c>
      <c r="P74" s="23">
        <f>VLOOKUP(A74,вариация!A$2:G$805,2,FALSE)</f>
        <v>2.2360679774997894</v>
      </c>
      <c r="Q74" t="str">
        <f>IF(вариация!H75="Yes",IF(P77&lt;0.1,"X",IF(P77&lt;0.25,"Y","Z")),"")</f>
        <v/>
      </c>
      <c r="R74" t="str">
        <f>O74&amp;Q74</f>
        <v>ACA</v>
      </c>
    </row>
    <row r="75" spans="1:18" x14ac:dyDescent="0.25">
      <c r="A75" s="7" t="s">
        <v>480</v>
      </c>
      <c r="B75" s="8">
        <v>2</v>
      </c>
      <c r="C75" s="11">
        <v>1.2431155079799805E-3</v>
      </c>
      <c r="D75" s="12">
        <v>0.52894564864548121</v>
      </c>
      <c r="E75" t="s">
        <v>1238</v>
      </c>
      <c r="F75" s="8">
        <v>78</v>
      </c>
      <c r="G75" s="11">
        <v>2.2300504133459625E-4</v>
      </c>
      <c r="H75" s="12">
        <v>0.98223225584814222</v>
      </c>
      <c r="I75" t="s">
        <v>1240</v>
      </c>
      <c r="J75" s="8">
        <v>5</v>
      </c>
      <c r="K75">
        <v>12</v>
      </c>
      <c r="L75" s="11">
        <v>1.2431155079799796E-3</v>
      </c>
      <c r="M75" s="12">
        <v>0.5289456486454811</v>
      </c>
      <c r="N75" t="s">
        <v>1238</v>
      </c>
      <c r="O75" t="s">
        <v>1254</v>
      </c>
      <c r="P75" s="23">
        <f>VLOOKUP(A75,вариация!A$2:G$805,2,FALSE)</f>
        <v>2.2360679774997894</v>
      </c>
      <c r="Q75" t="str">
        <f>IF(вариация!H76="Yes",IF(P78&lt;0.1,"X",IF(P78&lt;0.25,"Y","Z")),"")</f>
        <v/>
      </c>
      <c r="R75" t="str">
        <f>O75&amp;Q75</f>
        <v>ACA</v>
      </c>
    </row>
    <row r="76" spans="1:18" x14ac:dyDescent="0.25">
      <c r="A76" s="7" t="s">
        <v>460</v>
      </c>
      <c r="B76" s="8">
        <v>2</v>
      </c>
      <c r="C76" s="11">
        <v>1.2431155079799805E-3</v>
      </c>
      <c r="D76" s="12">
        <v>0.53018876415346117</v>
      </c>
      <c r="E76" t="s">
        <v>1238</v>
      </c>
      <c r="F76" s="8">
        <v>79</v>
      </c>
      <c r="G76" s="11">
        <v>2.2586408032606542E-4</v>
      </c>
      <c r="H76" s="12">
        <v>0.98133165856582938</v>
      </c>
      <c r="I76" t="s">
        <v>1240</v>
      </c>
      <c r="J76" s="8">
        <v>5</v>
      </c>
      <c r="K76">
        <v>12</v>
      </c>
      <c r="L76" s="11">
        <v>1.2431155079799796E-3</v>
      </c>
      <c r="M76" s="12">
        <v>0.53018876415346106</v>
      </c>
      <c r="N76" t="s">
        <v>1238</v>
      </c>
      <c r="O76" t="s">
        <v>1254</v>
      </c>
      <c r="P76" s="23">
        <f>VLOOKUP(A76,вариация!A$2:G$805,2,FALSE)</f>
        <v>1.3693063937629151</v>
      </c>
      <c r="Q76" t="str">
        <f>IF(вариация!H77="Yes",IF(P79&lt;0.1,"X",IF(P79&lt;0.25,"Y","Z")),"")</f>
        <v/>
      </c>
      <c r="R76" t="str">
        <f>O76&amp;Q76</f>
        <v>ACA</v>
      </c>
    </row>
    <row r="77" spans="1:18" x14ac:dyDescent="0.25">
      <c r="A77" s="7" t="s">
        <v>837</v>
      </c>
      <c r="B77" s="8">
        <v>1</v>
      </c>
      <c r="C77" s="11">
        <v>6.2155775398999025E-4</v>
      </c>
      <c r="D77" s="12">
        <v>0.71995034644660094</v>
      </c>
      <c r="E77" t="s">
        <v>1238</v>
      </c>
      <c r="F77" s="8">
        <v>466</v>
      </c>
      <c r="G77" s="11">
        <v>1.3323121700246391E-3</v>
      </c>
      <c r="H77" s="12">
        <v>0.67140069770244182</v>
      </c>
      <c r="I77" t="s">
        <v>1238</v>
      </c>
      <c r="J77" s="8">
        <v>5</v>
      </c>
      <c r="K77">
        <v>6</v>
      </c>
      <c r="L77" s="11">
        <v>6.2155775398998981E-4</v>
      </c>
      <c r="M77" s="12">
        <v>0.71995034644660083</v>
      </c>
      <c r="N77" t="s">
        <v>1238</v>
      </c>
      <c r="O77" t="s">
        <v>1252</v>
      </c>
      <c r="P77" s="23">
        <f>VLOOKUP(A77,вариация!A$2:G$805,2,FALSE)</f>
        <v>2.2360679774997894</v>
      </c>
      <c r="Q77" t="str">
        <f>IF(вариация!H78="Yes",IF(P80&lt;0.1,"X",IF(P80&lt;0.25,"Y","Z")),"")</f>
        <v/>
      </c>
      <c r="R77" t="str">
        <f>O77&amp;Q77</f>
        <v>AAA</v>
      </c>
    </row>
    <row r="78" spans="1:18" x14ac:dyDescent="0.25">
      <c r="A78" s="7" t="s">
        <v>838</v>
      </c>
      <c r="B78" s="8">
        <v>1</v>
      </c>
      <c r="C78" s="11">
        <v>6.2155775398999025E-4</v>
      </c>
      <c r="D78" s="12">
        <v>0.72057190420059092</v>
      </c>
      <c r="E78" t="s">
        <v>1238</v>
      </c>
      <c r="F78" s="8">
        <v>423</v>
      </c>
      <c r="G78" s="11">
        <v>1.2093734933914643E-3</v>
      </c>
      <c r="H78" s="12">
        <v>0.71367730726929668</v>
      </c>
      <c r="I78" t="s">
        <v>1238</v>
      </c>
      <c r="J78" s="8">
        <v>5</v>
      </c>
      <c r="K78">
        <v>6</v>
      </c>
      <c r="L78" s="11">
        <v>6.2155775398998981E-4</v>
      </c>
      <c r="M78" s="12">
        <v>0.72057190420059081</v>
      </c>
      <c r="N78" t="s">
        <v>1238</v>
      </c>
      <c r="O78" t="s">
        <v>1252</v>
      </c>
      <c r="P78" s="23">
        <f>VLOOKUP(A78,вариация!A$2:G$805,2,FALSE)</f>
        <v>2.2360679774997894</v>
      </c>
      <c r="Q78" t="str">
        <f>IF(вариация!H79="Yes",IF(P81&lt;0.1,"X",IF(P81&lt;0.25,"Y","Z")),"")</f>
        <v/>
      </c>
      <c r="R78" t="str">
        <f>O78&amp;Q78</f>
        <v>AAA</v>
      </c>
    </row>
    <row r="79" spans="1:18" x14ac:dyDescent="0.25">
      <c r="A79" s="7" t="s">
        <v>805</v>
      </c>
      <c r="B79" s="8">
        <v>2</v>
      </c>
      <c r="C79" s="11">
        <v>1.2431155079799805E-3</v>
      </c>
      <c r="D79" s="12">
        <v>0.53143187966144112</v>
      </c>
      <c r="E79" t="s">
        <v>1238</v>
      </c>
      <c r="F79" s="8">
        <v>504</v>
      </c>
      <c r="G79" s="11">
        <v>1.4409556517004682E-3</v>
      </c>
      <c r="H79" s="12">
        <v>0.64659947389437744</v>
      </c>
      <c r="I79" t="s">
        <v>1238</v>
      </c>
      <c r="J79" s="8">
        <v>5</v>
      </c>
      <c r="K79">
        <v>12</v>
      </c>
      <c r="L79" s="11">
        <v>1.2431155079799796E-3</v>
      </c>
      <c r="M79" s="12">
        <v>0.53143187966144101</v>
      </c>
      <c r="N79" t="s">
        <v>1238</v>
      </c>
      <c r="O79" t="s">
        <v>1252</v>
      </c>
      <c r="P79" s="23">
        <f>VLOOKUP(A79,вариация!A$2:G$805,2,FALSE)</f>
        <v>1.3693063937629151</v>
      </c>
      <c r="Q79" t="str">
        <f>IF(вариация!H80="Yes",IF(P82&lt;0.1,"X",IF(P82&lt;0.25,"Y","Z")),"")</f>
        <v/>
      </c>
      <c r="R79" t="str">
        <f>O79&amp;Q79</f>
        <v>AAA</v>
      </c>
    </row>
    <row r="80" spans="1:18" x14ac:dyDescent="0.25">
      <c r="A80" s="7" t="s">
        <v>787</v>
      </c>
      <c r="B80" s="8">
        <v>1</v>
      </c>
      <c r="C80" s="11">
        <v>6.2155775398999025E-4</v>
      </c>
      <c r="D80" s="12">
        <v>0.72119346195458089</v>
      </c>
      <c r="E80" t="s">
        <v>1238</v>
      </c>
      <c r="F80" s="8">
        <v>300</v>
      </c>
      <c r="G80" s="11">
        <v>8.5771169744075482E-4</v>
      </c>
      <c r="H80" s="12">
        <v>0.819680164419061</v>
      </c>
      <c r="I80" t="s">
        <v>1239</v>
      </c>
      <c r="J80" s="8">
        <v>5</v>
      </c>
      <c r="K80">
        <v>6</v>
      </c>
      <c r="L80" s="11">
        <v>6.2155775398998981E-4</v>
      </c>
      <c r="M80" s="12">
        <v>0.72119346195458078</v>
      </c>
      <c r="N80" t="s">
        <v>1238</v>
      </c>
      <c r="O80" t="s">
        <v>1253</v>
      </c>
      <c r="P80" s="23">
        <f>VLOOKUP(A80,вариация!A$2:G$805,2,FALSE)</f>
        <v>2.2360679774997894</v>
      </c>
      <c r="Q80" t="str">
        <f>IF(вариация!H81="Yes",IF(P83&lt;0.1,"X",IF(P83&lt;0.25,"Y","Z")),"")</f>
        <v/>
      </c>
      <c r="R80" t="str">
        <f>O80&amp;Q80</f>
        <v>ABA</v>
      </c>
    </row>
    <row r="81" spans="1:18" x14ac:dyDescent="0.25">
      <c r="A81" s="7" t="s">
        <v>704</v>
      </c>
      <c r="B81" s="8">
        <v>1</v>
      </c>
      <c r="C81" s="11">
        <v>6.2155775398999025E-4</v>
      </c>
      <c r="D81" s="12">
        <v>0.72181501970857087</v>
      </c>
      <c r="E81" t="s">
        <v>1238</v>
      </c>
      <c r="F81" s="8">
        <v>257</v>
      </c>
      <c r="G81" s="11">
        <v>7.3477302080757992E-4</v>
      </c>
      <c r="H81" s="12">
        <v>0.86245370359204887</v>
      </c>
      <c r="I81" t="s">
        <v>1239</v>
      </c>
      <c r="J81" s="8">
        <v>5</v>
      </c>
      <c r="K81">
        <v>6</v>
      </c>
      <c r="L81" s="11">
        <v>6.2155775398998981E-4</v>
      </c>
      <c r="M81" s="12">
        <v>0.72181501970857076</v>
      </c>
      <c r="N81" t="s">
        <v>1238</v>
      </c>
      <c r="O81" t="s">
        <v>1253</v>
      </c>
      <c r="P81" s="23">
        <f>VLOOKUP(A81,вариация!A$2:G$805,2,FALSE)</f>
        <v>2.2360679774997894</v>
      </c>
      <c r="Q81" t="str">
        <f>IF(вариация!H82="Yes",IF(P84&lt;0.1,"X",IF(P84&lt;0.25,"Y","Z")),"")</f>
        <v/>
      </c>
      <c r="R81" t="str">
        <f>O81&amp;Q81</f>
        <v>ABA</v>
      </c>
    </row>
    <row r="82" spans="1:18" x14ac:dyDescent="0.25">
      <c r="A82" s="7" t="s">
        <v>40</v>
      </c>
      <c r="B82" s="8">
        <v>2</v>
      </c>
      <c r="C82" s="11">
        <v>1.2431155079799805E-3</v>
      </c>
      <c r="D82" s="12">
        <v>0.53267499516942107</v>
      </c>
      <c r="E82" t="s">
        <v>1238</v>
      </c>
      <c r="F82" s="8">
        <v>791</v>
      </c>
      <c r="G82" s="11">
        <v>2.2614998422521237E-3</v>
      </c>
      <c r="H82" s="12">
        <v>0.48302284586892125</v>
      </c>
      <c r="I82" t="s">
        <v>1238</v>
      </c>
      <c r="J82" s="8">
        <v>5</v>
      </c>
      <c r="K82">
        <v>12</v>
      </c>
      <c r="L82" s="11">
        <v>1.2431155079799796E-3</v>
      </c>
      <c r="M82" s="12">
        <v>0.53267499516942096</v>
      </c>
      <c r="N82" t="s">
        <v>1238</v>
      </c>
      <c r="O82" t="s">
        <v>1252</v>
      </c>
      <c r="P82" s="23">
        <f>VLOOKUP(A82,вариация!A$2:G$805,2,FALSE)</f>
        <v>1.3693063937629151</v>
      </c>
      <c r="Q82" t="str">
        <f>IF(вариация!H83="Yes",IF(P85&lt;0.1,"X",IF(P85&lt;0.25,"Y","Z")),"")</f>
        <v/>
      </c>
      <c r="R82" t="str">
        <f>O82&amp;Q82</f>
        <v>AAA</v>
      </c>
    </row>
    <row r="83" spans="1:18" x14ac:dyDescent="0.25">
      <c r="A83" s="7" t="s">
        <v>41</v>
      </c>
      <c r="B83" s="8">
        <v>1</v>
      </c>
      <c r="C83" s="11">
        <v>6.2155775398999025E-4</v>
      </c>
      <c r="D83" s="12">
        <v>0.72243657746256085</v>
      </c>
      <c r="E83" t="s">
        <v>1238</v>
      </c>
      <c r="F83" s="8">
        <v>323</v>
      </c>
      <c r="G83" s="11">
        <v>9.2346959424454604E-4</v>
      </c>
      <c r="H83" s="12">
        <v>0.80365362121965112</v>
      </c>
      <c r="I83" t="s">
        <v>1239</v>
      </c>
      <c r="J83" s="8">
        <v>5</v>
      </c>
      <c r="K83">
        <v>6</v>
      </c>
      <c r="L83" s="11">
        <v>6.2155775398998981E-4</v>
      </c>
      <c r="M83" s="12">
        <v>0.72243657746256074</v>
      </c>
      <c r="N83" t="s">
        <v>1238</v>
      </c>
      <c r="O83" t="s">
        <v>1253</v>
      </c>
      <c r="P83" s="23">
        <f>VLOOKUP(A83,вариация!A$2:G$805,2,FALSE)</f>
        <v>2.2360679774997894</v>
      </c>
      <c r="Q83" t="str">
        <f>IF(вариация!H84="Yes",IF(P86&lt;0.1,"X",IF(P86&lt;0.25,"Y","Z")),"")</f>
        <v/>
      </c>
      <c r="R83" t="str">
        <f>O83&amp;Q83</f>
        <v>ABA</v>
      </c>
    </row>
    <row r="84" spans="1:18" x14ac:dyDescent="0.25">
      <c r="A84" s="7" t="s">
        <v>565</v>
      </c>
      <c r="B84" s="8">
        <v>1</v>
      </c>
      <c r="C84" s="11">
        <v>6.2155775398999025E-4</v>
      </c>
      <c r="D84" s="12">
        <v>0.72305813521655082</v>
      </c>
      <c r="E84" t="s">
        <v>1238</v>
      </c>
      <c r="F84" s="8">
        <v>350</v>
      </c>
      <c r="G84" s="11">
        <v>1.0006636470142139E-3</v>
      </c>
      <c r="H84" s="12">
        <v>0.78055879028319142</v>
      </c>
      <c r="I84" t="s">
        <v>1238</v>
      </c>
      <c r="J84" s="8">
        <v>5</v>
      </c>
      <c r="K84">
        <v>6</v>
      </c>
      <c r="L84" s="11">
        <v>6.2155775398998981E-4</v>
      </c>
      <c r="M84" s="12">
        <v>0.72305813521655071</v>
      </c>
      <c r="N84" t="s">
        <v>1238</v>
      </c>
      <c r="O84" t="s">
        <v>1252</v>
      </c>
      <c r="P84" s="23">
        <f>VLOOKUP(A84,вариация!A$2:G$805,2,FALSE)</f>
        <v>2.2360679774997894</v>
      </c>
      <c r="Q84" t="str">
        <f>IF(вариация!H85="Yes",IF(P87&lt;0.1,"X",IF(P87&lt;0.25,"Y","Z")),"")</f>
        <v/>
      </c>
      <c r="R84" t="str">
        <f>O84&amp;Q84</f>
        <v>AAA</v>
      </c>
    </row>
    <row r="85" spans="1:18" x14ac:dyDescent="0.25">
      <c r="A85" s="7" t="s">
        <v>711</v>
      </c>
      <c r="B85" s="8">
        <v>1</v>
      </c>
      <c r="C85" s="11">
        <v>6.2155775398999025E-4</v>
      </c>
      <c r="D85" s="12">
        <v>0.7236796929705408</v>
      </c>
      <c r="E85" t="s">
        <v>1238</v>
      </c>
      <c r="F85" s="8">
        <v>1005</v>
      </c>
      <c r="G85" s="11">
        <v>2.8733341864265287E-3</v>
      </c>
      <c r="H85" s="12">
        <v>0.41427569043758805</v>
      </c>
      <c r="I85" t="s">
        <v>1238</v>
      </c>
      <c r="J85" s="8">
        <v>5</v>
      </c>
      <c r="K85">
        <v>6</v>
      </c>
      <c r="L85" s="11">
        <v>6.2155775398998981E-4</v>
      </c>
      <c r="M85" s="12">
        <v>0.72367969297054069</v>
      </c>
      <c r="N85" t="s">
        <v>1238</v>
      </c>
      <c r="O85" t="s">
        <v>1252</v>
      </c>
      <c r="P85" s="23">
        <f>VLOOKUP(A85,вариация!A$2:G$805,2,FALSE)</f>
        <v>2.2360679774997894</v>
      </c>
      <c r="Q85" t="str">
        <f>IF(вариация!H86="Yes",IF(P88&lt;0.1,"X",IF(P88&lt;0.25,"Y","Z")),"")</f>
        <v/>
      </c>
      <c r="R85" t="str">
        <f>O85&amp;Q85</f>
        <v>AAA</v>
      </c>
    </row>
    <row r="86" spans="1:18" x14ac:dyDescent="0.25">
      <c r="A86" s="7" t="s">
        <v>145</v>
      </c>
      <c r="B86" s="8">
        <v>1</v>
      </c>
      <c r="C86" s="11">
        <v>6.2155775398999025E-4</v>
      </c>
      <c r="D86" s="12">
        <v>0.72430125072453078</v>
      </c>
      <c r="E86" t="s">
        <v>1238</v>
      </c>
      <c r="F86" s="8">
        <v>160</v>
      </c>
      <c r="G86" s="11">
        <v>4.5744623863506925E-4</v>
      </c>
      <c r="H86" s="12">
        <v>0.92910041844808711</v>
      </c>
      <c r="I86" t="s">
        <v>1239</v>
      </c>
      <c r="J86" s="8">
        <v>5</v>
      </c>
      <c r="K86">
        <v>6</v>
      </c>
      <c r="L86" s="11">
        <v>6.2155775398998981E-4</v>
      </c>
      <c r="M86" s="12">
        <v>0.72430125072453067</v>
      </c>
      <c r="N86" t="s">
        <v>1238</v>
      </c>
      <c r="O86" t="s">
        <v>1253</v>
      </c>
      <c r="P86" s="23">
        <f>VLOOKUP(A86,вариация!A$2:G$805,2,FALSE)</f>
        <v>2.2360679774997894</v>
      </c>
      <c r="Q86" t="str">
        <f>IF(вариация!H87="Yes",IF(P89&lt;0.1,"X",IF(P89&lt;0.25,"Y","Z")),"")</f>
        <v/>
      </c>
      <c r="R86" t="str">
        <f>O86&amp;Q86</f>
        <v>ABA</v>
      </c>
    </row>
    <row r="87" spans="1:18" x14ac:dyDescent="0.25">
      <c r="A87" s="7" t="s">
        <v>349</v>
      </c>
      <c r="B87" s="8">
        <v>3</v>
      </c>
      <c r="C87" s="11">
        <v>1.8646732619699705E-3</v>
      </c>
      <c r="D87" s="12">
        <v>0.42141615720521297</v>
      </c>
      <c r="E87" t="s">
        <v>1238</v>
      </c>
      <c r="F87" s="8">
        <v>215</v>
      </c>
      <c r="G87" s="11">
        <v>6.1469338316587428E-4</v>
      </c>
      <c r="H87" s="12">
        <v>0.89380535336470202</v>
      </c>
      <c r="I87" t="s">
        <v>1239</v>
      </c>
      <c r="J87" s="8">
        <v>5</v>
      </c>
      <c r="K87">
        <v>18</v>
      </c>
      <c r="L87" s="11">
        <v>1.8646732619699697E-3</v>
      </c>
      <c r="M87" s="12">
        <v>0.4214161572052128</v>
      </c>
      <c r="N87" t="s">
        <v>1238</v>
      </c>
      <c r="O87" t="s">
        <v>1253</v>
      </c>
      <c r="P87" s="23">
        <f>VLOOKUP(A87,вариация!A$2:G$805,2,FALSE)</f>
        <v>2.2360679774997898</v>
      </c>
      <c r="Q87" t="str">
        <f>IF(вариация!H88="Yes",IF(P90&lt;0.1,"X",IF(P90&lt;0.25,"Y","Z")),"")</f>
        <v/>
      </c>
      <c r="R87" t="str">
        <f>O87&amp;Q87</f>
        <v>ABA</v>
      </c>
    </row>
    <row r="88" spans="1:18" x14ac:dyDescent="0.25">
      <c r="A88" s="7" t="s">
        <v>455</v>
      </c>
      <c r="B88" s="8">
        <v>2</v>
      </c>
      <c r="C88" s="11">
        <v>1.2431155079799805E-3</v>
      </c>
      <c r="D88" s="12">
        <v>0.53391811067740103</v>
      </c>
      <c r="E88" t="s">
        <v>1238</v>
      </c>
      <c r="F88" s="8">
        <v>270</v>
      </c>
      <c r="G88" s="11">
        <v>7.7194052769667936E-4</v>
      </c>
      <c r="H88" s="12">
        <v>0.84960984259794259</v>
      </c>
      <c r="I88" t="s">
        <v>1239</v>
      </c>
      <c r="J88" s="8">
        <v>5</v>
      </c>
      <c r="K88">
        <v>12</v>
      </c>
      <c r="L88" s="11">
        <v>1.2431155079799796E-3</v>
      </c>
      <c r="M88" s="12">
        <v>0.53391811067740091</v>
      </c>
      <c r="N88" t="s">
        <v>1238</v>
      </c>
      <c r="O88" t="s">
        <v>1253</v>
      </c>
      <c r="P88" s="23">
        <f>VLOOKUP(A88,вариация!A$2:G$805,2,FALSE)</f>
        <v>2.2360679774997894</v>
      </c>
      <c r="Q88" t="str">
        <f>IF(вариация!H89="Yes",IF(P91&lt;0.1,"X",IF(P91&lt;0.25,"Y","Z")),"")</f>
        <v/>
      </c>
      <c r="R88" t="str">
        <f>O88&amp;Q88</f>
        <v>ABA</v>
      </c>
    </row>
    <row r="89" spans="1:18" x14ac:dyDescent="0.25">
      <c r="A89" s="7" t="s">
        <v>737</v>
      </c>
      <c r="B89" s="8">
        <v>1</v>
      </c>
      <c r="C89" s="11">
        <v>6.2155775398999025E-4</v>
      </c>
      <c r="D89" s="12">
        <v>0.72492280847852075</v>
      </c>
      <c r="E89" t="s">
        <v>1238</v>
      </c>
      <c r="F89" s="8">
        <v>63</v>
      </c>
      <c r="G89" s="11">
        <v>1.8011945646255852E-4</v>
      </c>
      <c r="H89" s="12">
        <v>0.99065166823178041</v>
      </c>
      <c r="I89" t="s">
        <v>1240</v>
      </c>
      <c r="J89" s="8">
        <v>5</v>
      </c>
      <c r="K89">
        <v>6</v>
      </c>
      <c r="L89" s="11">
        <v>6.2155775398998981E-4</v>
      </c>
      <c r="M89" s="12">
        <v>0.72492280847852064</v>
      </c>
      <c r="N89" t="s">
        <v>1238</v>
      </c>
      <c r="O89" t="s">
        <v>1254</v>
      </c>
      <c r="P89" s="23">
        <f>VLOOKUP(A89,вариация!A$2:G$805,2,FALSE)</f>
        <v>2.2360679774997894</v>
      </c>
      <c r="Q89" t="str">
        <f>IF(вариация!H90="Yes",IF(P92&lt;0.1,"X",IF(P92&lt;0.25,"Y","Z")),"")</f>
        <v/>
      </c>
      <c r="R89" t="str">
        <f>O89&amp;Q89</f>
        <v>ACA</v>
      </c>
    </row>
    <row r="90" spans="1:18" x14ac:dyDescent="0.25">
      <c r="A90" s="7" t="s">
        <v>1131</v>
      </c>
      <c r="B90" s="8">
        <v>1</v>
      </c>
      <c r="C90" s="11">
        <v>6.2155775398999025E-4</v>
      </c>
      <c r="D90" s="12">
        <v>0.72554436623251073</v>
      </c>
      <c r="E90" t="s">
        <v>1238</v>
      </c>
      <c r="F90" s="8">
        <v>28</v>
      </c>
      <c r="G90" s="11">
        <v>8.0053091761137115E-5</v>
      </c>
      <c r="H90" s="12">
        <v>0.99914251702568024</v>
      </c>
      <c r="I90" t="s">
        <v>1240</v>
      </c>
      <c r="J90" s="8">
        <v>5</v>
      </c>
      <c r="K90">
        <v>6</v>
      </c>
      <c r="L90" s="11">
        <v>6.2155775398998981E-4</v>
      </c>
      <c r="M90" s="12">
        <v>0.72554436623251062</v>
      </c>
      <c r="N90" t="s">
        <v>1238</v>
      </c>
      <c r="O90" t="s">
        <v>1254</v>
      </c>
      <c r="P90" s="23">
        <f>VLOOKUP(A90,вариация!A$2:G$805,2,FALSE)</f>
        <v>2.2360679774997894</v>
      </c>
      <c r="Q90" t="str">
        <f>IF(вариация!H91="Yes",IF(P93&lt;0.1,"X",IF(P93&lt;0.25,"Y","Z")),"")</f>
        <v/>
      </c>
      <c r="R90" t="str">
        <f>O90&amp;Q90</f>
        <v>ACA</v>
      </c>
    </row>
    <row r="91" spans="1:18" x14ac:dyDescent="0.25">
      <c r="A91" s="7" t="s">
        <v>198</v>
      </c>
      <c r="B91" s="8">
        <v>5</v>
      </c>
      <c r="C91" s="11">
        <v>3.1077887699499512E-3</v>
      </c>
      <c r="D91" s="12">
        <v>0.32010224330484466</v>
      </c>
      <c r="E91" t="s">
        <v>1238</v>
      </c>
      <c r="F91" s="8">
        <v>2204.31</v>
      </c>
      <c r="G91" s="11">
        <v>6.3022082392854336E-3</v>
      </c>
      <c r="H91" s="12">
        <v>0.15593542687277384</v>
      </c>
      <c r="I91" t="s">
        <v>1238</v>
      </c>
      <c r="J91" s="8">
        <v>5</v>
      </c>
      <c r="K91">
        <v>30</v>
      </c>
      <c r="L91" s="11">
        <v>3.1077887699499491E-3</v>
      </c>
      <c r="M91" s="12">
        <v>0.32010224330484449</v>
      </c>
      <c r="N91" t="s">
        <v>1238</v>
      </c>
      <c r="O91" t="s">
        <v>1252</v>
      </c>
      <c r="P91" s="23">
        <f>VLOOKUP(A91,вариация!A$2:G$805,2,FALSE)</f>
        <v>0.70710678118654757</v>
      </c>
      <c r="Q91" t="str">
        <f>IF(вариация!H92="Yes",IF(P94&lt;0.1,"X",IF(P94&lt;0.25,"Y","Z")),"")</f>
        <v>Z</v>
      </c>
      <c r="R91" t="str">
        <f>O91&amp;Q91</f>
        <v>AAAZ</v>
      </c>
    </row>
    <row r="92" spans="1:18" x14ac:dyDescent="0.25">
      <c r="A92" s="7" t="s">
        <v>1048</v>
      </c>
      <c r="B92" s="8">
        <v>1</v>
      </c>
      <c r="C92" s="11">
        <v>6.2155775398999025E-4</v>
      </c>
      <c r="D92" s="12">
        <v>0.72616592398650071</v>
      </c>
      <c r="E92" t="s">
        <v>1238</v>
      </c>
      <c r="F92" s="8">
        <v>22</v>
      </c>
      <c r="G92" s="11">
        <v>6.2898857812322022E-5</v>
      </c>
      <c r="H92" s="12">
        <v>0.99978808802995389</v>
      </c>
      <c r="I92" t="s">
        <v>1240</v>
      </c>
      <c r="J92" s="8">
        <v>5</v>
      </c>
      <c r="K92">
        <v>6</v>
      </c>
      <c r="L92" s="11">
        <v>6.2155775398998981E-4</v>
      </c>
      <c r="M92" s="12">
        <v>0.72616592398650059</v>
      </c>
      <c r="N92" t="s">
        <v>1238</v>
      </c>
      <c r="O92" t="s">
        <v>1254</v>
      </c>
      <c r="P92" s="23">
        <f>VLOOKUP(A92,вариация!A$2:G$805,2,FALSE)</f>
        <v>2.2360679774997894</v>
      </c>
      <c r="Q92" t="str">
        <f>IF(вариация!H93="Yes",IF(P95&lt;0.1,"X",IF(P95&lt;0.25,"Y","Z")),"")</f>
        <v/>
      </c>
      <c r="R92" t="str">
        <f>O92&amp;Q92</f>
        <v>ACA</v>
      </c>
    </row>
    <row r="93" spans="1:18" x14ac:dyDescent="0.25">
      <c r="A93" s="7" t="s">
        <v>384</v>
      </c>
      <c r="B93" s="8">
        <v>4</v>
      </c>
      <c r="C93" s="11">
        <v>2.486231015959961E-3</v>
      </c>
      <c r="D93" s="12">
        <v>0.36734063260808375</v>
      </c>
      <c r="E93" t="s">
        <v>1238</v>
      </c>
      <c r="F93" s="8">
        <v>76</v>
      </c>
      <c r="G93" s="11">
        <v>2.1728696335165788E-4</v>
      </c>
      <c r="H93" s="12">
        <v>0.98378185498151827</v>
      </c>
      <c r="I93" t="s">
        <v>1240</v>
      </c>
      <c r="J93" s="8">
        <v>5</v>
      </c>
      <c r="K93">
        <v>24</v>
      </c>
      <c r="L93" s="11">
        <v>2.4862310159599593E-3</v>
      </c>
      <c r="M93" s="12">
        <v>0.36734063260808358</v>
      </c>
      <c r="N93" t="s">
        <v>1238</v>
      </c>
      <c r="O93" t="s">
        <v>1254</v>
      </c>
      <c r="P93" s="23">
        <f>VLOOKUP(A93,вариация!A$2:G$805,2,FALSE)</f>
        <v>0.55901699437494734</v>
      </c>
      <c r="Q93" t="str">
        <f>IF(вариация!H94="Yes",IF(P96&lt;0.1,"X",IF(P96&lt;0.25,"Y","Z")),"")</f>
        <v>Z</v>
      </c>
      <c r="R93" t="str">
        <f>O93&amp;Q93</f>
        <v>ACAZ</v>
      </c>
    </row>
    <row r="94" spans="1:18" x14ac:dyDescent="0.25">
      <c r="A94" s="7" t="s">
        <v>659</v>
      </c>
      <c r="B94" s="8">
        <v>2</v>
      </c>
      <c r="C94" s="11">
        <v>1.2431155079799805E-3</v>
      </c>
      <c r="D94" s="12">
        <v>0.53516122618538098</v>
      </c>
      <c r="E94" t="s">
        <v>1238</v>
      </c>
      <c r="F94" s="8">
        <v>124</v>
      </c>
      <c r="G94" s="11">
        <v>3.5452083494217864E-4</v>
      </c>
      <c r="H94" s="12">
        <v>0.95077502176553397</v>
      </c>
      <c r="I94" t="s">
        <v>1240</v>
      </c>
      <c r="J94" s="8">
        <v>5</v>
      </c>
      <c r="K94">
        <v>12</v>
      </c>
      <c r="L94" s="11">
        <v>1.2431155079799796E-3</v>
      </c>
      <c r="M94" s="12">
        <v>0.53516122618538087</v>
      </c>
      <c r="N94" t="s">
        <v>1238</v>
      </c>
      <c r="O94" t="s">
        <v>1254</v>
      </c>
      <c r="P94" s="23">
        <f>VLOOKUP(A94,вариация!A$2:G$805,2,FALSE)</f>
        <v>2.2360679774997894</v>
      </c>
      <c r="Q94" t="str">
        <f>IF(вариация!H95="Yes",IF(P97&lt;0.1,"X",IF(P97&lt;0.25,"Y","Z")),"")</f>
        <v/>
      </c>
      <c r="R94" t="str">
        <f>O94&amp;Q94</f>
        <v>ACA</v>
      </c>
    </row>
    <row r="95" spans="1:18" x14ac:dyDescent="0.25">
      <c r="A95" s="7" t="s">
        <v>993</v>
      </c>
      <c r="B95" s="8">
        <v>2</v>
      </c>
      <c r="C95" s="11">
        <v>1.2431155079799805E-3</v>
      </c>
      <c r="D95" s="12">
        <v>0.53640434169336093</v>
      </c>
      <c r="E95" t="s">
        <v>1238</v>
      </c>
      <c r="F95" s="8">
        <v>760</v>
      </c>
      <c r="G95" s="11">
        <v>2.1728696335165791E-3</v>
      </c>
      <c r="H95" s="12">
        <v>0.4896243669002236</v>
      </c>
      <c r="I95" t="s">
        <v>1238</v>
      </c>
      <c r="J95" s="8">
        <v>5</v>
      </c>
      <c r="K95">
        <v>12</v>
      </c>
      <c r="L95" s="11">
        <v>1.2431155079799796E-3</v>
      </c>
      <c r="M95" s="12">
        <v>0.53640434169336082</v>
      </c>
      <c r="N95" t="s">
        <v>1238</v>
      </c>
      <c r="O95" t="s">
        <v>1252</v>
      </c>
      <c r="P95" s="23">
        <f>VLOOKUP(A95,вариация!A$2:G$805,2,FALSE)</f>
        <v>2.2360679774997894</v>
      </c>
      <c r="Q95" t="str">
        <f>IF(вариация!H96="Yes",IF(P98&lt;0.1,"X",IF(P98&lt;0.25,"Y","Z")),"")</f>
        <v/>
      </c>
      <c r="R95" t="str">
        <f>O95&amp;Q95</f>
        <v>AAA</v>
      </c>
    </row>
    <row r="96" spans="1:18" x14ac:dyDescent="0.25">
      <c r="A96" s="7" t="s">
        <v>722</v>
      </c>
      <c r="B96" s="8">
        <v>5</v>
      </c>
      <c r="C96" s="11">
        <v>3.1077887699499512E-3</v>
      </c>
      <c r="D96" s="12">
        <v>0.3232100320747946</v>
      </c>
      <c r="E96" t="s">
        <v>1238</v>
      </c>
      <c r="F96" s="8">
        <v>357</v>
      </c>
      <c r="G96" s="11">
        <v>1.0206769199544983E-3</v>
      </c>
      <c r="H96" s="12">
        <v>0.77146990532931092</v>
      </c>
      <c r="I96" t="s">
        <v>1238</v>
      </c>
      <c r="J96" s="8">
        <v>5</v>
      </c>
      <c r="K96">
        <v>30</v>
      </c>
      <c r="L96" s="11">
        <v>3.1077887699499491E-3</v>
      </c>
      <c r="M96" s="12">
        <v>0.32321003207479443</v>
      </c>
      <c r="N96" t="s">
        <v>1238</v>
      </c>
      <c r="O96" t="s">
        <v>1252</v>
      </c>
      <c r="P96" s="23">
        <f>VLOOKUP(A96,вариация!A$2:G$805,2,FALSE)</f>
        <v>1</v>
      </c>
      <c r="Q96" t="str">
        <f>IF(вариация!H97="Yes",IF(P99&lt;0.1,"X",IF(P99&lt;0.25,"Y","Z")),"")</f>
        <v>Z</v>
      </c>
      <c r="R96" t="str">
        <f>O96&amp;Q96</f>
        <v>AAAZ</v>
      </c>
    </row>
    <row r="97" spans="1:18" x14ac:dyDescent="0.25">
      <c r="A97" s="7" t="s">
        <v>962</v>
      </c>
      <c r="B97" s="8">
        <v>1</v>
      </c>
      <c r="C97" s="11">
        <v>6.2155775398999025E-4</v>
      </c>
      <c r="D97" s="12">
        <v>0.72678748174049068</v>
      </c>
      <c r="E97" t="s">
        <v>1238</v>
      </c>
      <c r="F97" s="8">
        <v>135</v>
      </c>
      <c r="G97" s="11">
        <v>3.8597026384833968E-4</v>
      </c>
      <c r="H97" s="12">
        <v>0.94378432834671289</v>
      </c>
      <c r="I97" t="s">
        <v>1239</v>
      </c>
      <c r="J97" s="8">
        <v>5</v>
      </c>
      <c r="K97">
        <v>6</v>
      </c>
      <c r="L97" s="11">
        <v>6.2155775398998981E-4</v>
      </c>
      <c r="M97" s="12">
        <v>0.72678748174049057</v>
      </c>
      <c r="N97" t="s">
        <v>1238</v>
      </c>
      <c r="O97" t="s">
        <v>1253</v>
      </c>
      <c r="P97" s="23">
        <f>VLOOKUP(A97,вариация!A$2:G$805,2,FALSE)</f>
        <v>2.2360679774997894</v>
      </c>
      <c r="Q97" t="str">
        <f>IF(вариация!H98="Yes",IF(P100&lt;0.1,"X",IF(P100&lt;0.25,"Y","Z")),"")</f>
        <v/>
      </c>
      <c r="R97" t="str">
        <f>O97&amp;Q97</f>
        <v>ABA</v>
      </c>
    </row>
    <row r="98" spans="1:18" x14ac:dyDescent="0.25">
      <c r="A98" s="7" t="s">
        <v>718</v>
      </c>
      <c r="B98" s="8">
        <v>0.66666665999999997</v>
      </c>
      <c r="C98" s="11">
        <v>4.1437183184960842E-4</v>
      </c>
      <c r="D98" s="12">
        <v>0.99478246666502512</v>
      </c>
      <c r="E98" t="s">
        <v>1240</v>
      </c>
      <c r="F98" s="8">
        <v>749.49999209999999</v>
      </c>
      <c r="G98" s="11">
        <v>2.1428497015197443E-3</v>
      </c>
      <c r="H98" s="12">
        <v>0.49608150643987031</v>
      </c>
      <c r="I98" t="s">
        <v>1238</v>
      </c>
      <c r="J98" s="8">
        <v>5</v>
      </c>
      <c r="K98">
        <v>3.9999999599999998</v>
      </c>
      <c r="L98" s="11">
        <v>4.1437183184960821E-4</v>
      </c>
      <c r="M98" s="12">
        <v>0.99478246666502501</v>
      </c>
      <c r="N98" t="s">
        <v>1240</v>
      </c>
      <c r="O98" t="s">
        <v>1258</v>
      </c>
      <c r="P98" s="23">
        <f>VLOOKUP(A98,вариация!A$2:G$805,2,FALSE)</f>
        <v>2.2360679774997898</v>
      </c>
      <c r="Q98" t="str">
        <f>IF(вариация!H99="Yes",IF(P101&lt;0.1,"X",IF(P101&lt;0.25,"Y","Z")),"")</f>
        <v/>
      </c>
      <c r="R98" t="str">
        <f>O98&amp;Q98</f>
        <v>CAC</v>
      </c>
    </row>
    <row r="99" spans="1:18" x14ac:dyDescent="0.25">
      <c r="A99" s="7" t="s">
        <v>1155</v>
      </c>
      <c r="B99" s="8">
        <v>1</v>
      </c>
      <c r="C99" s="11">
        <v>6.2155775398999025E-4</v>
      </c>
      <c r="D99" s="12">
        <v>0.72740903949448066</v>
      </c>
      <c r="E99" t="s">
        <v>1238</v>
      </c>
      <c r="F99" s="8">
        <v>76</v>
      </c>
      <c r="G99" s="11">
        <v>2.1728696335165788E-4</v>
      </c>
      <c r="H99" s="12">
        <v>0.98399914194486993</v>
      </c>
      <c r="I99" t="s">
        <v>1240</v>
      </c>
      <c r="J99" s="8">
        <v>5</v>
      </c>
      <c r="K99">
        <v>6</v>
      </c>
      <c r="L99" s="11">
        <v>6.2155775398998981E-4</v>
      </c>
      <c r="M99" s="12">
        <v>0.72740903949448055</v>
      </c>
      <c r="N99" t="s">
        <v>1238</v>
      </c>
      <c r="O99" t="s">
        <v>1254</v>
      </c>
      <c r="P99" s="23">
        <f>VLOOKUP(A99,вариация!A$2:G$805,2,FALSE)</f>
        <v>2.2360679774997894</v>
      </c>
      <c r="Q99" t="str">
        <f>IF(вариация!H100="Yes",IF(P102&lt;0.1,"X",IF(P102&lt;0.25,"Y","Z")),"")</f>
        <v/>
      </c>
      <c r="R99" t="str">
        <f>O99&amp;Q99</f>
        <v>ACA</v>
      </c>
    </row>
    <row r="100" spans="1:18" x14ac:dyDescent="0.25">
      <c r="A100" s="7" t="s">
        <v>758</v>
      </c>
      <c r="B100" s="8">
        <v>1</v>
      </c>
      <c r="C100" s="11">
        <v>6.2155775398999025E-4</v>
      </c>
      <c r="D100" s="12">
        <v>0.72803059724847063</v>
      </c>
      <c r="E100" t="s">
        <v>1238</v>
      </c>
      <c r="F100" s="8">
        <v>296</v>
      </c>
      <c r="G100" s="11">
        <v>8.4627554147487813E-4</v>
      </c>
      <c r="H100" s="12">
        <v>0.82394013251635012</v>
      </c>
      <c r="I100" t="s">
        <v>1239</v>
      </c>
      <c r="J100" s="8">
        <v>5</v>
      </c>
      <c r="K100">
        <v>6</v>
      </c>
      <c r="L100" s="11">
        <v>6.2155775398998981E-4</v>
      </c>
      <c r="M100" s="12">
        <v>0.72803059724847052</v>
      </c>
      <c r="N100" t="s">
        <v>1238</v>
      </c>
      <c r="O100" t="s">
        <v>1253</v>
      </c>
      <c r="P100" s="23">
        <f>VLOOKUP(A100,вариация!A$2:G$805,2,FALSE)</f>
        <v>2.2360679774997894</v>
      </c>
      <c r="Q100" t="str">
        <f>IF(вариация!H101="Yes",IF(P103&lt;0.1,"X",IF(P103&lt;0.25,"Y","Z")),"")</f>
        <v/>
      </c>
      <c r="R100" t="str">
        <f>O100&amp;Q100</f>
        <v>ABA</v>
      </c>
    </row>
    <row r="101" spans="1:18" x14ac:dyDescent="0.25">
      <c r="A101" s="7" t="s">
        <v>804</v>
      </c>
      <c r="B101" s="8">
        <v>0.1</v>
      </c>
      <c r="C101" s="11">
        <v>6.2155775398999027E-5</v>
      </c>
      <c r="D101" s="12">
        <v>0.99970283630208667</v>
      </c>
      <c r="E101" t="s">
        <v>1240</v>
      </c>
      <c r="F101" s="8">
        <v>110.00000000000001</v>
      </c>
      <c r="G101" s="11">
        <v>3.1449428906161011E-4</v>
      </c>
      <c r="H101" s="12">
        <v>0.96030677185919311</v>
      </c>
      <c r="I101" t="s">
        <v>1240</v>
      </c>
      <c r="J101" s="8">
        <v>5</v>
      </c>
      <c r="K101">
        <v>0.6</v>
      </c>
      <c r="L101" s="11">
        <v>6.2155775398998987E-5</v>
      </c>
      <c r="M101" s="12">
        <v>0.99970283630208656</v>
      </c>
      <c r="N101" t="s">
        <v>1240</v>
      </c>
      <c r="O101" t="s">
        <v>1260</v>
      </c>
      <c r="P101" s="23">
        <f>VLOOKUP(A101,вариация!A$2:G$805,2,FALSE)</f>
        <v>2.2360679774997898</v>
      </c>
      <c r="Q101" t="str">
        <f>IF(вариация!H102="Yes",IF(P104&lt;0.1,"X",IF(P104&lt;0.25,"Y","Z")),"")</f>
        <v/>
      </c>
      <c r="R101" t="str">
        <f>O101&amp;Q101</f>
        <v>CCC</v>
      </c>
    </row>
    <row r="102" spans="1:18" x14ac:dyDescent="0.25">
      <c r="A102" s="7" t="s">
        <v>637</v>
      </c>
      <c r="B102" s="8">
        <v>1</v>
      </c>
      <c r="C102" s="11">
        <v>6.2155775398999025E-4</v>
      </c>
      <c r="D102" s="12">
        <v>0.72865215500246061</v>
      </c>
      <c r="E102" t="s">
        <v>1238</v>
      </c>
      <c r="F102" s="8">
        <v>10</v>
      </c>
      <c r="G102" s="11">
        <v>2.8590389914691828E-5</v>
      </c>
      <c r="H102" s="12">
        <v>0.99999965691532255</v>
      </c>
      <c r="I102" t="s">
        <v>1240</v>
      </c>
      <c r="J102" s="8">
        <v>5</v>
      </c>
      <c r="K102">
        <v>6</v>
      </c>
      <c r="L102" s="11">
        <v>6.2155775398998981E-4</v>
      </c>
      <c r="M102" s="12">
        <v>0.7286521550024605</v>
      </c>
      <c r="N102" t="s">
        <v>1238</v>
      </c>
      <c r="O102" t="s">
        <v>1254</v>
      </c>
      <c r="P102" s="23">
        <f>VLOOKUP(A102,вариация!A$2:G$805,2,FALSE)</f>
        <v>2.2360679774997894</v>
      </c>
      <c r="Q102" t="str">
        <f>IF(вариация!H103="Yes",IF(P105&lt;0.1,"X",IF(P105&lt;0.25,"Y","Z")),"")</f>
        <v/>
      </c>
      <c r="R102" t="str">
        <f>O102&amp;Q102</f>
        <v>ACA</v>
      </c>
    </row>
    <row r="103" spans="1:18" x14ac:dyDescent="0.25">
      <c r="A103" s="7" t="s">
        <v>911</v>
      </c>
      <c r="B103" s="8">
        <v>1</v>
      </c>
      <c r="C103" s="11">
        <v>6.2155775398999025E-4</v>
      </c>
      <c r="D103" s="12">
        <v>0.72927371275645059</v>
      </c>
      <c r="E103" t="s">
        <v>1238</v>
      </c>
      <c r="F103" s="8">
        <v>524</v>
      </c>
      <c r="G103" s="11">
        <v>1.4981364315298517E-3</v>
      </c>
      <c r="H103" s="12">
        <v>0.63632885283861351</v>
      </c>
      <c r="I103" t="s">
        <v>1238</v>
      </c>
      <c r="J103" s="8">
        <v>5</v>
      </c>
      <c r="K103">
        <v>6</v>
      </c>
      <c r="L103" s="11">
        <v>6.2155775398998981E-4</v>
      </c>
      <c r="M103" s="12">
        <v>0.72927371275645048</v>
      </c>
      <c r="N103" t="s">
        <v>1238</v>
      </c>
      <c r="O103" t="s">
        <v>1252</v>
      </c>
      <c r="P103" s="23">
        <f>VLOOKUP(A103,вариация!A$2:G$805,2,FALSE)</f>
        <v>2.2360679774997894</v>
      </c>
      <c r="Q103" t="str">
        <f>IF(вариация!H104="Yes",IF(P106&lt;0.1,"X",IF(P106&lt;0.25,"Y","Z")),"")</f>
        <v/>
      </c>
      <c r="R103" t="str">
        <f>O103&amp;Q103</f>
        <v>AAA</v>
      </c>
    </row>
    <row r="104" spans="1:18" x14ac:dyDescent="0.25">
      <c r="A104" s="7" t="s">
        <v>1129</v>
      </c>
      <c r="B104" s="8">
        <v>1</v>
      </c>
      <c r="C104" s="11">
        <v>6.2155775398999025E-4</v>
      </c>
      <c r="D104" s="12">
        <v>0.72989527051044056</v>
      </c>
      <c r="E104" t="s">
        <v>1238</v>
      </c>
      <c r="F104" s="8">
        <v>608</v>
      </c>
      <c r="G104" s="11">
        <v>1.738295706813263E-3</v>
      </c>
      <c r="H104" s="12">
        <v>0.57801986763280655</v>
      </c>
      <c r="I104" t="s">
        <v>1238</v>
      </c>
      <c r="J104" s="8">
        <v>5</v>
      </c>
      <c r="K104">
        <v>6</v>
      </c>
      <c r="L104" s="11">
        <v>6.2155775398998981E-4</v>
      </c>
      <c r="M104" s="12">
        <v>0.72989527051044045</v>
      </c>
      <c r="N104" t="s">
        <v>1238</v>
      </c>
      <c r="O104" t="s">
        <v>1252</v>
      </c>
      <c r="P104" s="23">
        <f>VLOOKUP(A104,вариация!A$2:G$805,2,FALSE)</f>
        <v>2.2360679774997894</v>
      </c>
      <c r="Q104" t="str">
        <f>IF(вариация!H105="Yes",IF(P107&lt;0.1,"X",IF(P107&lt;0.25,"Y","Z")),"")</f>
        <v/>
      </c>
      <c r="R104" t="str">
        <f>O104&amp;Q104</f>
        <v>AAA</v>
      </c>
    </row>
    <row r="105" spans="1:18" x14ac:dyDescent="0.25">
      <c r="A105" s="7" t="s">
        <v>264</v>
      </c>
      <c r="B105" s="8">
        <v>2</v>
      </c>
      <c r="C105" s="11">
        <v>1.2431155079799805E-3</v>
      </c>
      <c r="D105" s="12">
        <v>0.53764745720134088</v>
      </c>
      <c r="E105" t="s">
        <v>1238</v>
      </c>
      <c r="F105" s="8">
        <v>446</v>
      </c>
      <c r="G105" s="11">
        <v>1.2751313901952555E-3</v>
      </c>
      <c r="H105" s="12">
        <v>0.69750944177253849</v>
      </c>
      <c r="I105" t="s">
        <v>1238</v>
      </c>
      <c r="J105" s="8">
        <v>5</v>
      </c>
      <c r="K105">
        <v>12</v>
      </c>
      <c r="L105" s="11">
        <v>1.2431155079799796E-3</v>
      </c>
      <c r="M105" s="12">
        <v>0.53764745720134077</v>
      </c>
      <c r="N105" t="s">
        <v>1238</v>
      </c>
      <c r="O105" t="s">
        <v>1252</v>
      </c>
      <c r="P105" s="23">
        <f>VLOOKUP(A105,вариация!A$2:G$805,2,FALSE)</f>
        <v>1.3693063937629151</v>
      </c>
      <c r="Q105" t="str">
        <f>IF(вариация!H106="Yes",IF(P108&lt;0.1,"X",IF(P108&lt;0.25,"Y","Z")),"")</f>
        <v/>
      </c>
      <c r="R105" t="str">
        <f>O105&amp;Q105</f>
        <v>AAA</v>
      </c>
    </row>
    <row r="106" spans="1:18" x14ac:dyDescent="0.25">
      <c r="A106" s="7" t="s">
        <v>733</v>
      </c>
      <c r="B106" s="8">
        <v>1</v>
      </c>
      <c r="C106" s="11">
        <v>6.2155775398999025E-4</v>
      </c>
      <c r="D106" s="12">
        <v>0.73051682826443054</v>
      </c>
      <c r="E106" t="s">
        <v>1238</v>
      </c>
      <c r="F106" s="8">
        <v>306</v>
      </c>
      <c r="G106" s="11">
        <v>8.7486593138956991E-4</v>
      </c>
      <c r="H106" s="12">
        <v>0.81620929108341744</v>
      </c>
      <c r="I106" t="s">
        <v>1239</v>
      </c>
      <c r="J106" s="8">
        <v>5</v>
      </c>
      <c r="K106">
        <v>6</v>
      </c>
      <c r="L106" s="11">
        <v>6.2155775398998981E-4</v>
      </c>
      <c r="M106" s="12">
        <v>0.73051682826443043</v>
      </c>
      <c r="N106" t="s">
        <v>1238</v>
      </c>
      <c r="O106" t="s">
        <v>1253</v>
      </c>
      <c r="P106" s="23">
        <f>VLOOKUP(A106,вариация!A$2:G$805,2,FALSE)</f>
        <v>2.2360679774997894</v>
      </c>
      <c r="Q106" t="str">
        <f>IF(вариация!H107="Yes",IF(P109&lt;0.1,"X",IF(P109&lt;0.25,"Y","Z")),"")</f>
        <v/>
      </c>
      <c r="R106" t="str">
        <f>O106&amp;Q106</f>
        <v>ABA</v>
      </c>
    </row>
    <row r="107" spans="1:18" x14ac:dyDescent="0.25">
      <c r="A107" s="7" t="s">
        <v>1013</v>
      </c>
      <c r="B107" s="8">
        <v>3</v>
      </c>
      <c r="C107" s="11">
        <v>1.8646732619699705E-3</v>
      </c>
      <c r="D107" s="12">
        <v>0.42328083046718296</v>
      </c>
      <c r="E107" t="s">
        <v>1238</v>
      </c>
      <c r="F107" s="8">
        <v>423</v>
      </c>
      <c r="G107" s="11">
        <v>1.2093734933914643E-3</v>
      </c>
      <c r="H107" s="12">
        <v>0.71488668076268813</v>
      </c>
      <c r="I107" t="s">
        <v>1238</v>
      </c>
      <c r="J107" s="8">
        <v>5</v>
      </c>
      <c r="K107">
        <v>18</v>
      </c>
      <c r="L107" s="11">
        <v>1.8646732619699697E-3</v>
      </c>
      <c r="M107" s="12">
        <v>0.42328083046718279</v>
      </c>
      <c r="N107" t="s">
        <v>1238</v>
      </c>
      <c r="O107" t="s">
        <v>1252</v>
      </c>
      <c r="P107" s="23">
        <f>VLOOKUP(A107,вариация!A$2:G$805,2,FALSE)</f>
        <v>1.4907119849998598</v>
      </c>
      <c r="Q107" t="str">
        <f>IF(вариация!H108="Yes",IF(P110&lt;0.1,"X",IF(P110&lt;0.25,"Y","Z")),"")</f>
        <v/>
      </c>
      <c r="R107" t="str">
        <f>O107&amp;Q107</f>
        <v>AAA</v>
      </c>
    </row>
    <row r="108" spans="1:18" x14ac:dyDescent="0.25">
      <c r="A108" s="7" t="s">
        <v>393</v>
      </c>
      <c r="B108" s="8">
        <v>1</v>
      </c>
      <c r="C108" s="11">
        <v>6.2155775398999025E-4</v>
      </c>
      <c r="D108" s="12">
        <v>0.73113838601842052</v>
      </c>
      <c r="E108" t="s">
        <v>1238</v>
      </c>
      <c r="F108" s="8">
        <v>268</v>
      </c>
      <c r="G108" s="11">
        <v>7.6622244971374096E-4</v>
      </c>
      <c r="H108" s="12">
        <v>0.85191708706405822</v>
      </c>
      <c r="I108" t="s">
        <v>1239</v>
      </c>
      <c r="J108" s="8">
        <v>5</v>
      </c>
      <c r="K108">
        <v>6</v>
      </c>
      <c r="L108" s="11">
        <v>6.2155775398998981E-4</v>
      </c>
      <c r="M108" s="12">
        <v>0.73113838601842041</v>
      </c>
      <c r="N108" t="s">
        <v>1238</v>
      </c>
      <c r="O108" t="s">
        <v>1253</v>
      </c>
      <c r="P108" s="23">
        <f>VLOOKUP(A108,вариация!A$2:G$805,2,FALSE)</f>
        <v>2.2360679774997894</v>
      </c>
      <c r="Q108" t="str">
        <f>IF(вариация!H109="Yes",IF(P111&lt;0.1,"X",IF(P111&lt;0.25,"Y","Z")),"")</f>
        <v/>
      </c>
      <c r="R108" t="str">
        <f>O108&amp;Q108</f>
        <v>ABA</v>
      </c>
    </row>
    <row r="109" spans="1:18" x14ac:dyDescent="0.25">
      <c r="A109" s="7" t="s">
        <v>982</v>
      </c>
      <c r="B109" s="8">
        <v>1</v>
      </c>
      <c r="C109" s="11">
        <v>6.2155775398999025E-4</v>
      </c>
      <c r="D109" s="12">
        <v>0.73175994377241049</v>
      </c>
      <c r="E109" t="s">
        <v>1238</v>
      </c>
      <c r="F109" s="8">
        <v>615</v>
      </c>
      <c r="G109" s="11">
        <v>1.7583089797535473E-3</v>
      </c>
      <c r="H109" s="12">
        <v>0.56401343561359896</v>
      </c>
      <c r="I109" t="s">
        <v>1238</v>
      </c>
      <c r="J109" s="8">
        <v>5</v>
      </c>
      <c r="K109">
        <v>6</v>
      </c>
      <c r="L109" s="11">
        <v>6.2155775398998981E-4</v>
      </c>
      <c r="M109" s="12">
        <v>0.73175994377241038</v>
      </c>
      <c r="N109" t="s">
        <v>1238</v>
      </c>
      <c r="O109" t="s">
        <v>1252</v>
      </c>
      <c r="P109" s="23">
        <f>VLOOKUP(A109,вариация!A$2:G$805,2,FALSE)</f>
        <v>2.2360679774997894</v>
      </c>
      <c r="Q109" t="str">
        <f>IF(вариация!H110="Yes",IF(P112&lt;0.1,"X",IF(P112&lt;0.25,"Y","Z")),"")</f>
        <v/>
      </c>
      <c r="R109" t="str">
        <f>O109&amp;Q109</f>
        <v>AAA</v>
      </c>
    </row>
    <row r="110" spans="1:18" x14ac:dyDescent="0.25">
      <c r="A110" s="7" t="s">
        <v>956</v>
      </c>
      <c r="B110" s="8">
        <v>1</v>
      </c>
      <c r="C110" s="11">
        <v>6.2155775398999025E-4</v>
      </c>
      <c r="D110" s="12">
        <v>0.73238150152640047</v>
      </c>
      <c r="E110" t="s">
        <v>1238</v>
      </c>
      <c r="F110" s="8">
        <v>612</v>
      </c>
      <c r="G110" s="11">
        <v>1.7497318627791398E-3</v>
      </c>
      <c r="H110" s="12">
        <v>0.57454041718018856</v>
      </c>
      <c r="I110" t="s">
        <v>1238</v>
      </c>
      <c r="J110" s="8">
        <v>5</v>
      </c>
      <c r="K110">
        <v>6</v>
      </c>
      <c r="L110" s="11">
        <v>6.2155775398998981E-4</v>
      </c>
      <c r="M110" s="12">
        <v>0.73238150152640036</v>
      </c>
      <c r="N110" t="s">
        <v>1238</v>
      </c>
      <c r="O110" t="s">
        <v>1252</v>
      </c>
      <c r="P110" s="23">
        <f>VLOOKUP(A110,вариация!A$2:G$805,2,FALSE)</f>
        <v>2.2360679774997894</v>
      </c>
      <c r="Q110" t="str">
        <f>IF(вариация!H111="Yes",IF(P113&lt;0.1,"X",IF(P113&lt;0.25,"Y","Z")),"")</f>
        <v/>
      </c>
      <c r="R110" t="str">
        <f>O110&amp;Q110</f>
        <v>AAA</v>
      </c>
    </row>
    <row r="111" spans="1:18" x14ac:dyDescent="0.25">
      <c r="A111" s="7" t="s">
        <v>856</v>
      </c>
      <c r="B111" s="8">
        <v>1</v>
      </c>
      <c r="C111" s="11">
        <v>6.2155775398999025E-4</v>
      </c>
      <c r="D111" s="12">
        <v>0.73300305928039045</v>
      </c>
      <c r="E111" t="s">
        <v>1238</v>
      </c>
      <c r="F111" s="8">
        <v>383</v>
      </c>
      <c r="G111" s="11">
        <v>1.095011933732697E-3</v>
      </c>
      <c r="H111" s="12">
        <v>0.74821735732523564</v>
      </c>
      <c r="I111" t="s">
        <v>1238</v>
      </c>
      <c r="J111" s="8">
        <v>5</v>
      </c>
      <c r="K111">
        <v>6</v>
      </c>
      <c r="L111" s="11">
        <v>6.2155775398998981E-4</v>
      </c>
      <c r="M111" s="12">
        <v>0.73300305928039033</v>
      </c>
      <c r="N111" t="s">
        <v>1238</v>
      </c>
      <c r="O111" t="s">
        <v>1252</v>
      </c>
      <c r="P111" s="23">
        <f>VLOOKUP(A111,вариация!A$2:G$805,2,FALSE)</f>
        <v>2.2360679774997894</v>
      </c>
      <c r="Q111" t="str">
        <f>IF(вариация!H112="Yes",IF(P114&lt;0.1,"X",IF(P114&lt;0.25,"Y","Z")),"")</f>
        <v/>
      </c>
      <c r="R111" t="str">
        <f>O111&amp;Q111</f>
        <v>AAA</v>
      </c>
    </row>
    <row r="112" spans="1:18" x14ac:dyDescent="0.25">
      <c r="A112" s="7" t="s">
        <v>971</v>
      </c>
      <c r="B112" s="8">
        <v>1</v>
      </c>
      <c r="C112" s="11">
        <v>6.2155775398999025E-4</v>
      </c>
      <c r="D112" s="12">
        <v>0.73362461703438042</v>
      </c>
      <c r="E112" t="s">
        <v>1238</v>
      </c>
      <c r="F112" s="8">
        <v>341</v>
      </c>
      <c r="G112" s="11">
        <v>9.7493229609099132E-4</v>
      </c>
      <c r="H112" s="12">
        <v>0.78847000848609605</v>
      </c>
      <c r="I112" t="s">
        <v>1238</v>
      </c>
      <c r="J112" s="8">
        <v>5</v>
      </c>
      <c r="K112">
        <v>6</v>
      </c>
      <c r="L112" s="11">
        <v>6.2155775398998981E-4</v>
      </c>
      <c r="M112" s="12">
        <v>0.73362461703438031</v>
      </c>
      <c r="N112" t="s">
        <v>1238</v>
      </c>
      <c r="O112" t="s">
        <v>1252</v>
      </c>
      <c r="P112" s="23">
        <f>VLOOKUP(A112,вариация!A$2:G$805,2,FALSE)</f>
        <v>2.2360679774997894</v>
      </c>
      <c r="Q112" t="str">
        <f>IF(вариация!H113="Yes",IF(P115&lt;0.1,"X",IF(P115&lt;0.25,"Y","Z")),"")</f>
        <v/>
      </c>
      <c r="R112" t="str">
        <f>O112&amp;Q112</f>
        <v>AAA</v>
      </c>
    </row>
    <row r="113" spans="1:18" x14ac:dyDescent="0.25">
      <c r="A113" s="7" t="s">
        <v>278</v>
      </c>
      <c r="B113" s="8">
        <v>1</v>
      </c>
      <c r="C113" s="11">
        <v>6.2155775398999025E-4</v>
      </c>
      <c r="D113" s="12">
        <v>0.7342461747883704</v>
      </c>
      <c r="E113" t="s">
        <v>1238</v>
      </c>
      <c r="F113" s="8">
        <v>386</v>
      </c>
      <c r="G113" s="11">
        <v>1.1035890507071046E-3</v>
      </c>
      <c r="H113" s="12">
        <v>0.74602447441877873</v>
      </c>
      <c r="I113" t="s">
        <v>1238</v>
      </c>
      <c r="J113" s="8">
        <v>5</v>
      </c>
      <c r="K113">
        <v>6</v>
      </c>
      <c r="L113" s="11">
        <v>6.2155775398998981E-4</v>
      </c>
      <c r="M113" s="12">
        <v>0.73424617478837029</v>
      </c>
      <c r="N113" t="s">
        <v>1238</v>
      </c>
      <c r="O113" t="s">
        <v>1252</v>
      </c>
      <c r="P113" s="23">
        <f>VLOOKUP(A113,вариация!A$2:G$805,2,FALSE)</f>
        <v>2.2360679774997894</v>
      </c>
      <c r="Q113" t="str">
        <f>IF(вариация!H114="Yes",IF(P116&lt;0.1,"X",IF(P116&lt;0.25,"Y","Z")),"")</f>
        <v/>
      </c>
      <c r="R113" t="str">
        <f>O113&amp;Q113</f>
        <v>AAA</v>
      </c>
    </row>
    <row r="114" spans="1:18" x14ac:dyDescent="0.25">
      <c r="A114" s="7" t="s">
        <v>489</v>
      </c>
      <c r="B114" s="8">
        <v>1</v>
      </c>
      <c r="C114" s="11">
        <v>6.2155775398999025E-4</v>
      </c>
      <c r="D114" s="12">
        <v>0.73486773254236037</v>
      </c>
      <c r="E114" t="s">
        <v>1238</v>
      </c>
      <c r="F114" s="8">
        <v>838</v>
      </c>
      <c r="G114" s="11">
        <v>2.395874674851175E-3</v>
      </c>
      <c r="H114" s="12">
        <v>0.46677830094641187</v>
      </c>
      <c r="I114" t="s">
        <v>1238</v>
      </c>
      <c r="J114" s="8">
        <v>5</v>
      </c>
      <c r="K114">
        <v>6</v>
      </c>
      <c r="L114" s="11">
        <v>6.2155775398998981E-4</v>
      </c>
      <c r="M114" s="12">
        <v>0.73486773254236026</v>
      </c>
      <c r="N114" t="s">
        <v>1238</v>
      </c>
      <c r="O114" t="s">
        <v>1252</v>
      </c>
      <c r="P114" s="23">
        <f>VLOOKUP(A114,вариация!A$2:G$805,2,FALSE)</f>
        <v>2.2360679774997894</v>
      </c>
      <c r="Q114" t="str">
        <f>IF(вариация!H115="Yes",IF(P117&lt;0.1,"X",IF(P117&lt;0.25,"Y","Z")),"")</f>
        <v/>
      </c>
      <c r="R114" t="str">
        <f>O114&amp;Q114</f>
        <v>AAA</v>
      </c>
    </row>
    <row r="115" spans="1:18" x14ac:dyDescent="0.25">
      <c r="A115" s="7" t="s">
        <v>100</v>
      </c>
      <c r="B115" s="8">
        <v>1</v>
      </c>
      <c r="C115" s="11">
        <v>6.2155775398999025E-4</v>
      </c>
      <c r="D115" s="12">
        <v>0.73548929029635035</v>
      </c>
      <c r="E115" t="s">
        <v>1238</v>
      </c>
      <c r="F115" s="8">
        <v>67</v>
      </c>
      <c r="G115" s="11">
        <v>1.9155561242843524E-4</v>
      </c>
      <c r="H115" s="12">
        <v>0.98898930860058065</v>
      </c>
      <c r="I115" t="s">
        <v>1240</v>
      </c>
      <c r="J115" s="8">
        <v>5</v>
      </c>
      <c r="K115">
        <v>6</v>
      </c>
      <c r="L115" s="11">
        <v>6.2155775398998981E-4</v>
      </c>
      <c r="M115" s="12">
        <v>0.73548929029635024</v>
      </c>
      <c r="N115" t="s">
        <v>1238</v>
      </c>
      <c r="O115" t="s">
        <v>1254</v>
      </c>
      <c r="P115" s="23">
        <f>VLOOKUP(A115,вариация!A$2:G$805,2,FALSE)</f>
        <v>2.2360679774997894</v>
      </c>
      <c r="Q115" t="str">
        <f>IF(вариация!H116="Yes",IF(P118&lt;0.1,"X",IF(P118&lt;0.25,"Y","Z")),"")</f>
        <v/>
      </c>
      <c r="R115" t="str">
        <f>O115&amp;Q115</f>
        <v>ACA</v>
      </c>
    </row>
    <row r="116" spans="1:18" x14ac:dyDescent="0.25">
      <c r="A116" s="7" t="s">
        <v>863</v>
      </c>
      <c r="B116" s="8">
        <v>1</v>
      </c>
      <c r="C116" s="11">
        <v>6.2155775398999025E-4</v>
      </c>
      <c r="D116" s="12">
        <v>0.73611084805034033</v>
      </c>
      <c r="E116" t="s">
        <v>1238</v>
      </c>
      <c r="F116" s="8">
        <v>96</v>
      </c>
      <c r="G116" s="11">
        <v>2.7446774318104153E-4</v>
      </c>
      <c r="H116" s="12">
        <v>0.9717487888550026</v>
      </c>
      <c r="I116" t="s">
        <v>1240</v>
      </c>
      <c r="J116" s="8">
        <v>5</v>
      </c>
      <c r="K116">
        <v>6</v>
      </c>
      <c r="L116" s="11">
        <v>6.2155775398998981E-4</v>
      </c>
      <c r="M116" s="12">
        <v>0.73611084805034022</v>
      </c>
      <c r="N116" t="s">
        <v>1238</v>
      </c>
      <c r="O116" t="s">
        <v>1254</v>
      </c>
      <c r="P116" s="23">
        <f>VLOOKUP(A116,вариация!A$2:G$805,2,FALSE)</f>
        <v>2.2360679774997894</v>
      </c>
      <c r="Q116" t="str">
        <f>IF(вариация!H117="Yes",IF(P119&lt;0.1,"X",IF(P119&lt;0.25,"Y","Z")),"")</f>
        <v/>
      </c>
      <c r="R116" t="str">
        <f>O116&amp;Q116</f>
        <v>ACA</v>
      </c>
    </row>
    <row r="117" spans="1:18" x14ac:dyDescent="0.25">
      <c r="A117" s="7" t="s">
        <v>707</v>
      </c>
      <c r="B117" s="8">
        <v>3</v>
      </c>
      <c r="C117" s="11">
        <v>1.8646732619699705E-3</v>
      </c>
      <c r="D117" s="12">
        <v>0.42514550372915294</v>
      </c>
      <c r="E117" t="s">
        <v>1238</v>
      </c>
      <c r="F117" s="8">
        <v>129</v>
      </c>
      <c r="G117" s="11">
        <v>3.6881602989952459E-4</v>
      </c>
      <c r="H117" s="12">
        <v>0.94679203736573847</v>
      </c>
      <c r="I117" t="s">
        <v>1239</v>
      </c>
      <c r="J117" s="8">
        <v>5</v>
      </c>
      <c r="K117">
        <v>18</v>
      </c>
      <c r="L117" s="11">
        <v>1.8646732619699697E-3</v>
      </c>
      <c r="M117" s="12">
        <v>0.42514550372915277</v>
      </c>
      <c r="N117" t="s">
        <v>1238</v>
      </c>
      <c r="O117" t="s">
        <v>1253</v>
      </c>
      <c r="P117" s="23">
        <f>VLOOKUP(A117,вариация!A$2:G$805,2,FALSE)</f>
        <v>1.4907119849998598</v>
      </c>
      <c r="Q117" t="str">
        <f>IF(вариация!H118="Yes",IF(P120&lt;0.1,"X",IF(P120&lt;0.25,"Y","Z")),"")</f>
        <v/>
      </c>
      <c r="R117" t="str">
        <f>O117&amp;Q117</f>
        <v>ABA</v>
      </c>
    </row>
    <row r="118" spans="1:18" x14ac:dyDescent="0.25">
      <c r="A118" s="7" t="s">
        <v>1063</v>
      </c>
      <c r="B118" s="8">
        <v>1</v>
      </c>
      <c r="C118" s="11">
        <v>6.2155775398999025E-4</v>
      </c>
      <c r="D118" s="12">
        <v>0.7367324058043303</v>
      </c>
      <c r="E118" t="s">
        <v>1238</v>
      </c>
      <c r="F118" s="8">
        <v>114</v>
      </c>
      <c r="G118" s="11">
        <v>3.259304450274868E-4</v>
      </c>
      <c r="H118" s="12">
        <v>0.95902592239101492</v>
      </c>
      <c r="I118" t="s">
        <v>1240</v>
      </c>
      <c r="J118" s="8">
        <v>5</v>
      </c>
      <c r="K118">
        <v>6</v>
      </c>
      <c r="L118" s="11">
        <v>6.2155775398998981E-4</v>
      </c>
      <c r="M118" s="12">
        <v>0.73673240580433019</v>
      </c>
      <c r="N118" t="s">
        <v>1238</v>
      </c>
      <c r="O118" t="s">
        <v>1254</v>
      </c>
      <c r="P118" s="23">
        <f>VLOOKUP(A118,вариация!A$2:G$805,2,FALSE)</f>
        <v>2.2360679774997894</v>
      </c>
      <c r="Q118" t="str">
        <f>IF(вариация!H119="Yes",IF(P121&lt;0.1,"X",IF(P121&lt;0.25,"Y","Z")),"")</f>
        <v/>
      </c>
      <c r="R118" t="str">
        <f>O118&amp;Q118</f>
        <v>ACA</v>
      </c>
    </row>
    <row r="119" spans="1:18" x14ac:dyDescent="0.25">
      <c r="A119" s="7" t="s">
        <v>584</v>
      </c>
      <c r="B119" s="8">
        <v>1</v>
      </c>
      <c r="C119" s="11">
        <v>6.2155775398999025E-4</v>
      </c>
      <c r="D119" s="12">
        <v>0.73735396355832028</v>
      </c>
      <c r="E119" t="s">
        <v>1238</v>
      </c>
      <c r="F119" s="8">
        <v>51</v>
      </c>
      <c r="G119" s="11">
        <v>1.4581098856492831E-4</v>
      </c>
      <c r="H119" s="12">
        <v>0.9943732340043725</v>
      </c>
      <c r="I119" t="s">
        <v>1240</v>
      </c>
      <c r="J119" s="8">
        <v>5</v>
      </c>
      <c r="K119">
        <v>6</v>
      </c>
      <c r="L119" s="11">
        <v>6.2155775398998981E-4</v>
      </c>
      <c r="M119" s="12">
        <v>0.73735396355832017</v>
      </c>
      <c r="N119" t="s">
        <v>1238</v>
      </c>
      <c r="O119" t="s">
        <v>1254</v>
      </c>
      <c r="P119" s="23">
        <f>VLOOKUP(A119,вариация!A$2:G$805,2,FALSE)</f>
        <v>2.2360679774997894</v>
      </c>
      <c r="Q119" t="str">
        <f>IF(вариация!H120="Yes",IF(P122&lt;0.1,"X",IF(P122&lt;0.25,"Y","Z")),"")</f>
        <v/>
      </c>
      <c r="R119" t="str">
        <f>O119&amp;Q119</f>
        <v>ACA</v>
      </c>
    </row>
    <row r="120" spans="1:18" x14ac:dyDescent="0.25">
      <c r="A120" s="7" t="s">
        <v>329</v>
      </c>
      <c r="B120" s="8">
        <v>1</v>
      </c>
      <c r="C120" s="11">
        <v>6.2155775398999025E-4</v>
      </c>
      <c r="D120" s="12">
        <v>0.73797552131231026</v>
      </c>
      <c r="E120" t="s">
        <v>1238</v>
      </c>
      <c r="F120" s="8">
        <v>98</v>
      </c>
      <c r="G120" s="11">
        <v>2.8018582116397993E-4</v>
      </c>
      <c r="H120" s="12">
        <v>0.96953017459762247</v>
      </c>
      <c r="I120" t="s">
        <v>1240</v>
      </c>
      <c r="J120" s="8">
        <v>5</v>
      </c>
      <c r="K120">
        <v>6</v>
      </c>
      <c r="L120" s="11">
        <v>6.2155775398998981E-4</v>
      </c>
      <c r="M120" s="12">
        <v>0.73797552131231015</v>
      </c>
      <c r="N120" t="s">
        <v>1238</v>
      </c>
      <c r="O120" t="s">
        <v>1254</v>
      </c>
      <c r="P120" s="23">
        <f>VLOOKUP(A120,вариация!A$2:G$805,2,FALSE)</f>
        <v>2.2360679774997894</v>
      </c>
      <c r="Q120" t="str">
        <f>IF(вариация!H121="Yes",IF(P123&lt;0.1,"X",IF(P123&lt;0.25,"Y","Z")),"")</f>
        <v/>
      </c>
      <c r="R120" t="str">
        <f>O120&amp;Q120</f>
        <v>ACA</v>
      </c>
    </row>
    <row r="121" spans="1:18" x14ac:dyDescent="0.25">
      <c r="A121" s="7" t="s">
        <v>618</v>
      </c>
      <c r="B121" s="8">
        <v>3</v>
      </c>
      <c r="C121" s="11">
        <v>1.8646732619699705E-3</v>
      </c>
      <c r="D121" s="12">
        <v>0.42701017699112293</v>
      </c>
      <c r="E121" t="s">
        <v>1238</v>
      </c>
      <c r="F121" s="8">
        <v>126</v>
      </c>
      <c r="G121" s="11">
        <v>3.6023891292511704E-4</v>
      </c>
      <c r="H121" s="12">
        <v>0.94970002310474155</v>
      </c>
      <c r="I121" t="s">
        <v>1239</v>
      </c>
      <c r="J121" s="8">
        <v>5</v>
      </c>
      <c r="K121">
        <v>18</v>
      </c>
      <c r="L121" s="11">
        <v>1.8646732619699697E-3</v>
      </c>
      <c r="M121" s="12">
        <v>0.42701017699112276</v>
      </c>
      <c r="N121" t="s">
        <v>1238</v>
      </c>
      <c r="O121" t="s">
        <v>1253</v>
      </c>
      <c r="P121" s="23">
        <f>VLOOKUP(A121,вариация!A$2:G$805,2,FALSE)</f>
        <v>2.2360679774997898</v>
      </c>
      <c r="Q121" t="str">
        <f>IF(вариация!H122="Yes",IF(P124&lt;0.1,"X",IF(P124&lt;0.25,"Y","Z")),"")</f>
        <v/>
      </c>
      <c r="R121" t="str">
        <f>O121&amp;Q121</f>
        <v>ABA</v>
      </c>
    </row>
    <row r="122" spans="1:18" x14ac:dyDescent="0.25">
      <c r="A122" s="7" t="s">
        <v>645</v>
      </c>
      <c r="B122" s="8">
        <v>1</v>
      </c>
      <c r="C122" s="11">
        <v>6.2155775398999025E-4</v>
      </c>
      <c r="D122" s="12">
        <v>0.73859707906630023</v>
      </c>
      <c r="E122" t="s">
        <v>1238</v>
      </c>
      <c r="F122" s="8">
        <v>24</v>
      </c>
      <c r="G122" s="11">
        <v>6.8616935795260382E-5</v>
      </c>
      <c r="H122" s="12">
        <v>0.99965943127533785</v>
      </c>
      <c r="I122" t="s">
        <v>1240</v>
      </c>
      <c r="J122" s="8">
        <v>5</v>
      </c>
      <c r="K122">
        <v>6</v>
      </c>
      <c r="L122" s="11">
        <v>6.2155775398998981E-4</v>
      </c>
      <c r="M122" s="12">
        <v>0.73859707906630012</v>
      </c>
      <c r="N122" t="s">
        <v>1238</v>
      </c>
      <c r="O122" t="s">
        <v>1254</v>
      </c>
      <c r="P122" s="23">
        <f>VLOOKUP(A122,вариация!A$2:G$805,2,FALSE)</f>
        <v>2.2360679774997894</v>
      </c>
      <c r="Q122" t="str">
        <f>IF(вариация!H123="Yes",IF(P125&lt;0.1,"X",IF(P125&lt;0.25,"Y","Z")),"")</f>
        <v/>
      </c>
      <c r="R122" t="str">
        <f>O122&amp;Q122</f>
        <v>ACA</v>
      </c>
    </row>
    <row r="123" spans="1:18" x14ac:dyDescent="0.25">
      <c r="A123" s="7" t="s">
        <v>699</v>
      </c>
      <c r="B123" s="8">
        <v>1</v>
      </c>
      <c r="C123" s="11">
        <v>6.2155775398999025E-4</v>
      </c>
      <c r="D123" s="12">
        <v>0.73921863682029021</v>
      </c>
      <c r="E123" t="s">
        <v>1238</v>
      </c>
      <c r="F123" s="8">
        <v>94</v>
      </c>
      <c r="G123" s="11">
        <v>2.6874966519810318E-4</v>
      </c>
      <c r="H123" s="12">
        <v>0.97310969141494186</v>
      </c>
      <c r="I123" t="s">
        <v>1240</v>
      </c>
      <c r="J123" s="8">
        <v>5</v>
      </c>
      <c r="K123">
        <v>6</v>
      </c>
      <c r="L123" s="11">
        <v>6.2155775398998981E-4</v>
      </c>
      <c r="M123" s="12">
        <v>0.7392186368202901</v>
      </c>
      <c r="N123" t="s">
        <v>1238</v>
      </c>
      <c r="O123" t="s">
        <v>1254</v>
      </c>
      <c r="P123" s="23">
        <f>VLOOKUP(A123,вариация!A$2:G$805,2,FALSE)</f>
        <v>2.2360679774997894</v>
      </c>
      <c r="Q123" t="str">
        <f>IF(вариация!H124="Yes",IF(P126&lt;0.1,"X",IF(P126&lt;0.25,"Y","Z")),"")</f>
        <v/>
      </c>
      <c r="R123" t="str">
        <f>O123&amp;Q123</f>
        <v>ACA</v>
      </c>
    </row>
    <row r="124" spans="1:18" x14ac:dyDescent="0.25">
      <c r="A124" s="7" t="s">
        <v>944</v>
      </c>
      <c r="B124" s="8">
        <v>3</v>
      </c>
      <c r="C124" s="11">
        <v>1.8646732619699705E-3</v>
      </c>
      <c r="D124" s="12">
        <v>0.42887485025309291</v>
      </c>
      <c r="E124" t="s">
        <v>1238</v>
      </c>
      <c r="F124" s="8">
        <v>279</v>
      </c>
      <c r="G124" s="11">
        <v>7.97671878619902E-4</v>
      </c>
      <c r="H124" s="12">
        <v>0.83544330435618697</v>
      </c>
      <c r="I124" t="s">
        <v>1239</v>
      </c>
      <c r="J124" s="8">
        <v>5</v>
      </c>
      <c r="K124">
        <v>18</v>
      </c>
      <c r="L124" s="11">
        <v>1.8646732619699697E-3</v>
      </c>
      <c r="M124" s="12">
        <v>0.42887485025309274</v>
      </c>
      <c r="N124" t="s">
        <v>1238</v>
      </c>
      <c r="O124" t="s">
        <v>1253</v>
      </c>
      <c r="P124" s="23">
        <f>VLOOKUP(A124,вариация!A$2:G$805,2,FALSE)</f>
        <v>1.4907119849998598</v>
      </c>
      <c r="Q124" t="str">
        <f>IF(вариация!H125="Yes",IF(P127&lt;0.1,"X",IF(P127&lt;0.25,"Y","Z")),"")</f>
        <v/>
      </c>
      <c r="R124" t="str">
        <f>O124&amp;Q124</f>
        <v>ABA</v>
      </c>
    </row>
    <row r="125" spans="1:18" x14ac:dyDescent="0.25">
      <c r="A125" s="7" t="s">
        <v>158</v>
      </c>
      <c r="B125" s="8">
        <v>2</v>
      </c>
      <c r="C125" s="11">
        <v>1.2431155079799805E-3</v>
      </c>
      <c r="D125" s="12">
        <v>0.53889057270932084</v>
      </c>
      <c r="E125" t="s">
        <v>1238</v>
      </c>
      <c r="F125" s="8">
        <v>363</v>
      </c>
      <c r="G125" s="11">
        <v>1.0378311539033134E-3</v>
      </c>
      <c r="H125" s="12">
        <v>0.76632935322264939</v>
      </c>
      <c r="I125" t="s">
        <v>1238</v>
      </c>
      <c r="J125" s="8">
        <v>5</v>
      </c>
      <c r="K125">
        <v>12</v>
      </c>
      <c r="L125" s="11">
        <v>1.2431155079799796E-3</v>
      </c>
      <c r="M125" s="12">
        <v>0.53889057270932073</v>
      </c>
      <c r="N125" t="s">
        <v>1238</v>
      </c>
      <c r="O125" t="s">
        <v>1252</v>
      </c>
      <c r="P125" s="23">
        <f>VLOOKUP(A125,вариация!A$2:G$805,2,FALSE)</f>
        <v>1.3693063937629151</v>
      </c>
      <c r="Q125" t="str">
        <f>IF(вариация!H126="Yes",IF(P128&lt;0.1,"X",IF(P128&lt;0.25,"Y","Z")),"")</f>
        <v/>
      </c>
      <c r="R125" t="str">
        <f>O125&amp;Q125</f>
        <v>AAA</v>
      </c>
    </row>
    <row r="126" spans="1:18" x14ac:dyDescent="0.25">
      <c r="A126" s="7" t="s">
        <v>445</v>
      </c>
      <c r="B126" s="8">
        <v>2</v>
      </c>
      <c r="C126" s="11">
        <v>1.2431155079799805E-3</v>
      </c>
      <c r="D126" s="12">
        <v>0.54013368821730079</v>
      </c>
      <c r="E126" t="s">
        <v>1238</v>
      </c>
      <c r="F126" s="8">
        <v>353</v>
      </c>
      <c r="G126" s="11">
        <v>1.0092407639886215E-3</v>
      </c>
      <c r="H126" s="12">
        <v>0.77553545877518004</v>
      </c>
      <c r="I126" t="s">
        <v>1238</v>
      </c>
      <c r="J126" s="8">
        <v>5</v>
      </c>
      <c r="K126">
        <v>12</v>
      </c>
      <c r="L126" s="11">
        <v>1.2431155079799796E-3</v>
      </c>
      <c r="M126" s="12">
        <v>0.54013368821730068</v>
      </c>
      <c r="N126" t="s">
        <v>1238</v>
      </c>
      <c r="O126" t="s">
        <v>1252</v>
      </c>
      <c r="P126" s="23">
        <f>VLOOKUP(A126,вариация!A$2:G$805,2,FALSE)</f>
        <v>1.3693063937629151</v>
      </c>
      <c r="Q126" t="str">
        <f>IF(вариация!H127="Yes",IF(P129&lt;0.1,"X",IF(P129&lt;0.25,"Y","Z")),"")</f>
        <v/>
      </c>
      <c r="R126" t="str">
        <f>O126&amp;Q126</f>
        <v>AAA</v>
      </c>
    </row>
    <row r="127" spans="1:18" x14ac:dyDescent="0.25">
      <c r="A127" s="7" t="s">
        <v>646</v>
      </c>
      <c r="B127" s="8">
        <v>2</v>
      </c>
      <c r="C127" s="11">
        <v>1.2431155079799805E-3</v>
      </c>
      <c r="D127" s="12">
        <v>0.54137680372528074</v>
      </c>
      <c r="E127" t="s">
        <v>1238</v>
      </c>
      <c r="F127" s="8">
        <v>161.63</v>
      </c>
      <c r="G127" s="11">
        <v>4.6210647219116399E-4</v>
      </c>
      <c r="H127" s="12">
        <v>0.92772522069319041</v>
      </c>
      <c r="I127" t="s">
        <v>1239</v>
      </c>
      <c r="J127" s="8">
        <v>5</v>
      </c>
      <c r="K127">
        <v>12</v>
      </c>
      <c r="L127" s="11">
        <v>1.2431155079799796E-3</v>
      </c>
      <c r="M127" s="12">
        <v>0.54137680372528063</v>
      </c>
      <c r="N127" t="s">
        <v>1238</v>
      </c>
      <c r="O127" t="s">
        <v>1253</v>
      </c>
      <c r="P127" s="23">
        <f>VLOOKUP(A127,вариация!A$2:G$805,2,FALSE)</f>
        <v>1.3693063937629151</v>
      </c>
      <c r="Q127" t="str">
        <f>IF(вариация!H128="Yes",IF(P130&lt;0.1,"X",IF(P130&lt;0.25,"Y","Z")),"")</f>
        <v/>
      </c>
      <c r="R127" t="str">
        <f>O127&amp;Q127</f>
        <v>ABA</v>
      </c>
    </row>
    <row r="128" spans="1:18" x14ac:dyDescent="0.25">
      <c r="A128" s="7" t="s">
        <v>1208</v>
      </c>
      <c r="B128" s="8">
        <v>1</v>
      </c>
      <c r="C128" s="11">
        <v>6.2155775398999025E-4</v>
      </c>
      <c r="D128" s="12">
        <v>0.73984019457428019</v>
      </c>
      <c r="E128" t="s">
        <v>1238</v>
      </c>
      <c r="F128" s="8">
        <v>585</v>
      </c>
      <c r="G128" s="11">
        <v>1.6725378100094718E-3</v>
      </c>
      <c r="H128" s="12">
        <v>0.59672084167600636</v>
      </c>
      <c r="I128" t="s">
        <v>1238</v>
      </c>
      <c r="J128" s="8">
        <v>5</v>
      </c>
      <c r="K128">
        <v>6</v>
      </c>
      <c r="L128" s="11">
        <v>6.2155775398998981E-4</v>
      </c>
      <c r="M128" s="12">
        <v>0.73984019457428007</v>
      </c>
      <c r="N128" t="s">
        <v>1238</v>
      </c>
      <c r="O128" t="s">
        <v>1252</v>
      </c>
      <c r="P128" s="23">
        <f>VLOOKUP(A128,вариация!A$2:G$805,2,FALSE)</f>
        <v>2.2360679774997894</v>
      </c>
      <c r="Q128" t="str">
        <f>IF(вариация!H129="Yes",IF(P131&lt;0.1,"X",IF(P131&lt;0.25,"Y","Z")),"")</f>
        <v/>
      </c>
      <c r="R128" t="str">
        <f>O128&amp;Q128</f>
        <v>AAA</v>
      </c>
    </row>
    <row r="129" spans="1:18" x14ac:dyDescent="0.25">
      <c r="A129" s="7" t="s">
        <v>794</v>
      </c>
      <c r="B129" s="8">
        <v>2</v>
      </c>
      <c r="C129" s="11">
        <v>1.2431155079799805E-3</v>
      </c>
      <c r="D129" s="12">
        <v>0.54261991923326069</v>
      </c>
      <c r="E129" t="s">
        <v>1238</v>
      </c>
      <c r="F129" s="8">
        <v>440</v>
      </c>
      <c r="G129" s="11">
        <v>1.2579771562464404E-3</v>
      </c>
      <c r="H129" s="12">
        <v>0.70257565886542184</v>
      </c>
      <c r="I129" t="s">
        <v>1238</v>
      </c>
      <c r="J129" s="8">
        <v>5</v>
      </c>
      <c r="K129">
        <v>12</v>
      </c>
      <c r="L129" s="11">
        <v>1.2431155079799796E-3</v>
      </c>
      <c r="M129" s="12">
        <v>0.54261991923326058</v>
      </c>
      <c r="N129" t="s">
        <v>1238</v>
      </c>
      <c r="O129" t="s">
        <v>1252</v>
      </c>
      <c r="P129" s="23">
        <f>VLOOKUP(A129,вариация!A$2:G$805,2,FALSE)</f>
        <v>2.2360679774997894</v>
      </c>
      <c r="Q129" t="str">
        <f>IF(вариация!H130="Yes",IF(P132&lt;0.1,"X",IF(P132&lt;0.25,"Y","Z")),"")</f>
        <v/>
      </c>
      <c r="R129" t="str">
        <f>O129&amp;Q129</f>
        <v>AAA</v>
      </c>
    </row>
    <row r="130" spans="1:18" x14ac:dyDescent="0.25">
      <c r="A130" s="7" t="s">
        <v>73</v>
      </c>
      <c r="B130" s="8">
        <v>1</v>
      </c>
      <c r="C130" s="11">
        <v>6.2155775398999025E-4</v>
      </c>
      <c r="D130" s="12">
        <v>0.74046175232827016</v>
      </c>
      <c r="E130" t="s">
        <v>1238</v>
      </c>
      <c r="F130" s="8">
        <v>39</v>
      </c>
      <c r="G130" s="11">
        <v>1.1150252066729813E-4</v>
      </c>
      <c r="H130" s="12">
        <v>0.99731301797503868</v>
      </c>
      <c r="I130" t="s">
        <v>1240</v>
      </c>
      <c r="J130" s="8">
        <v>5</v>
      </c>
      <c r="K130">
        <v>6</v>
      </c>
      <c r="L130" s="11">
        <v>6.2155775398998981E-4</v>
      </c>
      <c r="M130" s="12">
        <v>0.74046175232827005</v>
      </c>
      <c r="N130" t="s">
        <v>1238</v>
      </c>
      <c r="O130" t="s">
        <v>1254</v>
      </c>
      <c r="P130" s="23">
        <f>VLOOKUP(A130,вариация!A$2:G$805,2,FALSE)</f>
        <v>2.2360679774997894</v>
      </c>
      <c r="Q130" t="str">
        <f>IF(вариация!H131="Yes",IF(P133&lt;0.1,"X",IF(P133&lt;0.25,"Y","Z")),"")</f>
        <v/>
      </c>
      <c r="R130" t="str">
        <f>O130&amp;Q130</f>
        <v>ACA</v>
      </c>
    </row>
    <row r="131" spans="1:18" x14ac:dyDescent="0.25">
      <c r="A131" s="7" t="s">
        <v>777</v>
      </c>
      <c r="B131" s="8">
        <v>1</v>
      </c>
      <c r="C131" s="11">
        <v>6.2155775398999025E-4</v>
      </c>
      <c r="D131" s="12">
        <v>0.74108331008226014</v>
      </c>
      <c r="E131" t="s">
        <v>1238</v>
      </c>
      <c r="F131" s="8">
        <v>32</v>
      </c>
      <c r="G131" s="11">
        <v>9.1489247727013847E-5</v>
      </c>
      <c r="H131" s="12">
        <v>0.99863675302808919</v>
      </c>
      <c r="I131" t="s">
        <v>1240</v>
      </c>
      <c r="J131" s="8">
        <v>5</v>
      </c>
      <c r="K131">
        <v>6</v>
      </c>
      <c r="L131" s="11">
        <v>6.2155775398998981E-4</v>
      </c>
      <c r="M131" s="12">
        <v>0.74108331008226003</v>
      </c>
      <c r="N131" t="s">
        <v>1238</v>
      </c>
      <c r="O131" t="s">
        <v>1254</v>
      </c>
      <c r="P131" s="23">
        <f>VLOOKUP(A131,вариация!A$2:G$805,2,FALSE)</f>
        <v>2.2360679774997894</v>
      </c>
      <c r="Q131" t="str">
        <f>IF(вариация!H132="Yes",IF(P134&lt;0.1,"X",IF(P134&lt;0.25,"Y","Z")),"")</f>
        <v/>
      </c>
      <c r="R131" t="str">
        <f>O131&amp;Q131</f>
        <v>ACA</v>
      </c>
    </row>
    <row r="132" spans="1:18" x14ac:dyDescent="0.25">
      <c r="A132" s="7" t="s">
        <v>616</v>
      </c>
      <c r="B132" s="8">
        <v>1</v>
      </c>
      <c r="C132" s="11">
        <v>6.2155775398999025E-4</v>
      </c>
      <c r="D132" s="12">
        <v>0.74170486783625011</v>
      </c>
      <c r="E132" t="s">
        <v>1238</v>
      </c>
      <c r="F132" s="8">
        <v>37</v>
      </c>
      <c r="G132" s="11">
        <v>1.0578444268435977E-4</v>
      </c>
      <c r="H132" s="12">
        <v>0.99763894842006617</v>
      </c>
      <c r="I132" t="s">
        <v>1240</v>
      </c>
      <c r="J132" s="8">
        <v>5</v>
      </c>
      <c r="K132">
        <v>6</v>
      </c>
      <c r="L132" s="11">
        <v>6.2155775398998981E-4</v>
      </c>
      <c r="M132" s="12">
        <v>0.74170486783625</v>
      </c>
      <c r="N132" t="s">
        <v>1238</v>
      </c>
      <c r="O132" t="s">
        <v>1254</v>
      </c>
      <c r="P132" s="23">
        <f>VLOOKUP(A132,вариация!A$2:G$805,2,FALSE)</f>
        <v>2.2360679774997894</v>
      </c>
      <c r="Q132" t="str">
        <f>IF(вариация!H133="Yes",IF(P135&lt;0.1,"X",IF(P135&lt;0.25,"Y","Z")),"")</f>
        <v/>
      </c>
      <c r="R132" t="str">
        <f>O132&amp;Q132</f>
        <v>ACA</v>
      </c>
    </row>
    <row r="133" spans="1:18" x14ac:dyDescent="0.25">
      <c r="A133" s="7" t="s">
        <v>883</v>
      </c>
      <c r="B133" s="8">
        <v>1</v>
      </c>
      <c r="C133" s="11">
        <v>6.2155775398999025E-4</v>
      </c>
      <c r="D133" s="12">
        <v>0.74232642559024009</v>
      </c>
      <c r="E133" t="s">
        <v>1238</v>
      </c>
      <c r="F133" s="8">
        <v>138</v>
      </c>
      <c r="G133" s="11">
        <v>3.9454738082274723E-4</v>
      </c>
      <c r="H133" s="12">
        <v>0.94222329305737085</v>
      </c>
      <c r="I133" t="s">
        <v>1239</v>
      </c>
      <c r="J133" s="8">
        <v>5</v>
      </c>
      <c r="K133">
        <v>6</v>
      </c>
      <c r="L133" s="11">
        <v>6.2155775398998981E-4</v>
      </c>
      <c r="M133" s="12">
        <v>0.74232642559023998</v>
      </c>
      <c r="N133" t="s">
        <v>1238</v>
      </c>
      <c r="O133" t="s">
        <v>1253</v>
      </c>
      <c r="P133" s="23">
        <f>VLOOKUP(A133,вариация!A$2:G$805,2,FALSE)</f>
        <v>2.2360679774997894</v>
      </c>
      <c r="Q133" t="str">
        <f>IF(вариация!H134="Yes",IF(P136&lt;0.1,"X",IF(P136&lt;0.25,"Y","Z")),"")</f>
        <v/>
      </c>
      <c r="R133" t="str">
        <f>O133&amp;Q133</f>
        <v>ABA</v>
      </c>
    </row>
    <row r="134" spans="1:18" x14ac:dyDescent="0.25">
      <c r="A134" s="7" t="s">
        <v>586</v>
      </c>
      <c r="B134" s="8">
        <v>22</v>
      </c>
      <c r="C134" s="11">
        <v>1.3674270587779784E-2</v>
      </c>
      <c r="D134" s="12">
        <v>0.10939416470223828</v>
      </c>
      <c r="E134" t="s">
        <v>1238</v>
      </c>
      <c r="F134" s="8">
        <v>278</v>
      </c>
      <c r="G134" s="11">
        <v>7.9481283962843275E-4</v>
      </c>
      <c r="H134" s="12">
        <v>0.83942880471029502</v>
      </c>
      <c r="I134" t="s">
        <v>1239</v>
      </c>
      <c r="J134" s="8">
        <v>5</v>
      </c>
      <c r="K134">
        <v>132</v>
      </c>
      <c r="L134" s="11">
        <v>1.3674270587779777E-2</v>
      </c>
      <c r="M134" s="12">
        <v>0.1093941647022382</v>
      </c>
      <c r="N134" t="s">
        <v>1238</v>
      </c>
      <c r="O134" t="s">
        <v>1253</v>
      </c>
      <c r="P134" s="23">
        <f>VLOOKUP(A134,вариация!A$2:G$805,2,FALSE)</f>
        <v>2.2360679774997894</v>
      </c>
      <c r="Q134" t="str">
        <f>IF(вариация!H135="Yes",IF(P137&lt;0.1,"X",IF(P137&lt;0.25,"Y","Z")),"")</f>
        <v/>
      </c>
      <c r="R134" t="str">
        <f>O134&amp;Q134</f>
        <v>ABA</v>
      </c>
    </row>
    <row r="135" spans="1:18" x14ac:dyDescent="0.25">
      <c r="A135" s="7" t="s">
        <v>249</v>
      </c>
      <c r="B135" s="8">
        <v>2</v>
      </c>
      <c r="C135" s="11">
        <v>1.2431155079799805E-3</v>
      </c>
      <c r="D135" s="12">
        <v>0.54386303474124065</v>
      </c>
      <c r="E135" t="s">
        <v>1238</v>
      </c>
      <c r="F135" s="8">
        <v>80</v>
      </c>
      <c r="G135" s="11">
        <v>2.2872311931753462E-4</v>
      </c>
      <c r="H135" s="12">
        <v>0.98087707136618574</v>
      </c>
      <c r="I135" t="s">
        <v>1240</v>
      </c>
      <c r="J135" s="8">
        <v>5</v>
      </c>
      <c r="K135">
        <v>12</v>
      </c>
      <c r="L135" s="11">
        <v>1.2431155079799796E-3</v>
      </c>
      <c r="M135" s="12">
        <v>0.54386303474124054</v>
      </c>
      <c r="N135" t="s">
        <v>1238</v>
      </c>
      <c r="O135" t="s">
        <v>1254</v>
      </c>
      <c r="P135" s="23">
        <f>VLOOKUP(A135,вариация!A$2:G$805,2,FALSE)</f>
        <v>2.2360679774997894</v>
      </c>
      <c r="Q135" t="str">
        <f>IF(вариация!H136="Yes",IF(P138&lt;0.1,"X",IF(P138&lt;0.25,"Y","Z")),"")</f>
        <v/>
      </c>
      <c r="R135" t="str">
        <f>O135&amp;Q135</f>
        <v>ACA</v>
      </c>
    </row>
    <row r="136" spans="1:18" x14ac:dyDescent="0.25">
      <c r="A136" s="7" t="s">
        <v>984</v>
      </c>
      <c r="B136" s="8">
        <v>2</v>
      </c>
      <c r="C136" s="11">
        <v>1.2431155079799805E-3</v>
      </c>
      <c r="D136" s="12">
        <v>0.5451061502492206</v>
      </c>
      <c r="E136" t="s">
        <v>1238</v>
      </c>
      <c r="F136" s="8">
        <v>264</v>
      </c>
      <c r="G136" s="11">
        <v>7.5478629374786427E-4</v>
      </c>
      <c r="H136" s="12">
        <v>0.8564829723334344</v>
      </c>
      <c r="I136" t="s">
        <v>1239</v>
      </c>
      <c r="J136" s="8">
        <v>5</v>
      </c>
      <c r="K136">
        <v>12</v>
      </c>
      <c r="L136" s="11">
        <v>1.2431155079799796E-3</v>
      </c>
      <c r="M136" s="12">
        <v>0.54510615024922049</v>
      </c>
      <c r="N136" t="s">
        <v>1238</v>
      </c>
      <c r="O136" t="s">
        <v>1253</v>
      </c>
      <c r="P136" s="23">
        <f>VLOOKUP(A136,вариация!A$2:G$805,2,FALSE)</f>
        <v>1.3693063937629151</v>
      </c>
      <c r="Q136" t="str">
        <f>IF(вариация!H137="Yes",IF(P139&lt;0.1,"X",IF(P139&lt;0.25,"Y","Z")),"")</f>
        <v/>
      </c>
      <c r="R136" t="str">
        <f>O136&amp;Q136</f>
        <v>ABA</v>
      </c>
    </row>
    <row r="137" spans="1:18" x14ac:dyDescent="0.25">
      <c r="A137" s="7" t="s">
        <v>234</v>
      </c>
      <c r="B137" s="8">
        <v>1</v>
      </c>
      <c r="C137" s="11">
        <v>6.2155775398999025E-4</v>
      </c>
      <c r="D137" s="12">
        <v>0.74294798334423007</v>
      </c>
      <c r="E137" t="s">
        <v>1238</v>
      </c>
      <c r="F137" s="8">
        <v>15</v>
      </c>
      <c r="G137" s="11">
        <v>4.2885584872037744E-5</v>
      </c>
      <c r="H137" s="12">
        <v>0.99993103997952737</v>
      </c>
      <c r="I137" t="s">
        <v>1240</v>
      </c>
      <c r="J137" s="8">
        <v>5</v>
      </c>
      <c r="K137">
        <v>6</v>
      </c>
      <c r="L137" s="11">
        <v>6.2155775398998981E-4</v>
      </c>
      <c r="M137" s="12">
        <v>0.74294798334422996</v>
      </c>
      <c r="N137" t="s">
        <v>1238</v>
      </c>
      <c r="O137" t="s">
        <v>1254</v>
      </c>
      <c r="P137" s="23">
        <f>VLOOKUP(A137,вариация!A$2:G$805,2,FALSE)</f>
        <v>2.2360679774997894</v>
      </c>
      <c r="Q137" t="str">
        <f>IF(вариация!H138="Yes",IF(P140&lt;0.1,"X",IF(P140&lt;0.25,"Y","Z")),"")</f>
        <v/>
      </c>
      <c r="R137" t="str">
        <f>O137&amp;Q137</f>
        <v>ACA</v>
      </c>
    </row>
    <row r="138" spans="1:18" x14ac:dyDescent="0.25">
      <c r="A138" s="7" t="s">
        <v>674</v>
      </c>
      <c r="B138" s="8">
        <v>5</v>
      </c>
      <c r="C138" s="11">
        <v>3.1077887699499512E-3</v>
      </c>
      <c r="D138" s="12">
        <v>0.32631782084474453</v>
      </c>
      <c r="E138" t="s">
        <v>1238</v>
      </c>
      <c r="F138" s="8">
        <v>126</v>
      </c>
      <c r="G138" s="11">
        <v>3.6023891292511704E-4</v>
      </c>
      <c r="H138" s="12">
        <v>0.95006026201766669</v>
      </c>
      <c r="I138" t="s">
        <v>1240</v>
      </c>
      <c r="J138" s="8">
        <v>5</v>
      </c>
      <c r="K138">
        <v>30</v>
      </c>
      <c r="L138" s="11">
        <v>3.1077887699499491E-3</v>
      </c>
      <c r="M138" s="12">
        <v>0.32631782084474437</v>
      </c>
      <c r="N138" t="s">
        <v>1238</v>
      </c>
      <c r="O138" t="s">
        <v>1254</v>
      </c>
      <c r="P138" s="23">
        <f>VLOOKUP(A138,вариация!A$2:G$805,2,FALSE)</f>
        <v>1</v>
      </c>
      <c r="Q138" t="str">
        <f>IF(вариация!H139="Yes",IF(P141&lt;0.1,"X",IF(P141&lt;0.25,"Y","Z")),"")</f>
        <v>Z</v>
      </c>
      <c r="R138" t="str">
        <f>O138&amp;Q138</f>
        <v>ACAZ</v>
      </c>
    </row>
    <row r="139" spans="1:18" x14ac:dyDescent="0.25">
      <c r="A139" s="7" t="s">
        <v>1060</v>
      </c>
      <c r="B139" s="8">
        <v>1</v>
      </c>
      <c r="C139" s="11">
        <v>6.2155775398999025E-4</v>
      </c>
      <c r="D139" s="12">
        <v>0.74356954109822004</v>
      </c>
      <c r="E139" t="s">
        <v>1238</v>
      </c>
      <c r="F139" s="8">
        <v>713</v>
      </c>
      <c r="G139" s="11">
        <v>2.0384948009175272E-3</v>
      </c>
      <c r="H139" s="12">
        <v>0.51066546433535465</v>
      </c>
      <c r="I139" t="s">
        <v>1238</v>
      </c>
      <c r="J139" s="8">
        <v>5</v>
      </c>
      <c r="K139">
        <v>6</v>
      </c>
      <c r="L139" s="11">
        <v>6.2155775398998981E-4</v>
      </c>
      <c r="M139" s="12">
        <v>0.74356954109821993</v>
      </c>
      <c r="N139" t="s">
        <v>1238</v>
      </c>
      <c r="O139" t="s">
        <v>1252</v>
      </c>
      <c r="P139" s="23">
        <f>VLOOKUP(A139,вариация!A$2:G$805,2,FALSE)</f>
        <v>2.2360679774997894</v>
      </c>
      <c r="Q139" t="str">
        <f>IF(вариация!H140="Yes",IF(P142&lt;0.1,"X",IF(P142&lt;0.25,"Y","Z")),"")</f>
        <v/>
      </c>
      <c r="R139" t="str">
        <f>O139&amp;Q139</f>
        <v>AAA</v>
      </c>
    </row>
    <row r="140" spans="1:18" x14ac:dyDescent="0.25">
      <c r="A140" s="7" t="s">
        <v>938</v>
      </c>
      <c r="B140" s="8">
        <v>1</v>
      </c>
      <c r="C140" s="11">
        <v>6.2155775398999025E-4</v>
      </c>
      <c r="D140" s="12">
        <v>0.74419109885221002</v>
      </c>
      <c r="E140" t="s">
        <v>1238</v>
      </c>
      <c r="F140" s="8">
        <v>159</v>
      </c>
      <c r="G140" s="11">
        <v>4.5458719964360005E-4</v>
      </c>
      <c r="H140" s="12">
        <v>0.93001245188636583</v>
      </c>
      <c r="I140" t="s">
        <v>1239</v>
      </c>
      <c r="J140" s="8">
        <v>5</v>
      </c>
      <c r="K140">
        <v>6</v>
      </c>
      <c r="L140" s="11">
        <v>6.2155775398998981E-4</v>
      </c>
      <c r="M140" s="12">
        <v>0.74419109885220991</v>
      </c>
      <c r="N140" t="s">
        <v>1238</v>
      </c>
      <c r="O140" t="s">
        <v>1253</v>
      </c>
      <c r="P140" s="23">
        <f>VLOOKUP(A140,вариация!A$2:G$805,2,FALSE)</f>
        <v>2.2360679774997894</v>
      </c>
      <c r="Q140" t="str">
        <f>IF(вариация!H141="Yes",IF(P143&lt;0.1,"X",IF(P143&lt;0.25,"Y","Z")),"")</f>
        <v/>
      </c>
      <c r="R140" t="str">
        <f>O140&amp;Q140</f>
        <v>ABA</v>
      </c>
    </row>
    <row r="141" spans="1:18" x14ac:dyDescent="0.25">
      <c r="A141" s="7" t="s">
        <v>800</v>
      </c>
      <c r="B141" s="8">
        <v>2</v>
      </c>
      <c r="C141" s="11">
        <v>1.2431155079799805E-3</v>
      </c>
      <c r="D141" s="12">
        <v>0.54634926575720055</v>
      </c>
      <c r="E141" t="s">
        <v>1238</v>
      </c>
      <c r="F141" s="8">
        <v>100</v>
      </c>
      <c r="G141" s="11">
        <v>2.8590389914691827E-4</v>
      </c>
      <c r="H141" s="12">
        <v>0.9681178093358368</v>
      </c>
      <c r="I141" t="s">
        <v>1240</v>
      </c>
      <c r="J141" s="8">
        <v>5</v>
      </c>
      <c r="K141">
        <v>12</v>
      </c>
      <c r="L141" s="11">
        <v>1.2431155079799796E-3</v>
      </c>
      <c r="M141" s="12">
        <v>0.54634926575720044</v>
      </c>
      <c r="N141" t="s">
        <v>1238</v>
      </c>
      <c r="O141" t="s">
        <v>1254</v>
      </c>
      <c r="P141" s="23">
        <f>VLOOKUP(A141,вариация!A$2:G$805,2,FALSE)</f>
        <v>2.2360679774997894</v>
      </c>
      <c r="Q141" t="str">
        <f>IF(вариация!H142="Yes",IF(P144&lt;0.1,"X",IF(P144&lt;0.25,"Y","Z")),"")</f>
        <v/>
      </c>
      <c r="R141" t="str">
        <f>O141&amp;Q141</f>
        <v>ACA</v>
      </c>
    </row>
    <row r="142" spans="1:18" x14ac:dyDescent="0.25">
      <c r="A142" s="7" t="s">
        <v>1146</v>
      </c>
      <c r="B142" s="8">
        <v>1</v>
      </c>
      <c r="C142" s="11">
        <v>6.2155775398999025E-4</v>
      </c>
      <c r="D142" s="12">
        <v>0.7448126566062</v>
      </c>
      <c r="E142" t="s">
        <v>1238</v>
      </c>
      <c r="F142" s="8">
        <v>127</v>
      </c>
      <c r="G142" s="11">
        <v>3.6309795191658619E-4</v>
      </c>
      <c r="H142" s="12">
        <v>0.94788750674570976</v>
      </c>
      <c r="I142" t="s">
        <v>1239</v>
      </c>
      <c r="J142" s="8">
        <v>5</v>
      </c>
      <c r="K142">
        <v>6</v>
      </c>
      <c r="L142" s="11">
        <v>6.2155775398998981E-4</v>
      </c>
      <c r="M142" s="12">
        <v>0.74481265660619989</v>
      </c>
      <c r="N142" t="s">
        <v>1238</v>
      </c>
      <c r="O142" t="s">
        <v>1253</v>
      </c>
      <c r="P142" s="23">
        <f>VLOOKUP(A142,вариация!A$2:G$805,2,FALSE)</f>
        <v>2.2360679774997894</v>
      </c>
      <c r="Q142" t="str">
        <f>IF(вариация!H143="Yes",IF(P145&lt;0.1,"X",IF(P145&lt;0.25,"Y","Z")),"")</f>
        <v/>
      </c>
      <c r="R142" t="str">
        <f>O142&amp;Q142</f>
        <v>ABA</v>
      </c>
    </row>
    <row r="143" spans="1:18" x14ac:dyDescent="0.25">
      <c r="A143" s="7" t="s">
        <v>796</v>
      </c>
      <c r="B143" s="8">
        <v>1</v>
      </c>
      <c r="C143" s="11">
        <v>6.2155775398999025E-4</v>
      </c>
      <c r="D143" s="12">
        <v>0.74543421436018997</v>
      </c>
      <c r="E143" t="s">
        <v>1238</v>
      </c>
      <c r="F143" s="8">
        <v>613</v>
      </c>
      <c r="G143" s="11">
        <v>1.752590901770609E-3</v>
      </c>
      <c r="H143" s="12">
        <v>0.5710380944156388</v>
      </c>
      <c r="I143" t="s">
        <v>1238</v>
      </c>
      <c r="J143" s="8">
        <v>5</v>
      </c>
      <c r="K143">
        <v>6</v>
      </c>
      <c r="L143" s="11">
        <v>6.2155775398998981E-4</v>
      </c>
      <c r="M143" s="12">
        <v>0.74543421436018986</v>
      </c>
      <c r="N143" t="s">
        <v>1238</v>
      </c>
      <c r="O143" t="s">
        <v>1252</v>
      </c>
      <c r="P143" s="23">
        <f>VLOOKUP(A143,вариация!A$2:G$805,2,FALSE)</f>
        <v>2.2360679774997894</v>
      </c>
      <c r="Q143" t="str">
        <f>IF(вариация!H144="Yes",IF(P146&lt;0.1,"X",IF(P146&lt;0.25,"Y","Z")),"")</f>
        <v/>
      </c>
      <c r="R143" t="str">
        <f>O143&amp;Q143</f>
        <v>AAA</v>
      </c>
    </row>
    <row r="144" spans="1:18" x14ac:dyDescent="0.25">
      <c r="A144" s="7" t="s">
        <v>374</v>
      </c>
      <c r="B144" s="8">
        <v>1</v>
      </c>
      <c r="C144" s="11">
        <v>6.2155775398999025E-4</v>
      </c>
      <c r="D144" s="12">
        <v>0.74605577211417995</v>
      </c>
      <c r="E144" t="s">
        <v>1238</v>
      </c>
      <c r="F144" s="8">
        <v>173</v>
      </c>
      <c r="G144" s="11">
        <v>4.9461374552416863E-4</v>
      </c>
      <c r="H144" s="12">
        <v>0.9200411817285481</v>
      </c>
      <c r="I144" t="s">
        <v>1239</v>
      </c>
      <c r="J144" s="8">
        <v>5</v>
      </c>
      <c r="K144">
        <v>6</v>
      </c>
      <c r="L144" s="11">
        <v>6.2155775398998981E-4</v>
      </c>
      <c r="M144" s="12">
        <v>0.74605577211417984</v>
      </c>
      <c r="N144" t="s">
        <v>1238</v>
      </c>
      <c r="O144" t="s">
        <v>1253</v>
      </c>
      <c r="P144" s="23">
        <f>VLOOKUP(A144,вариация!A$2:G$805,2,FALSE)</f>
        <v>2.2360679774997894</v>
      </c>
      <c r="Q144" t="str">
        <f>IF(вариация!H145="Yes",IF(P147&lt;0.1,"X",IF(P147&lt;0.25,"Y","Z")),"")</f>
        <v/>
      </c>
      <c r="R144" t="str">
        <f>O144&amp;Q144</f>
        <v>ABA</v>
      </c>
    </row>
    <row r="145" spans="1:18" x14ac:dyDescent="0.25">
      <c r="A145" s="7" t="s">
        <v>966</v>
      </c>
      <c r="B145" s="8">
        <v>2</v>
      </c>
      <c r="C145" s="11">
        <v>1.2431155079799805E-3</v>
      </c>
      <c r="D145" s="12">
        <v>0.54759238126518051</v>
      </c>
      <c r="E145" t="s">
        <v>1238</v>
      </c>
      <c r="F145" s="8">
        <v>72</v>
      </c>
      <c r="G145" s="11">
        <v>2.0585080738578116E-4</v>
      </c>
      <c r="H145" s="12">
        <v>0.98698512226756063</v>
      </c>
      <c r="I145" t="s">
        <v>1240</v>
      </c>
      <c r="J145" s="8">
        <v>5</v>
      </c>
      <c r="K145">
        <v>12</v>
      </c>
      <c r="L145" s="11">
        <v>1.2431155079799796E-3</v>
      </c>
      <c r="M145" s="12">
        <v>0.54759238126518039</v>
      </c>
      <c r="N145" t="s">
        <v>1238</v>
      </c>
      <c r="O145" t="s">
        <v>1254</v>
      </c>
      <c r="P145" s="23">
        <f>VLOOKUP(A145,вариация!A$2:G$805,2,FALSE)</f>
        <v>1.3693063937629151</v>
      </c>
      <c r="Q145" t="str">
        <f>IF(вариация!H146="Yes",IF(P148&lt;0.1,"X",IF(P148&lt;0.25,"Y","Z")),"")</f>
        <v/>
      </c>
      <c r="R145" t="str">
        <f>O145&amp;Q145</f>
        <v>ACA</v>
      </c>
    </row>
    <row r="146" spans="1:18" x14ac:dyDescent="0.25">
      <c r="A146" s="7" t="s">
        <v>325</v>
      </c>
      <c r="B146" s="8">
        <v>2</v>
      </c>
      <c r="C146" s="11">
        <v>1.2431155079799805E-3</v>
      </c>
      <c r="D146" s="12">
        <v>0.54883549677316046</v>
      </c>
      <c r="E146" t="s">
        <v>1238</v>
      </c>
      <c r="F146" s="8">
        <v>142</v>
      </c>
      <c r="G146" s="11">
        <v>4.0598353678862392E-4</v>
      </c>
      <c r="H146" s="12">
        <v>0.93821492039133114</v>
      </c>
      <c r="I146" t="s">
        <v>1239</v>
      </c>
      <c r="J146" s="8">
        <v>5</v>
      </c>
      <c r="K146">
        <v>12</v>
      </c>
      <c r="L146" s="11">
        <v>1.2431155079799796E-3</v>
      </c>
      <c r="M146" s="12">
        <v>0.54883549677316035</v>
      </c>
      <c r="N146" t="s">
        <v>1238</v>
      </c>
      <c r="O146" t="s">
        <v>1253</v>
      </c>
      <c r="P146" s="23">
        <f>VLOOKUP(A146,вариация!A$2:G$805,2,FALSE)</f>
        <v>2.2360679774997894</v>
      </c>
      <c r="Q146" t="str">
        <f>IF(вариация!H147="Yes",IF(P149&lt;0.1,"X",IF(P149&lt;0.25,"Y","Z")),"")</f>
        <v/>
      </c>
      <c r="R146" t="str">
        <f>O146&amp;Q146</f>
        <v>ABA</v>
      </c>
    </row>
    <row r="147" spans="1:18" x14ac:dyDescent="0.25">
      <c r="A147" s="7" t="s">
        <v>1178</v>
      </c>
      <c r="B147" s="8">
        <v>1</v>
      </c>
      <c r="C147" s="11">
        <v>6.2155775398999025E-4</v>
      </c>
      <c r="D147" s="12">
        <v>0.74667732986816993</v>
      </c>
      <c r="E147" t="s">
        <v>1238</v>
      </c>
      <c r="F147" s="8">
        <v>203</v>
      </c>
      <c r="G147" s="11">
        <v>5.8038491526824409E-4</v>
      </c>
      <c r="H147" s="12">
        <v>0.9033785881141273</v>
      </c>
      <c r="I147" t="s">
        <v>1239</v>
      </c>
      <c r="J147" s="8">
        <v>5</v>
      </c>
      <c r="K147">
        <v>6</v>
      </c>
      <c r="L147" s="11">
        <v>6.2155775398998981E-4</v>
      </c>
      <c r="M147" s="12">
        <v>0.74667732986816981</v>
      </c>
      <c r="N147" t="s">
        <v>1238</v>
      </c>
      <c r="O147" t="s">
        <v>1253</v>
      </c>
      <c r="P147" s="23">
        <f>VLOOKUP(A147,вариация!A$2:G$805,2,FALSE)</f>
        <v>2.2360679774997894</v>
      </c>
      <c r="Q147" t="str">
        <f>IF(вариация!H148="Yes",IF(P150&lt;0.1,"X",IF(P150&lt;0.25,"Y","Z")),"")</f>
        <v/>
      </c>
      <c r="R147" t="str">
        <f>O147&amp;Q147</f>
        <v>ABA</v>
      </c>
    </row>
    <row r="148" spans="1:18" x14ac:dyDescent="0.25">
      <c r="A148" s="7" t="s">
        <v>199</v>
      </c>
      <c r="B148" s="8">
        <v>2</v>
      </c>
      <c r="C148" s="11">
        <v>1.2431155079799805E-3</v>
      </c>
      <c r="D148" s="12">
        <v>0.55007861228114041</v>
      </c>
      <c r="E148" t="s">
        <v>1238</v>
      </c>
      <c r="F148" s="8">
        <v>132</v>
      </c>
      <c r="G148" s="11">
        <v>3.7739314687393213E-4</v>
      </c>
      <c r="H148" s="12">
        <v>0.94492794394330049</v>
      </c>
      <c r="I148" t="s">
        <v>1239</v>
      </c>
      <c r="J148" s="8">
        <v>5</v>
      </c>
      <c r="K148">
        <v>12</v>
      </c>
      <c r="L148" s="11">
        <v>1.2431155079799796E-3</v>
      </c>
      <c r="M148" s="12">
        <v>0.5500786122811403</v>
      </c>
      <c r="N148" t="s">
        <v>1238</v>
      </c>
      <c r="O148" t="s">
        <v>1253</v>
      </c>
      <c r="P148" s="23">
        <f>VLOOKUP(A148,вариация!A$2:G$805,2,FALSE)</f>
        <v>2.2360679774997894</v>
      </c>
      <c r="Q148" t="str">
        <f>IF(вариация!H149="Yes",IF(P151&lt;0.1,"X",IF(P151&lt;0.25,"Y","Z")),"")</f>
        <v/>
      </c>
      <c r="R148" t="str">
        <f>O148&amp;Q148</f>
        <v>ABA</v>
      </c>
    </row>
    <row r="149" spans="1:18" x14ac:dyDescent="0.25">
      <c r="A149" s="7" t="s">
        <v>627</v>
      </c>
      <c r="B149" s="8">
        <v>8</v>
      </c>
      <c r="C149" s="11">
        <v>4.972462031919922E-3</v>
      </c>
      <c r="D149" s="12">
        <v>0.24862310159599599</v>
      </c>
      <c r="E149" t="s">
        <v>1238</v>
      </c>
      <c r="F149" s="8">
        <v>284</v>
      </c>
      <c r="G149" s="11">
        <v>8.1196707357724784E-4</v>
      </c>
      <c r="H149" s="12">
        <v>0.83142349553418127</v>
      </c>
      <c r="I149" t="s">
        <v>1239</v>
      </c>
      <c r="J149" s="8">
        <v>5</v>
      </c>
      <c r="K149">
        <v>48</v>
      </c>
      <c r="L149" s="11">
        <v>4.9724620319199185E-3</v>
      </c>
      <c r="M149" s="12">
        <v>0.24862310159599585</v>
      </c>
      <c r="N149" t="s">
        <v>1238</v>
      </c>
      <c r="O149" t="s">
        <v>1253</v>
      </c>
      <c r="P149" s="23">
        <f>VLOOKUP(A149,вариация!A$2:G$805,2,FALSE)</f>
        <v>0.71260964068696109</v>
      </c>
      <c r="Q149" t="str">
        <f>IF(вариация!H150="Yes",IF(P152&lt;0.1,"X",IF(P152&lt;0.25,"Y","Z")),"")</f>
        <v>Z</v>
      </c>
      <c r="R149" t="str">
        <f>O149&amp;Q149</f>
        <v>ABAZ</v>
      </c>
    </row>
    <row r="150" spans="1:18" x14ac:dyDescent="0.25">
      <c r="A150" s="7" t="s">
        <v>1201</v>
      </c>
      <c r="B150" s="8">
        <v>1</v>
      </c>
      <c r="C150" s="11">
        <v>6.2155775398999025E-4</v>
      </c>
      <c r="D150" s="12">
        <v>0.7472988876221599</v>
      </c>
      <c r="E150" t="s">
        <v>1238</v>
      </c>
      <c r="F150" s="8">
        <v>68</v>
      </c>
      <c r="G150" s="11">
        <v>1.9441465141990441E-4</v>
      </c>
      <c r="H150" s="12">
        <v>0.98860333833673231</v>
      </c>
      <c r="I150" t="s">
        <v>1240</v>
      </c>
      <c r="J150" s="8">
        <v>5</v>
      </c>
      <c r="K150">
        <v>6</v>
      </c>
      <c r="L150" s="11">
        <v>6.2155775398998981E-4</v>
      </c>
      <c r="M150" s="12">
        <v>0.74729888762215979</v>
      </c>
      <c r="N150" t="s">
        <v>1238</v>
      </c>
      <c r="O150" t="s">
        <v>1254</v>
      </c>
      <c r="P150" s="23">
        <f>VLOOKUP(A150,вариация!A$2:G$805,2,FALSE)</f>
        <v>2.2360679774997894</v>
      </c>
      <c r="Q150" t="str">
        <f>IF(вариация!H151="Yes",IF(P153&lt;0.1,"X",IF(P153&lt;0.25,"Y","Z")),"")</f>
        <v/>
      </c>
      <c r="R150" t="str">
        <f>O150&amp;Q150</f>
        <v>ACA</v>
      </c>
    </row>
    <row r="151" spans="1:18" x14ac:dyDescent="0.25">
      <c r="A151" s="7" t="s">
        <v>670</v>
      </c>
      <c r="B151" s="8">
        <v>5</v>
      </c>
      <c r="C151" s="11">
        <v>3.1077887699499512E-3</v>
      </c>
      <c r="D151" s="12">
        <v>0.32942560961469447</v>
      </c>
      <c r="E151" t="s">
        <v>1238</v>
      </c>
      <c r="F151" s="8">
        <v>230</v>
      </c>
      <c r="G151" s="11">
        <v>6.5757896803791201E-4</v>
      </c>
      <c r="H151" s="12">
        <v>0.88490516498425842</v>
      </c>
      <c r="I151" t="s">
        <v>1239</v>
      </c>
      <c r="J151" s="8">
        <v>5</v>
      </c>
      <c r="K151">
        <v>30</v>
      </c>
      <c r="L151" s="11">
        <v>3.1077887699499491E-3</v>
      </c>
      <c r="M151" s="12">
        <v>0.3294256096146943</v>
      </c>
      <c r="N151" t="s">
        <v>1238</v>
      </c>
      <c r="O151" t="s">
        <v>1253</v>
      </c>
      <c r="P151" s="23">
        <f>VLOOKUP(A151,вариация!A$2:G$805,2,FALSE)</f>
        <v>2.2360679774997898</v>
      </c>
      <c r="Q151" t="str">
        <f>IF(вариация!H152="Yes",IF(P154&lt;0.1,"X",IF(P154&lt;0.25,"Y","Z")),"")</f>
        <v/>
      </c>
      <c r="R151" t="str">
        <f>O151&amp;Q151</f>
        <v>ABA</v>
      </c>
    </row>
    <row r="152" spans="1:18" x14ac:dyDescent="0.25">
      <c r="A152" s="7" t="s">
        <v>418</v>
      </c>
      <c r="B152" s="8">
        <v>25</v>
      </c>
      <c r="C152" s="11">
        <v>1.5538943849749754E-2</v>
      </c>
      <c r="D152" s="12">
        <v>9.5719894114458498E-2</v>
      </c>
      <c r="E152" t="s">
        <v>1238</v>
      </c>
      <c r="F152" s="8">
        <v>850</v>
      </c>
      <c r="G152" s="11">
        <v>2.4301831427488052E-3</v>
      </c>
      <c r="H152" s="12">
        <v>0.45956494557093508</v>
      </c>
      <c r="I152" t="s">
        <v>1238</v>
      </c>
      <c r="J152" s="8">
        <v>5</v>
      </c>
      <c r="K152">
        <v>150</v>
      </c>
      <c r="L152" s="11">
        <v>1.5538943849749746E-2</v>
      </c>
      <c r="M152" s="12">
        <v>9.5719894114458429E-2</v>
      </c>
      <c r="N152" t="s">
        <v>1238</v>
      </c>
      <c r="O152" t="s">
        <v>1252</v>
      </c>
      <c r="P152" s="23">
        <f>VLOOKUP(A152,вариация!A$2:G$805,2,FALSE)</f>
        <v>0.70710678118654757</v>
      </c>
      <c r="Q152" t="str">
        <f>IF(вариация!H153="Yes",IF(P155&lt;0.1,"X",IF(P155&lt;0.25,"Y","Z")),"")</f>
        <v>Z</v>
      </c>
      <c r="R152" t="str">
        <f>O152&amp;Q152</f>
        <v>AAAZ</v>
      </c>
    </row>
    <row r="153" spans="1:18" x14ac:dyDescent="0.25">
      <c r="A153" s="7" t="s">
        <v>107</v>
      </c>
      <c r="B153" s="8">
        <v>3</v>
      </c>
      <c r="C153" s="11">
        <v>1.8646732619699705E-3</v>
      </c>
      <c r="D153" s="12">
        <v>0.43073952351506289</v>
      </c>
      <c r="E153" t="s">
        <v>1238</v>
      </c>
      <c r="F153" s="8">
        <v>546</v>
      </c>
      <c r="G153" s="11">
        <v>1.5610352893421738E-3</v>
      </c>
      <c r="H153" s="12">
        <v>0.61953485780272355</v>
      </c>
      <c r="I153" t="s">
        <v>1238</v>
      </c>
      <c r="J153" s="8">
        <v>5</v>
      </c>
      <c r="K153">
        <v>18</v>
      </c>
      <c r="L153" s="11">
        <v>1.8646732619699697E-3</v>
      </c>
      <c r="M153" s="12">
        <v>0.43073952351506273</v>
      </c>
      <c r="N153" t="s">
        <v>1238</v>
      </c>
      <c r="O153" t="s">
        <v>1252</v>
      </c>
      <c r="P153" s="23">
        <f>VLOOKUP(A153,вариация!A$2:G$805,2,FALSE)</f>
        <v>1.4907119849998598</v>
      </c>
      <c r="Q153" t="str">
        <f>IF(вариация!H154="Yes",IF(P156&lt;0.1,"X",IF(P156&lt;0.25,"Y","Z")),"")</f>
        <v/>
      </c>
      <c r="R153" t="str">
        <f>O153&amp;Q153</f>
        <v>AAA</v>
      </c>
    </row>
    <row r="154" spans="1:18" x14ac:dyDescent="0.25">
      <c r="A154" s="7" t="s">
        <v>885</v>
      </c>
      <c r="B154" s="8">
        <v>3</v>
      </c>
      <c r="C154" s="11">
        <v>1.8646732619699705E-3</v>
      </c>
      <c r="D154" s="12">
        <v>0.43260419677703288</v>
      </c>
      <c r="E154" t="s">
        <v>1238</v>
      </c>
      <c r="F154" s="8">
        <v>246</v>
      </c>
      <c r="G154" s="11">
        <v>7.0332359190141899E-4</v>
      </c>
      <c r="H154" s="12">
        <v>0.87257984789203447</v>
      </c>
      <c r="I154" t="s">
        <v>1239</v>
      </c>
      <c r="J154" s="8">
        <v>5</v>
      </c>
      <c r="K154">
        <v>18</v>
      </c>
      <c r="L154" s="11">
        <v>1.8646732619699697E-3</v>
      </c>
      <c r="M154" s="12">
        <v>0.43260419677703271</v>
      </c>
      <c r="N154" t="s">
        <v>1238</v>
      </c>
      <c r="O154" t="s">
        <v>1253</v>
      </c>
      <c r="P154" s="23">
        <f>VLOOKUP(A154,вариация!A$2:G$805,2,FALSE)</f>
        <v>1.4907119849998598</v>
      </c>
      <c r="Q154" t="str">
        <f>IF(вариация!H155="Yes",IF(P157&lt;0.1,"X",IF(P157&lt;0.25,"Y","Z")),"")</f>
        <v/>
      </c>
      <c r="R154" t="str">
        <f>O154&amp;Q154</f>
        <v>ABA</v>
      </c>
    </row>
    <row r="155" spans="1:18" x14ac:dyDescent="0.25">
      <c r="A155" s="7" t="s">
        <v>1128</v>
      </c>
      <c r="B155" s="8">
        <v>1</v>
      </c>
      <c r="C155" s="11">
        <v>6.2155775398999025E-4</v>
      </c>
      <c r="D155" s="12">
        <v>0.74792044537614988</v>
      </c>
      <c r="E155" t="s">
        <v>1238</v>
      </c>
      <c r="F155" s="8">
        <v>394</v>
      </c>
      <c r="G155" s="11">
        <v>1.126461362638858E-3</v>
      </c>
      <c r="H155" s="12">
        <v>0.73821357989408498</v>
      </c>
      <c r="I155" t="s">
        <v>1238</v>
      </c>
      <c r="J155" s="8">
        <v>5</v>
      </c>
      <c r="K155">
        <v>6</v>
      </c>
      <c r="L155" s="11">
        <v>6.2155775398998981E-4</v>
      </c>
      <c r="M155" s="12">
        <v>0.74792044537614977</v>
      </c>
      <c r="N155" t="s">
        <v>1238</v>
      </c>
      <c r="O155" t="s">
        <v>1252</v>
      </c>
      <c r="P155" s="23">
        <f>VLOOKUP(A155,вариация!A$2:G$805,2,FALSE)</f>
        <v>2.2360679774997894</v>
      </c>
      <c r="Q155" t="str">
        <f>IF(вариация!H156="Yes",IF(P158&lt;0.1,"X",IF(P158&lt;0.25,"Y","Z")),"")</f>
        <v/>
      </c>
      <c r="R155" t="str">
        <f>O155&amp;Q155</f>
        <v>AAA</v>
      </c>
    </row>
    <row r="156" spans="1:18" x14ac:dyDescent="0.25">
      <c r="A156" s="7" t="s">
        <v>786</v>
      </c>
      <c r="B156" s="8">
        <v>1</v>
      </c>
      <c r="C156" s="11">
        <v>6.2155775398999025E-4</v>
      </c>
      <c r="D156" s="12">
        <v>0.74854200313013985</v>
      </c>
      <c r="E156" t="s">
        <v>1238</v>
      </c>
      <c r="F156" s="8">
        <v>1081</v>
      </c>
      <c r="G156" s="11">
        <v>3.0906211497781864E-3</v>
      </c>
      <c r="H156" s="12">
        <v>0.37877811963301589</v>
      </c>
      <c r="I156" t="s">
        <v>1238</v>
      </c>
      <c r="J156" s="8">
        <v>5</v>
      </c>
      <c r="K156">
        <v>6</v>
      </c>
      <c r="L156" s="11">
        <v>6.2155775398998981E-4</v>
      </c>
      <c r="M156" s="12">
        <v>0.74854200313013974</v>
      </c>
      <c r="N156" t="s">
        <v>1238</v>
      </c>
      <c r="O156" t="s">
        <v>1252</v>
      </c>
      <c r="P156" s="23">
        <f>VLOOKUP(A156,вариация!A$2:G$805,2,FALSE)</f>
        <v>2.2360679774997894</v>
      </c>
      <c r="Q156" t="str">
        <f>IF(вариация!H157="Yes",IF(P159&lt;0.1,"X",IF(P159&lt;0.25,"Y","Z")),"")</f>
        <v/>
      </c>
      <c r="R156" t="str">
        <f>O156&amp;Q156</f>
        <v>AAA</v>
      </c>
    </row>
    <row r="157" spans="1:18" x14ac:dyDescent="0.25">
      <c r="A157" s="7" t="s">
        <v>1120</v>
      </c>
      <c r="B157" s="8">
        <v>1</v>
      </c>
      <c r="C157" s="11">
        <v>6.2155775398999025E-4</v>
      </c>
      <c r="D157" s="12">
        <v>0.74916356088412983</v>
      </c>
      <c r="E157" t="s">
        <v>1238</v>
      </c>
      <c r="F157" s="8">
        <v>750</v>
      </c>
      <c r="G157" s="11">
        <v>2.1442792436018872E-3</v>
      </c>
      <c r="H157" s="12">
        <v>0.49393865673835058</v>
      </c>
      <c r="I157" t="s">
        <v>1238</v>
      </c>
      <c r="J157" s="8">
        <v>5</v>
      </c>
      <c r="K157">
        <v>6</v>
      </c>
      <c r="L157" s="11">
        <v>6.2155775398998981E-4</v>
      </c>
      <c r="M157" s="12">
        <v>0.74916356088412972</v>
      </c>
      <c r="N157" t="s">
        <v>1238</v>
      </c>
      <c r="O157" t="s">
        <v>1252</v>
      </c>
      <c r="P157" s="23">
        <f>VLOOKUP(A157,вариация!A$2:G$805,2,FALSE)</f>
        <v>2.2360679774997894</v>
      </c>
      <c r="Q157" t="str">
        <f>IF(вариация!H158="Yes",IF(P160&lt;0.1,"X",IF(P160&lt;0.25,"Y","Z")),"")</f>
        <v/>
      </c>
      <c r="R157" t="str">
        <f>O157&amp;Q157</f>
        <v>AAA</v>
      </c>
    </row>
    <row r="158" spans="1:18" x14ac:dyDescent="0.25">
      <c r="A158" s="7" t="s">
        <v>1159</v>
      </c>
      <c r="B158" s="8">
        <v>1</v>
      </c>
      <c r="C158" s="11">
        <v>6.2155775398999025E-4</v>
      </c>
      <c r="D158" s="12">
        <v>0.74978511863811981</v>
      </c>
      <c r="E158" t="s">
        <v>1238</v>
      </c>
      <c r="F158" s="8">
        <v>146</v>
      </c>
      <c r="G158" s="11">
        <v>4.1741969275450066E-4</v>
      </c>
      <c r="H158" s="12">
        <v>0.93739151716178792</v>
      </c>
      <c r="I158" t="s">
        <v>1239</v>
      </c>
      <c r="J158" s="8">
        <v>5</v>
      </c>
      <c r="K158">
        <v>6</v>
      </c>
      <c r="L158" s="11">
        <v>6.2155775398998981E-4</v>
      </c>
      <c r="M158" s="12">
        <v>0.7497851186381197</v>
      </c>
      <c r="N158" t="s">
        <v>1238</v>
      </c>
      <c r="O158" t="s">
        <v>1253</v>
      </c>
      <c r="P158" s="23">
        <f>VLOOKUP(A158,вариация!A$2:G$805,2,FALSE)</f>
        <v>2.2360679774997894</v>
      </c>
      <c r="Q158" t="str">
        <f>IF(вариация!H159="Yes",IF(P161&lt;0.1,"X",IF(P161&lt;0.25,"Y","Z")),"")</f>
        <v/>
      </c>
      <c r="R158" t="str">
        <f>O158&amp;Q158</f>
        <v>ABA</v>
      </c>
    </row>
    <row r="159" spans="1:18" x14ac:dyDescent="0.25">
      <c r="A159" s="7" t="s">
        <v>1088</v>
      </c>
      <c r="B159" s="8">
        <v>1</v>
      </c>
      <c r="C159" s="11">
        <v>6.2155775398999025E-4</v>
      </c>
      <c r="D159" s="12">
        <v>0.75040667639210978</v>
      </c>
      <c r="E159" t="s">
        <v>1238</v>
      </c>
      <c r="F159" s="8">
        <v>63</v>
      </c>
      <c r="G159" s="11">
        <v>1.8011945646255852E-4</v>
      </c>
      <c r="H159" s="12">
        <v>0.99083178768824298</v>
      </c>
      <c r="I159" t="s">
        <v>1240</v>
      </c>
      <c r="J159" s="8">
        <v>5</v>
      </c>
      <c r="K159">
        <v>6</v>
      </c>
      <c r="L159" s="11">
        <v>6.2155775398998981E-4</v>
      </c>
      <c r="M159" s="12">
        <v>0.75040667639210967</v>
      </c>
      <c r="N159" t="s">
        <v>1238</v>
      </c>
      <c r="O159" t="s">
        <v>1254</v>
      </c>
      <c r="P159" s="23">
        <f>VLOOKUP(A159,вариация!A$2:G$805,2,FALSE)</f>
        <v>2.2360679774997894</v>
      </c>
      <c r="Q159" t="str">
        <f>IF(вариация!H160="Yes",IF(P162&lt;0.1,"X",IF(P162&lt;0.25,"Y","Z")),"")</f>
        <v/>
      </c>
      <c r="R159" t="str">
        <f>O159&amp;Q159</f>
        <v>ACA</v>
      </c>
    </row>
    <row r="160" spans="1:18" x14ac:dyDescent="0.25">
      <c r="A160" s="7" t="s">
        <v>194</v>
      </c>
      <c r="B160" s="8">
        <v>2</v>
      </c>
      <c r="C160" s="11">
        <v>1.2431155079799805E-3</v>
      </c>
      <c r="D160" s="12">
        <v>0.55132172778912036</v>
      </c>
      <c r="E160" t="s">
        <v>1238</v>
      </c>
      <c r="F160" s="8">
        <v>184</v>
      </c>
      <c r="G160" s="11">
        <v>5.2606317443032956E-4</v>
      </c>
      <c r="H160" s="12">
        <v>0.9150221387684454</v>
      </c>
      <c r="I160" t="s">
        <v>1239</v>
      </c>
      <c r="J160" s="8">
        <v>5</v>
      </c>
      <c r="K160">
        <v>12</v>
      </c>
      <c r="L160" s="11">
        <v>1.2431155079799796E-3</v>
      </c>
      <c r="M160" s="12">
        <v>0.55132172778912025</v>
      </c>
      <c r="N160" t="s">
        <v>1238</v>
      </c>
      <c r="O160" t="s">
        <v>1253</v>
      </c>
      <c r="P160" s="23">
        <f>VLOOKUP(A160,вариация!A$2:G$805,2,FALSE)</f>
        <v>2.2360679774997894</v>
      </c>
      <c r="Q160" t="str">
        <f>IF(вариация!H161="Yes",IF(P163&lt;0.1,"X",IF(P163&lt;0.25,"Y","Z")),"")</f>
        <v/>
      </c>
      <c r="R160" t="str">
        <f>O160&amp;Q160</f>
        <v>ABA</v>
      </c>
    </row>
    <row r="161" spans="1:18" x14ac:dyDescent="0.25">
      <c r="A161" s="7" t="s">
        <v>392</v>
      </c>
      <c r="B161" s="8">
        <v>3</v>
      </c>
      <c r="C161" s="11">
        <v>1.8646732619699705E-3</v>
      </c>
      <c r="D161" s="12">
        <v>0.43446887003900286</v>
      </c>
      <c r="E161" t="s">
        <v>1238</v>
      </c>
      <c r="F161" s="8">
        <v>615</v>
      </c>
      <c r="G161" s="11">
        <v>1.7583089797535473E-3</v>
      </c>
      <c r="H161" s="12">
        <v>0.56577174459335255</v>
      </c>
      <c r="I161" t="s">
        <v>1238</v>
      </c>
      <c r="J161" s="8">
        <v>5</v>
      </c>
      <c r="K161">
        <v>18</v>
      </c>
      <c r="L161" s="11">
        <v>1.8646732619699697E-3</v>
      </c>
      <c r="M161" s="12">
        <v>0.4344688700390027</v>
      </c>
      <c r="N161" t="s">
        <v>1238</v>
      </c>
      <c r="O161" t="s">
        <v>1252</v>
      </c>
      <c r="P161" s="23">
        <f>VLOOKUP(A161,вариация!A$2:G$805,2,FALSE)</f>
        <v>1.4907119849998598</v>
      </c>
      <c r="Q161" t="str">
        <f>IF(вариация!H162="Yes",IF(P164&lt;0.1,"X",IF(P164&lt;0.25,"Y","Z")),"")</f>
        <v/>
      </c>
      <c r="R161" t="str">
        <f>O161&amp;Q161</f>
        <v>AAA</v>
      </c>
    </row>
    <row r="162" spans="1:18" x14ac:dyDescent="0.25">
      <c r="A162" s="7" t="s">
        <v>788</v>
      </c>
      <c r="B162" s="8">
        <v>1</v>
      </c>
      <c r="C162" s="11">
        <v>6.2155775398999025E-4</v>
      </c>
      <c r="D162" s="12">
        <v>0.75102823414609976</v>
      </c>
      <c r="E162" t="s">
        <v>1238</v>
      </c>
      <c r="F162" s="8">
        <v>3482</v>
      </c>
      <c r="G162" s="11">
        <v>9.9551737682956939E-3</v>
      </c>
      <c r="H162" s="12">
        <v>6.9434620946820569E-2</v>
      </c>
      <c r="I162" t="s">
        <v>1238</v>
      </c>
      <c r="J162" s="8">
        <v>5</v>
      </c>
      <c r="K162">
        <v>6</v>
      </c>
      <c r="L162" s="11">
        <v>6.2155775398998981E-4</v>
      </c>
      <c r="M162" s="12">
        <v>0.75102823414609965</v>
      </c>
      <c r="N162" t="s">
        <v>1238</v>
      </c>
      <c r="O162" t="s">
        <v>1252</v>
      </c>
      <c r="P162" s="23">
        <f>VLOOKUP(A162,вариация!A$2:G$805,2,FALSE)</f>
        <v>2.2360679774997894</v>
      </c>
      <c r="Q162" t="str">
        <f>IF(вариация!H163="Yes",IF(P165&lt;0.1,"X",IF(P165&lt;0.25,"Y","Z")),"")</f>
        <v/>
      </c>
      <c r="R162" t="str">
        <f>O162&amp;Q162</f>
        <v>AAA</v>
      </c>
    </row>
    <row r="163" spans="1:18" x14ac:dyDescent="0.25">
      <c r="A163" s="7" t="s">
        <v>1005</v>
      </c>
      <c r="B163" s="8">
        <v>1</v>
      </c>
      <c r="C163" s="11">
        <v>6.2155775398999025E-4</v>
      </c>
      <c r="D163" s="12">
        <v>0.75164979190008974</v>
      </c>
      <c r="E163" t="s">
        <v>1238</v>
      </c>
      <c r="F163" s="8">
        <v>615</v>
      </c>
      <c r="G163" s="11">
        <v>1.7583089797535473E-3</v>
      </c>
      <c r="H163" s="12">
        <v>0.56753005357310615</v>
      </c>
      <c r="I163" t="s">
        <v>1238</v>
      </c>
      <c r="J163" s="8">
        <v>5</v>
      </c>
      <c r="K163">
        <v>6</v>
      </c>
      <c r="L163" s="11">
        <v>6.2155775398998981E-4</v>
      </c>
      <c r="M163" s="12">
        <v>0.75164979190008963</v>
      </c>
      <c r="N163" t="s">
        <v>1238</v>
      </c>
      <c r="O163" t="s">
        <v>1252</v>
      </c>
      <c r="P163" s="23">
        <f>VLOOKUP(A163,вариация!A$2:G$805,2,FALSE)</f>
        <v>2.2360679774997894</v>
      </c>
      <c r="Q163" t="str">
        <f>IF(вариация!H164="Yes",IF(P166&lt;0.1,"X",IF(P166&lt;0.25,"Y","Z")),"")</f>
        <v/>
      </c>
      <c r="R163" t="str">
        <f>O163&amp;Q163</f>
        <v>AAA</v>
      </c>
    </row>
    <row r="164" spans="1:18" x14ac:dyDescent="0.25">
      <c r="A164" s="7" t="s">
        <v>578</v>
      </c>
      <c r="B164" s="8">
        <v>1</v>
      </c>
      <c r="C164" s="11">
        <v>6.2155775398999025E-4</v>
      </c>
      <c r="D164" s="12">
        <v>0.75227134965407971</v>
      </c>
      <c r="E164" t="s">
        <v>1238</v>
      </c>
      <c r="F164" s="8">
        <v>97</v>
      </c>
      <c r="G164" s="11">
        <v>2.7732678217251073E-4</v>
      </c>
      <c r="H164" s="12">
        <v>0.97064805884328687</v>
      </c>
      <c r="I164" t="s">
        <v>1240</v>
      </c>
      <c r="J164" s="8">
        <v>5</v>
      </c>
      <c r="K164">
        <v>6</v>
      </c>
      <c r="L164" s="11">
        <v>6.2155775398998981E-4</v>
      </c>
      <c r="M164" s="12">
        <v>0.7522713496540796</v>
      </c>
      <c r="N164" t="s">
        <v>1238</v>
      </c>
      <c r="O164" t="s">
        <v>1254</v>
      </c>
      <c r="P164" s="23">
        <f>VLOOKUP(A164,вариация!A$2:G$805,2,FALSE)</f>
        <v>2.2360679774997894</v>
      </c>
      <c r="Q164" t="str">
        <f>IF(вариация!H165="Yes",IF(P167&lt;0.1,"X",IF(P167&lt;0.25,"Y","Z")),"")</f>
        <v/>
      </c>
      <c r="R164" t="str">
        <f>O164&amp;Q164</f>
        <v>ACA</v>
      </c>
    </row>
    <row r="165" spans="1:18" x14ac:dyDescent="0.25">
      <c r="A165" s="7" t="s">
        <v>1204</v>
      </c>
      <c r="B165" s="8">
        <v>1</v>
      </c>
      <c r="C165" s="11">
        <v>6.2155775398999025E-4</v>
      </c>
      <c r="D165" s="12">
        <v>0.75289290740806969</v>
      </c>
      <c r="E165" t="s">
        <v>1238</v>
      </c>
      <c r="F165" s="8">
        <v>1213</v>
      </c>
      <c r="G165" s="11">
        <v>3.4680142966521184E-3</v>
      </c>
      <c r="H165" s="12">
        <v>0.34301631644422315</v>
      </c>
      <c r="I165" t="s">
        <v>1238</v>
      </c>
      <c r="J165" s="8">
        <v>5</v>
      </c>
      <c r="K165">
        <v>6</v>
      </c>
      <c r="L165" s="11">
        <v>6.2155775398998981E-4</v>
      </c>
      <c r="M165" s="12">
        <v>0.75289290740806958</v>
      </c>
      <c r="N165" t="s">
        <v>1238</v>
      </c>
      <c r="O165" t="s">
        <v>1252</v>
      </c>
      <c r="P165" s="23">
        <f>VLOOKUP(A165,вариация!A$2:G$805,2,FALSE)</f>
        <v>2.2360679774997894</v>
      </c>
      <c r="Q165" t="str">
        <f>IF(вариация!H166="Yes",IF(P168&lt;0.1,"X",IF(P168&lt;0.25,"Y","Z")),"")</f>
        <v/>
      </c>
      <c r="R165" t="str">
        <f>O165&amp;Q165</f>
        <v>AAA</v>
      </c>
    </row>
    <row r="166" spans="1:18" x14ac:dyDescent="0.25">
      <c r="A166" s="7" t="s">
        <v>1162</v>
      </c>
      <c r="B166" s="8">
        <v>1</v>
      </c>
      <c r="C166" s="11">
        <v>6.2155775398999025E-4</v>
      </c>
      <c r="D166" s="12">
        <v>0.75351446516205967</v>
      </c>
      <c r="E166" t="s">
        <v>1238</v>
      </c>
      <c r="F166" s="8">
        <v>54</v>
      </c>
      <c r="G166" s="11">
        <v>1.5438810553933586E-4</v>
      </c>
      <c r="H166" s="12">
        <v>0.99301886674554696</v>
      </c>
      <c r="I166" t="s">
        <v>1240</v>
      </c>
      <c r="J166" s="8">
        <v>5</v>
      </c>
      <c r="K166">
        <v>6</v>
      </c>
      <c r="L166" s="11">
        <v>6.2155775398998981E-4</v>
      </c>
      <c r="M166" s="12">
        <v>0.75351446516205955</v>
      </c>
      <c r="N166" t="s">
        <v>1238</v>
      </c>
      <c r="O166" t="s">
        <v>1254</v>
      </c>
      <c r="P166" s="23">
        <f>VLOOKUP(A166,вариация!A$2:G$805,2,FALSE)</f>
        <v>2.2360679774997894</v>
      </c>
      <c r="Q166" t="str">
        <f>IF(вариация!H167="Yes",IF(P169&lt;0.1,"X",IF(P169&lt;0.25,"Y","Z")),"")</f>
        <v/>
      </c>
      <c r="R166" t="str">
        <f>O166&amp;Q166</f>
        <v>ACA</v>
      </c>
    </row>
    <row r="167" spans="1:18" x14ac:dyDescent="0.25">
      <c r="A167" s="7" t="s">
        <v>308</v>
      </c>
      <c r="B167" s="8">
        <v>1</v>
      </c>
      <c r="C167" s="11">
        <v>6.2155775398999025E-4</v>
      </c>
      <c r="D167" s="12">
        <v>0.75413602291604964</v>
      </c>
      <c r="E167" t="s">
        <v>1238</v>
      </c>
      <c r="F167" s="8">
        <v>243</v>
      </c>
      <c r="G167" s="11">
        <v>6.9474647492701145E-4</v>
      </c>
      <c r="H167" s="12">
        <v>0.87467552347278144</v>
      </c>
      <c r="I167" t="s">
        <v>1239</v>
      </c>
      <c r="J167" s="8">
        <v>5</v>
      </c>
      <c r="K167">
        <v>6</v>
      </c>
      <c r="L167" s="11">
        <v>6.2155775398998981E-4</v>
      </c>
      <c r="M167" s="12">
        <v>0.75413602291604953</v>
      </c>
      <c r="N167" t="s">
        <v>1238</v>
      </c>
      <c r="O167" t="s">
        <v>1253</v>
      </c>
      <c r="P167" s="23">
        <f>VLOOKUP(A167,вариация!A$2:G$805,2,FALSE)</f>
        <v>2.2360679774997894</v>
      </c>
      <c r="Q167" t="str">
        <f>IF(вариация!H168="Yes",IF(P170&lt;0.1,"X",IF(P170&lt;0.25,"Y","Z")),"")</f>
        <v/>
      </c>
      <c r="R167" t="str">
        <f>O167&amp;Q167</f>
        <v>ABA</v>
      </c>
    </row>
    <row r="168" spans="1:18" x14ac:dyDescent="0.25">
      <c r="A168" s="7" t="s">
        <v>671</v>
      </c>
      <c r="B168" s="8">
        <v>1</v>
      </c>
      <c r="C168" s="11">
        <v>6.2155775398999025E-4</v>
      </c>
      <c r="D168" s="12">
        <v>0.75475758067003962</v>
      </c>
      <c r="E168" t="s">
        <v>1238</v>
      </c>
      <c r="F168" s="8">
        <v>139</v>
      </c>
      <c r="G168" s="11">
        <v>3.9740641981421637E-4</v>
      </c>
      <c r="H168" s="12">
        <v>0.94143133925673383</v>
      </c>
      <c r="I168" t="s">
        <v>1239</v>
      </c>
      <c r="J168" s="8">
        <v>5</v>
      </c>
      <c r="K168">
        <v>6</v>
      </c>
      <c r="L168" s="11">
        <v>6.2155775398998981E-4</v>
      </c>
      <c r="M168" s="12">
        <v>0.75475758067003951</v>
      </c>
      <c r="N168" t="s">
        <v>1238</v>
      </c>
      <c r="O168" t="s">
        <v>1253</v>
      </c>
      <c r="P168" s="23">
        <f>VLOOKUP(A168,вариация!A$2:G$805,2,FALSE)</f>
        <v>2.2360679774997894</v>
      </c>
      <c r="Q168" t="str">
        <f>IF(вариация!H169="Yes",IF(P171&lt;0.1,"X",IF(P171&lt;0.25,"Y","Z")),"")</f>
        <v/>
      </c>
      <c r="R168" t="str">
        <f>O168&amp;Q168</f>
        <v>ABA</v>
      </c>
    </row>
    <row r="169" spans="1:18" x14ac:dyDescent="0.25">
      <c r="A169" s="7" t="s">
        <v>465</v>
      </c>
      <c r="B169" s="8">
        <v>2</v>
      </c>
      <c r="C169" s="11">
        <v>1.2431155079799805E-3</v>
      </c>
      <c r="D169" s="12">
        <v>0.55256484329710032</v>
      </c>
      <c r="E169" t="s">
        <v>1238</v>
      </c>
      <c r="F169" s="8">
        <v>2396</v>
      </c>
      <c r="G169" s="11">
        <v>6.850257423560162E-3</v>
      </c>
      <c r="H169" s="12">
        <v>0.14326613879948655</v>
      </c>
      <c r="I169" t="s">
        <v>1238</v>
      </c>
      <c r="J169" s="8">
        <v>5</v>
      </c>
      <c r="K169">
        <v>12</v>
      </c>
      <c r="L169" s="11">
        <v>1.2431155079799796E-3</v>
      </c>
      <c r="M169" s="12">
        <v>0.55256484329710021</v>
      </c>
      <c r="N169" t="s">
        <v>1238</v>
      </c>
      <c r="O169" t="s">
        <v>1252</v>
      </c>
      <c r="P169" s="23">
        <f>VLOOKUP(A169,вариация!A$2:G$805,2,FALSE)</f>
        <v>1.3693063937629151</v>
      </c>
      <c r="Q169" t="str">
        <f>IF(вариация!H170="Yes",IF(P172&lt;0.1,"X",IF(P172&lt;0.25,"Y","Z")),"")</f>
        <v/>
      </c>
      <c r="R169" t="str">
        <f>O169&amp;Q169</f>
        <v>AAA</v>
      </c>
    </row>
    <row r="170" spans="1:18" x14ac:dyDescent="0.25">
      <c r="A170" s="7" t="s">
        <v>764</v>
      </c>
      <c r="B170" s="8">
        <v>1</v>
      </c>
      <c r="C170" s="11">
        <v>6.2155775398999025E-4</v>
      </c>
      <c r="D170" s="12">
        <v>0.75537913842402959</v>
      </c>
      <c r="E170" t="s">
        <v>1238</v>
      </c>
      <c r="F170" s="8">
        <v>206</v>
      </c>
      <c r="G170" s="11">
        <v>5.8896203224265164E-4</v>
      </c>
      <c r="H170" s="12">
        <v>0.89986482919361166</v>
      </c>
      <c r="I170" t="s">
        <v>1239</v>
      </c>
      <c r="J170" s="8">
        <v>5</v>
      </c>
      <c r="K170">
        <v>6</v>
      </c>
      <c r="L170" s="11">
        <v>6.2155775398998981E-4</v>
      </c>
      <c r="M170" s="12">
        <v>0.75537913842402948</v>
      </c>
      <c r="N170" t="s">
        <v>1238</v>
      </c>
      <c r="O170" t="s">
        <v>1253</v>
      </c>
      <c r="P170" s="23">
        <f>VLOOKUP(A170,вариация!A$2:G$805,2,FALSE)</f>
        <v>2.2360679774997894</v>
      </c>
      <c r="Q170" t="str">
        <f>IF(вариация!H171="Yes",IF(P173&lt;0.1,"X",IF(P173&lt;0.25,"Y","Z")),"")</f>
        <v/>
      </c>
      <c r="R170" t="str">
        <f>O170&amp;Q170</f>
        <v>ABA</v>
      </c>
    </row>
    <row r="171" spans="1:18" x14ac:dyDescent="0.25">
      <c r="A171" s="7" t="s">
        <v>713</v>
      </c>
      <c r="B171" s="8">
        <v>1</v>
      </c>
      <c r="C171" s="11">
        <v>6.2155775398999025E-4</v>
      </c>
      <c r="D171" s="12">
        <v>0.75600069617801957</v>
      </c>
      <c r="E171" t="s">
        <v>1238</v>
      </c>
      <c r="F171" s="8">
        <v>43</v>
      </c>
      <c r="G171" s="11">
        <v>1.2293867663317484E-4</v>
      </c>
      <c r="H171" s="12">
        <v>0.99650104518338345</v>
      </c>
      <c r="I171" t="s">
        <v>1240</v>
      </c>
      <c r="J171" s="8">
        <v>5</v>
      </c>
      <c r="K171">
        <v>6</v>
      </c>
      <c r="L171" s="11">
        <v>6.2155775398998981E-4</v>
      </c>
      <c r="M171" s="12">
        <v>0.75600069617801946</v>
      </c>
      <c r="N171" t="s">
        <v>1238</v>
      </c>
      <c r="O171" t="s">
        <v>1254</v>
      </c>
      <c r="P171" s="23">
        <f>VLOOKUP(A171,вариация!A$2:G$805,2,FALSE)</f>
        <v>2.2360679774997894</v>
      </c>
      <c r="Q171" t="str">
        <f>IF(вариация!H172="Yes",IF(P174&lt;0.1,"X",IF(P174&lt;0.25,"Y","Z")),"")</f>
        <v/>
      </c>
      <c r="R171" t="str">
        <f>O171&amp;Q171</f>
        <v>ACA</v>
      </c>
    </row>
    <row r="172" spans="1:18" x14ac:dyDescent="0.25">
      <c r="A172" s="7" t="s">
        <v>745</v>
      </c>
      <c r="B172" s="8">
        <v>4</v>
      </c>
      <c r="C172" s="11">
        <v>2.486231015959961E-3</v>
      </c>
      <c r="D172" s="12">
        <v>0.36982686362404371</v>
      </c>
      <c r="E172" t="s">
        <v>1238</v>
      </c>
      <c r="F172" s="8">
        <v>255</v>
      </c>
      <c r="G172" s="11">
        <v>7.2905494282464163E-4</v>
      </c>
      <c r="H172" s="12">
        <v>0.86611327350112954</v>
      </c>
      <c r="I172" t="s">
        <v>1239</v>
      </c>
      <c r="J172" s="8">
        <v>5</v>
      </c>
      <c r="K172">
        <v>24</v>
      </c>
      <c r="L172" s="11">
        <v>2.4862310159599593E-3</v>
      </c>
      <c r="M172" s="12">
        <v>0.36982686362404354</v>
      </c>
      <c r="N172" t="s">
        <v>1238</v>
      </c>
      <c r="O172" t="s">
        <v>1253</v>
      </c>
      <c r="P172" s="23">
        <f>VLOOKUP(A172,вариация!A$2:G$805,2,FALSE)</f>
        <v>2.2360679774997894</v>
      </c>
      <c r="Q172" t="str">
        <f>IF(вариация!H173="Yes",IF(P175&lt;0.1,"X",IF(P175&lt;0.25,"Y","Z")),"")</f>
        <v/>
      </c>
      <c r="R172" t="str">
        <f>O172&amp;Q172</f>
        <v>ABA</v>
      </c>
    </row>
    <row r="173" spans="1:18" x14ac:dyDescent="0.25">
      <c r="A173" s="7" t="s">
        <v>113</v>
      </c>
      <c r="B173" s="8">
        <v>2</v>
      </c>
      <c r="C173" s="11">
        <v>1.2431155079799805E-3</v>
      </c>
      <c r="D173" s="12">
        <v>0.55380795880508027</v>
      </c>
      <c r="E173" t="s">
        <v>1238</v>
      </c>
      <c r="F173" s="8">
        <v>243</v>
      </c>
      <c r="G173" s="11">
        <v>6.9474647492701145E-4</v>
      </c>
      <c r="H173" s="12">
        <v>0.8753702699477085</v>
      </c>
      <c r="I173" t="s">
        <v>1239</v>
      </c>
      <c r="J173" s="8">
        <v>5</v>
      </c>
      <c r="K173">
        <v>12</v>
      </c>
      <c r="L173" s="11">
        <v>1.2431155079799796E-3</v>
      </c>
      <c r="M173" s="12">
        <v>0.55380795880508016</v>
      </c>
      <c r="N173" t="s">
        <v>1238</v>
      </c>
      <c r="O173" t="s">
        <v>1253</v>
      </c>
      <c r="P173" s="23">
        <f>VLOOKUP(A173,вариация!A$2:G$805,2,FALSE)</f>
        <v>1.3693063937629151</v>
      </c>
      <c r="Q173" t="str">
        <f>IF(вариация!H174="Yes",IF(P176&lt;0.1,"X",IF(P176&lt;0.25,"Y","Z")),"")</f>
        <v/>
      </c>
      <c r="R173" t="str">
        <f>O173&amp;Q173</f>
        <v>ABA</v>
      </c>
    </row>
    <row r="174" spans="1:18" x14ac:dyDescent="0.25">
      <c r="A174" s="7" t="s">
        <v>686</v>
      </c>
      <c r="B174" s="8">
        <v>1</v>
      </c>
      <c r="C174" s="11">
        <v>6.2155775398999025E-4</v>
      </c>
      <c r="D174" s="12">
        <v>0.75662225393200955</v>
      </c>
      <c r="E174" t="s">
        <v>1238</v>
      </c>
      <c r="F174" s="8">
        <v>842</v>
      </c>
      <c r="G174" s="11">
        <v>2.4073108308170516E-3</v>
      </c>
      <c r="H174" s="12">
        <v>0.46438242627156068</v>
      </c>
      <c r="I174" t="s">
        <v>1238</v>
      </c>
      <c r="J174" s="8">
        <v>5</v>
      </c>
      <c r="K174">
        <v>6</v>
      </c>
      <c r="L174" s="11">
        <v>6.2155775398998981E-4</v>
      </c>
      <c r="M174" s="12">
        <v>0.75662225393200944</v>
      </c>
      <c r="N174" t="s">
        <v>1238</v>
      </c>
      <c r="O174" t="s">
        <v>1252</v>
      </c>
      <c r="P174" s="23">
        <f>VLOOKUP(A174,вариация!A$2:G$805,2,FALSE)</f>
        <v>2.2360679774997894</v>
      </c>
      <c r="Q174" t="str">
        <f>IF(вариация!H175="Yes",IF(P177&lt;0.1,"X",IF(P177&lt;0.25,"Y","Z")),"")</f>
        <v/>
      </c>
      <c r="R174" t="str">
        <f>O174&amp;Q174</f>
        <v>AAA</v>
      </c>
    </row>
    <row r="175" spans="1:18" x14ac:dyDescent="0.25">
      <c r="A175" s="7" t="s">
        <v>294</v>
      </c>
      <c r="B175" s="8">
        <v>1</v>
      </c>
      <c r="C175" s="11">
        <v>6.2155775398999025E-4</v>
      </c>
      <c r="D175" s="12">
        <v>0.75724381168599952</v>
      </c>
      <c r="E175" t="s">
        <v>1238</v>
      </c>
      <c r="F175" s="8">
        <v>586</v>
      </c>
      <c r="G175" s="11">
        <v>1.6753968490009412E-3</v>
      </c>
      <c r="H175" s="12">
        <v>0.59504830386599694</v>
      </c>
      <c r="I175" t="s">
        <v>1238</v>
      </c>
      <c r="J175" s="8">
        <v>5</v>
      </c>
      <c r="K175">
        <v>6</v>
      </c>
      <c r="L175" s="11">
        <v>6.2155775398998981E-4</v>
      </c>
      <c r="M175" s="12">
        <v>0.75724381168599941</v>
      </c>
      <c r="N175" t="s">
        <v>1238</v>
      </c>
      <c r="O175" t="s">
        <v>1252</v>
      </c>
      <c r="P175" s="23">
        <f>VLOOKUP(A175,вариация!A$2:G$805,2,FALSE)</f>
        <v>2.2360679774997894</v>
      </c>
      <c r="Q175" t="str">
        <f>IF(вариация!H176="Yes",IF(P178&lt;0.1,"X",IF(P178&lt;0.25,"Y","Z")),"")</f>
        <v/>
      </c>
      <c r="R175" t="str">
        <f>O175&amp;Q175</f>
        <v>AAA</v>
      </c>
    </row>
    <row r="176" spans="1:18" x14ac:dyDescent="0.25">
      <c r="A176" s="7" t="s">
        <v>22</v>
      </c>
      <c r="B176" s="8">
        <v>1</v>
      </c>
      <c r="C176" s="11">
        <v>6.2155775398999025E-4</v>
      </c>
      <c r="D176" s="12">
        <v>0.7578653694399895</v>
      </c>
      <c r="E176" t="s">
        <v>1238</v>
      </c>
      <c r="F176" s="8">
        <v>270</v>
      </c>
      <c r="G176" s="11">
        <v>7.7194052769667936E-4</v>
      </c>
      <c r="H176" s="12">
        <v>0.85038178312563928</v>
      </c>
      <c r="I176" t="s">
        <v>1239</v>
      </c>
      <c r="J176" s="8">
        <v>5</v>
      </c>
      <c r="K176">
        <v>6</v>
      </c>
      <c r="L176" s="11">
        <v>6.2155775398998981E-4</v>
      </c>
      <c r="M176" s="12">
        <v>0.75786536943998939</v>
      </c>
      <c r="N176" t="s">
        <v>1238</v>
      </c>
      <c r="O176" t="s">
        <v>1253</v>
      </c>
      <c r="P176" s="23">
        <f>VLOOKUP(A176,вариация!A$2:G$805,2,FALSE)</f>
        <v>2.2360679774997894</v>
      </c>
      <c r="Q176" t="str">
        <f>IF(вариация!H177="Yes",IF(P179&lt;0.1,"X",IF(P179&lt;0.25,"Y","Z")),"")</f>
        <v/>
      </c>
      <c r="R176" t="str">
        <f>O176&amp;Q176</f>
        <v>ABA</v>
      </c>
    </row>
    <row r="177" spans="1:18" x14ac:dyDescent="0.25">
      <c r="A177" s="7" t="s">
        <v>824</v>
      </c>
      <c r="B177" s="8">
        <v>1</v>
      </c>
      <c r="C177" s="11">
        <v>6.2155775398999025E-4</v>
      </c>
      <c r="D177" s="12">
        <v>0.75848692719397948</v>
      </c>
      <c r="E177" t="s">
        <v>1238</v>
      </c>
      <c r="F177" s="8">
        <v>346</v>
      </c>
      <c r="G177" s="11">
        <v>9.8922749104833727E-4</v>
      </c>
      <c r="H177" s="12">
        <v>0.78552780005036493</v>
      </c>
      <c r="I177" t="s">
        <v>1238</v>
      </c>
      <c r="J177" s="8">
        <v>5</v>
      </c>
      <c r="K177">
        <v>6</v>
      </c>
      <c r="L177" s="11">
        <v>6.2155775398998981E-4</v>
      </c>
      <c r="M177" s="12">
        <v>0.75848692719397937</v>
      </c>
      <c r="N177" t="s">
        <v>1238</v>
      </c>
      <c r="O177" t="s">
        <v>1252</v>
      </c>
      <c r="P177" s="23">
        <f>VLOOKUP(A177,вариация!A$2:G$805,2,FALSE)</f>
        <v>2.2360679774997894</v>
      </c>
      <c r="Q177" t="str">
        <f>IF(вариация!H178="Yes",IF(P180&lt;0.1,"X",IF(P180&lt;0.25,"Y","Z")),"")</f>
        <v/>
      </c>
      <c r="R177" t="str">
        <f>O177&amp;Q177</f>
        <v>AAA</v>
      </c>
    </row>
    <row r="178" spans="1:18" x14ac:dyDescent="0.25">
      <c r="A178" s="7" t="s">
        <v>902</v>
      </c>
      <c r="B178" s="8">
        <v>2</v>
      </c>
      <c r="C178" s="11">
        <v>1.2431155079799805E-3</v>
      </c>
      <c r="D178" s="12">
        <v>0.55505107431306022</v>
      </c>
      <c r="E178" t="s">
        <v>1238</v>
      </c>
      <c r="F178" s="8">
        <v>817</v>
      </c>
      <c r="G178" s="11">
        <v>2.3358348560303223E-3</v>
      </c>
      <c r="H178" s="12">
        <v>0.47389444899617866</v>
      </c>
      <c r="I178" t="s">
        <v>1238</v>
      </c>
      <c r="J178" s="8">
        <v>5</v>
      </c>
      <c r="K178">
        <v>12</v>
      </c>
      <c r="L178" s="11">
        <v>1.2431155079799796E-3</v>
      </c>
      <c r="M178" s="12">
        <v>0.55505107431306011</v>
      </c>
      <c r="N178" t="s">
        <v>1238</v>
      </c>
      <c r="O178" t="s">
        <v>1252</v>
      </c>
      <c r="P178" s="23">
        <f>VLOOKUP(A178,вариация!A$2:G$805,2,FALSE)</f>
        <v>1.3693063937629151</v>
      </c>
      <c r="Q178" t="str">
        <f>IF(вариация!H179="Yes",IF(P181&lt;0.1,"X",IF(P181&lt;0.25,"Y","Z")),"")</f>
        <v/>
      </c>
      <c r="R178" t="str">
        <f>O178&amp;Q178</f>
        <v>AAA</v>
      </c>
    </row>
    <row r="179" spans="1:18" x14ac:dyDescent="0.25">
      <c r="A179" s="7" t="s">
        <v>147</v>
      </c>
      <c r="B179" s="8">
        <v>1</v>
      </c>
      <c r="C179" s="11">
        <v>6.2155775398999025E-4</v>
      </c>
      <c r="D179" s="12">
        <v>0.75910848494796945</v>
      </c>
      <c r="E179" t="s">
        <v>1238</v>
      </c>
      <c r="F179" s="8">
        <v>249</v>
      </c>
      <c r="G179" s="11">
        <v>7.1190070887582654E-4</v>
      </c>
      <c r="H179" s="12">
        <v>0.87117034166924023</v>
      </c>
      <c r="I179" t="s">
        <v>1239</v>
      </c>
      <c r="J179" s="8">
        <v>5</v>
      </c>
      <c r="K179">
        <v>6</v>
      </c>
      <c r="L179" s="11">
        <v>6.2155775398998981E-4</v>
      </c>
      <c r="M179" s="12">
        <v>0.75910848494796934</v>
      </c>
      <c r="N179" t="s">
        <v>1238</v>
      </c>
      <c r="O179" t="s">
        <v>1253</v>
      </c>
      <c r="P179" s="23">
        <f>VLOOKUP(A179,вариация!A$2:G$805,2,FALSE)</f>
        <v>2.2360679774997894</v>
      </c>
      <c r="Q179" t="str">
        <f>IF(вариация!H180="Yes",IF(P182&lt;0.1,"X",IF(P182&lt;0.25,"Y","Z")),"")</f>
        <v/>
      </c>
      <c r="R179" t="str">
        <f>O179&amp;Q179</f>
        <v>ABA</v>
      </c>
    </row>
    <row r="180" spans="1:18" x14ac:dyDescent="0.25">
      <c r="A180" s="7" t="s">
        <v>1169</v>
      </c>
      <c r="B180" s="8">
        <v>1</v>
      </c>
      <c r="C180" s="11">
        <v>6.2155775398999025E-4</v>
      </c>
      <c r="D180" s="12">
        <v>0.75973004270195943</v>
      </c>
      <c r="E180" t="s">
        <v>1238</v>
      </c>
      <c r="F180" s="8">
        <v>315</v>
      </c>
      <c r="G180" s="11">
        <v>9.0059728231279255E-4</v>
      </c>
      <c r="H180" s="12">
        <v>0.80822522456701029</v>
      </c>
      <c r="I180" t="s">
        <v>1239</v>
      </c>
      <c r="J180" s="8">
        <v>5</v>
      </c>
      <c r="K180">
        <v>6</v>
      </c>
      <c r="L180" s="11">
        <v>6.2155775398998981E-4</v>
      </c>
      <c r="M180" s="12">
        <v>0.75973004270195932</v>
      </c>
      <c r="N180" t="s">
        <v>1238</v>
      </c>
      <c r="O180" t="s">
        <v>1253</v>
      </c>
      <c r="P180" s="23">
        <f>VLOOKUP(A180,вариация!A$2:G$805,2,FALSE)</f>
        <v>2.2360679774997894</v>
      </c>
      <c r="Q180" t="str">
        <f>IF(вариация!H181="Yes",IF(P183&lt;0.1,"X",IF(P183&lt;0.25,"Y","Z")),"")</f>
        <v/>
      </c>
      <c r="R180" t="str">
        <f>O180&amp;Q180</f>
        <v>ABA</v>
      </c>
    </row>
    <row r="181" spans="1:18" x14ac:dyDescent="0.25">
      <c r="A181" s="7" t="s">
        <v>611</v>
      </c>
      <c r="B181" s="8">
        <v>1</v>
      </c>
      <c r="C181" s="11">
        <v>6.2155775398999025E-4</v>
      </c>
      <c r="D181" s="12">
        <v>0.76035160045594941</v>
      </c>
      <c r="E181" t="s">
        <v>1238</v>
      </c>
      <c r="F181" s="8">
        <v>269</v>
      </c>
      <c r="G181" s="11">
        <v>7.6908148870521011E-4</v>
      </c>
      <c r="H181" s="12">
        <v>0.85115086461434453</v>
      </c>
      <c r="I181" t="s">
        <v>1239</v>
      </c>
      <c r="J181" s="8">
        <v>5</v>
      </c>
      <c r="K181">
        <v>6</v>
      </c>
      <c r="L181" s="11">
        <v>6.2155775398998981E-4</v>
      </c>
      <c r="M181" s="12">
        <v>0.76035160045594929</v>
      </c>
      <c r="N181" t="s">
        <v>1238</v>
      </c>
      <c r="O181" t="s">
        <v>1253</v>
      </c>
      <c r="P181" s="23">
        <f>VLOOKUP(A181,вариация!A$2:G$805,2,FALSE)</f>
        <v>2.2360679774997894</v>
      </c>
      <c r="Q181" t="str">
        <f>IF(вариация!H182="Yes",IF(P184&lt;0.1,"X",IF(P184&lt;0.25,"Y","Z")),"")</f>
        <v/>
      </c>
      <c r="R181" t="str">
        <f>O181&amp;Q181</f>
        <v>ABA</v>
      </c>
    </row>
    <row r="182" spans="1:18" x14ac:dyDescent="0.25">
      <c r="A182" s="7" t="s">
        <v>60</v>
      </c>
      <c r="B182" s="8">
        <v>1</v>
      </c>
      <c r="C182" s="11">
        <v>6.2155775398999025E-4</v>
      </c>
      <c r="D182" s="12">
        <v>0.76097315820993938</v>
      </c>
      <c r="E182" t="s">
        <v>1238</v>
      </c>
      <c r="F182" s="8">
        <v>4487</v>
      </c>
      <c r="G182" s="11">
        <v>1.2828507954722223E-2</v>
      </c>
      <c r="H182" s="12">
        <v>5.9479447178524873E-2</v>
      </c>
      <c r="I182" t="s">
        <v>1238</v>
      </c>
      <c r="J182" s="8">
        <v>5</v>
      </c>
      <c r="K182">
        <v>6</v>
      </c>
      <c r="L182" s="11">
        <v>6.2155775398998981E-4</v>
      </c>
      <c r="M182" s="12">
        <v>0.76097315820993927</v>
      </c>
      <c r="N182" t="s">
        <v>1238</v>
      </c>
      <c r="O182" t="s">
        <v>1252</v>
      </c>
      <c r="P182" s="23">
        <f>VLOOKUP(A182,вариация!A$2:G$805,2,FALSE)</f>
        <v>2.2360679774997894</v>
      </c>
      <c r="Q182" t="str">
        <f>IF(вариация!H183="Yes",IF(P185&lt;0.1,"X",IF(P185&lt;0.25,"Y","Z")),"")</f>
        <v/>
      </c>
      <c r="R182" t="str">
        <f>O182&amp;Q182</f>
        <v>AAA</v>
      </c>
    </row>
    <row r="183" spans="1:18" x14ac:dyDescent="0.25">
      <c r="A183" s="7" t="s">
        <v>166</v>
      </c>
      <c r="B183" s="8">
        <v>17</v>
      </c>
      <c r="C183" s="11">
        <v>1.0566481817829834E-2</v>
      </c>
      <c r="D183" s="12">
        <v>0.11996064652006812</v>
      </c>
      <c r="E183" t="s">
        <v>1238</v>
      </c>
      <c r="F183" s="8">
        <v>267</v>
      </c>
      <c r="G183" s="11">
        <v>7.6336341072227182E-4</v>
      </c>
      <c r="H183" s="12">
        <v>0.85344667292449417</v>
      </c>
      <c r="I183" t="s">
        <v>1239</v>
      </c>
      <c r="J183" s="8">
        <v>5</v>
      </c>
      <c r="K183">
        <v>102</v>
      </c>
      <c r="L183" s="11">
        <v>1.0566481817829827E-2</v>
      </c>
      <c r="M183" s="12">
        <v>0.11996064652006802</v>
      </c>
      <c r="N183" t="s">
        <v>1238</v>
      </c>
      <c r="O183" t="s">
        <v>1253</v>
      </c>
      <c r="P183" s="23">
        <f>VLOOKUP(A183,вариация!A$2:G$805,2,FALSE)</f>
        <v>0.44605149670891486</v>
      </c>
      <c r="Q183" t="str">
        <f>IF(вариация!H184="Yes",IF(P186&lt;0.1,"X",IF(P186&lt;0.25,"Y","Z")),"")</f>
        <v>Z</v>
      </c>
      <c r="R183" t="str">
        <f>O183&amp;Q183</f>
        <v>ABAZ</v>
      </c>
    </row>
    <row r="184" spans="1:18" x14ac:dyDescent="0.25">
      <c r="A184" s="7" t="s">
        <v>1229</v>
      </c>
      <c r="B184" s="8">
        <v>1</v>
      </c>
      <c r="C184" s="11">
        <v>6.2155775398999025E-4</v>
      </c>
      <c r="D184" s="12">
        <v>0.76159471596392936</v>
      </c>
      <c r="E184" t="s">
        <v>1238</v>
      </c>
      <c r="F184" s="8">
        <v>27</v>
      </c>
      <c r="G184" s="11">
        <v>7.7194052769667928E-5</v>
      </c>
      <c r="H184" s="12">
        <v>0.99921971107844987</v>
      </c>
      <c r="I184" t="s">
        <v>1240</v>
      </c>
      <c r="J184" s="8">
        <v>5</v>
      </c>
      <c r="K184">
        <v>6</v>
      </c>
      <c r="L184" s="11">
        <v>6.2155775398998981E-4</v>
      </c>
      <c r="M184" s="12">
        <v>0.76159471596392925</v>
      </c>
      <c r="N184" t="s">
        <v>1238</v>
      </c>
      <c r="O184" t="s">
        <v>1254</v>
      </c>
      <c r="P184" s="23">
        <f>VLOOKUP(A184,вариация!A$2:G$805,2,FALSE)</f>
        <v>2.2360679774997894</v>
      </c>
      <c r="Q184" t="str">
        <f>IF(вариация!H185="Yes",IF(P187&lt;0.1,"X",IF(P187&lt;0.25,"Y","Z")),"")</f>
        <v/>
      </c>
      <c r="R184" t="str">
        <f>O184&amp;Q184</f>
        <v>ACA</v>
      </c>
    </row>
    <row r="185" spans="1:18" x14ac:dyDescent="0.25">
      <c r="A185" s="7" t="s">
        <v>783</v>
      </c>
      <c r="B185" s="8">
        <v>3</v>
      </c>
      <c r="C185" s="11">
        <v>1.8646732619699705E-3</v>
      </c>
      <c r="D185" s="12">
        <v>0.43633354330097285</v>
      </c>
      <c r="E185" t="s">
        <v>1238</v>
      </c>
      <c r="F185" s="8">
        <v>213</v>
      </c>
      <c r="G185" s="11">
        <v>6.0897530518293588E-4</v>
      </c>
      <c r="H185" s="12">
        <v>0.89747467259674352</v>
      </c>
      <c r="I185" t="s">
        <v>1239</v>
      </c>
      <c r="J185" s="8">
        <v>5</v>
      </c>
      <c r="K185">
        <v>18</v>
      </c>
      <c r="L185" s="11">
        <v>1.8646732619699697E-3</v>
      </c>
      <c r="M185" s="12">
        <v>0.43633354330097268</v>
      </c>
      <c r="N185" t="s">
        <v>1238</v>
      </c>
      <c r="O185" t="s">
        <v>1253</v>
      </c>
      <c r="P185" s="23">
        <f>VLOOKUP(A185,вариация!A$2:G$805,2,FALSE)</f>
        <v>2.2360679774997898</v>
      </c>
      <c r="Q185" t="str">
        <f>IF(вариация!H186="Yes",IF(P188&lt;0.1,"X",IF(P188&lt;0.25,"Y","Z")),"")</f>
        <v/>
      </c>
      <c r="R185" t="str">
        <f>O185&amp;Q185</f>
        <v>ABA</v>
      </c>
    </row>
    <row r="186" spans="1:18" x14ac:dyDescent="0.25">
      <c r="A186" s="7" t="s">
        <v>965</v>
      </c>
      <c r="B186" s="8">
        <v>1</v>
      </c>
      <c r="C186" s="11">
        <v>6.2155775398999025E-4</v>
      </c>
      <c r="D186" s="12">
        <v>0.76221627371791933</v>
      </c>
      <c r="E186" t="s">
        <v>1238</v>
      </c>
      <c r="F186" s="8">
        <v>137</v>
      </c>
      <c r="G186" s="11">
        <v>3.9168834183127803E-4</v>
      </c>
      <c r="H186" s="12">
        <v>0.94261498139920208</v>
      </c>
      <c r="I186" t="s">
        <v>1239</v>
      </c>
      <c r="J186" s="8">
        <v>5</v>
      </c>
      <c r="K186">
        <v>6</v>
      </c>
      <c r="L186" s="11">
        <v>6.2155775398998981E-4</v>
      </c>
      <c r="M186" s="12">
        <v>0.76221627371791922</v>
      </c>
      <c r="N186" t="s">
        <v>1238</v>
      </c>
      <c r="O186" t="s">
        <v>1253</v>
      </c>
      <c r="P186" s="23">
        <f>VLOOKUP(A186,вариация!A$2:G$805,2,FALSE)</f>
        <v>2.2360679774997894</v>
      </c>
      <c r="Q186" t="str">
        <f>IF(вариация!H187="Yes",IF(P189&lt;0.1,"X",IF(P189&lt;0.25,"Y","Z")),"")</f>
        <v/>
      </c>
      <c r="R186" t="str">
        <f>O186&amp;Q186</f>
        <v>ABA</v>
      </c>
    </row>
    <row r="187" spans="1:18" x14ac:dyDescent="0.25">
      <c r="A187" s="7" t="s">
        <v>1193</v>
      </c>
      <c r="B187" s="8">
        <v>1</v>
      </c>
      <c r="C187" s="11">
        <v>6.2155775398999025E-4</v>
      </c>
      <c r="D187" s="12">
        <v>0.76283783147190931</v>
      </c>
      <c r="E187" t="s">
        <v>1238</v>
      </c>
      <c r="F187" s="8">
        <v>137</v>
      </c>
      <c r="G187" s="11">
        <v>3.9168834183127803E-4</v>
      </c>
      <c r="H187" s="12">
        <v>0.94300666974103331</v>
      </c>
      <c r="I187" t="s">
        <v>1239</v>
      </c>
      <c r="J187" s="8">
        <v>5</v>
      </c>
      <c r="K187">
        <v>6</v>
      </c>
      <c r="L187" s="11">
        <v>6.2155775398998981E-4</v>
      </c>
      <c r="M187" s="12">
        <v>0.7628378314719092</v>
      </c>
      <c r="N187" t="s">
        <v>1238</v>
      </c>
      <c r="O187" t="s">
        <v>1253</v>
      </c>
      <c r="P187" s="23">
        <f>VLOOKUP(A187,вариация!A$2:G$805,2,FALSE)</f>
        <v>2.2360679774997894</v>
      </c>
      <c r="Q187" t="str">
        <f>IF(вариация!H188="Yes",IF(P190&lt;0.1,"X",IF(P190&lt;0.25,"Y","Z")),"")</f>
        <v/>
      </c>
      <c r="R187" t="str">
        <f>O187&amp;Q187</f>
        <v>ABA</v>
      </c>
    </row>
    <row r="188" spans="1:18" x14ac:dyDescent="0.25">
      <c r="A188" s="7" t="s">
        <v>1080</v>
      </c>
      <c r="B188" s="8">
        <v>2</v>
      </c>
      <c r="C188" s="11">
        <v>1.2431155079799805E-3</v>
      </c>
      <c r="D188" s="12">
        <v>0.55629418982104017</v>
      </c>
      <c r="E188" t="s">
        <v>1238</v>
      </c>
      <c r="F188" s="8">
        <v>52</v>
      </c>
      <c r="G188" s="11">
        <v>1.4867002755639751E-4</v>
      </c>
      <c r="H188" s="12">
        <v>0.99378223015626932</v>
      </c>
      <c r="I188" t="s">
        <v>1240</v>
      </c>
      <c r="J188" s="8">
        <v>5</v>
      </c>
      <c r="K188">
        <v>12</v>
      </c>
      <c r="L188" s="11">
        <v>1.2431155079799796E-3</v>
      </c>
      <c r="M188" s="12">
        <v>0.55629418982104006</v>
      </c>
      <c r="N188" t="s">
        <v>1238</v>
      </c>
      <c r="O188" t="s">
        <v>1254</v>
      </c>
      <c r="P188" s="23">
        <f>VLOOKUP(A188,вариация!A$2:G$805,2,FALSE)</f>
        <v>2.2360679774997894</v>
      </c>
      <c r="Q188" t="str">
        <f>IF(вариация!H189="Yes",IF(P191&lt;0.1,"X",IF(P191&lt;0.25,"Y","Z")),"")</f>
        <v/>
      </c>
      <c r="R188" t="str">
        <f>O188&amp;Q188</f>
        <v>ACA</v>
      </c>
    </row>
    <row r="189" spans="1:18" x14ac:dyDescent="0.25">
      <c r="A189" s="7" t="s">
        <v>903</v>
      </c>
      <c r="B189" s="8">
        <v>2</v>
      </c>
      <c r="C189" s="11">
        <v>1.2431155079799805E-3</v>
      </c>
      <c r="D189" s="12">
        <v>0.55753730532902013</v>
      </c>
      <c r="E189" t="s">
        <v>1238</v>
      </c>
      <c r="F189" s="8">
        <v>60</v>
      </c>
      <c r="G189" s="11">
        <v>1.7154233948815098E-4</v>
      </c>
      <c r="H189" s="12">
        <v>0.99188394262749346</v>
      </c>
      <c r="I189" t="s">
        <v>1240</v>
      </c>
      <c r="J189" s="8">
        <v>5</v>
      </c>
      <c r="K189">
        <v>12</v>
      </c>
      <c r="L189" s="11">
        <v>1.2431155079799796E-3</v>
      </c>
      <c r="M189" s="12">
        <v>0.55753730532902002</v>
      </c>
      <c r="N189" t="s">
        <v>1238</v>
      </c>
      <c r="O189" t="s">
        <v>1254</v>
      </c>
      <c r="P189" s="23">
        <f>VLOOKUP(A189,вариация!A$2:G$805,2,FALSE)</f>
        <v>2.2360679774997894</v>
      </c>
      <c r="Q189" t="str">
        <f>IF(вариация!H190="Yes",IF(P192&lt;0.1,"X",IF(P192&lt;0.25,"Y","Z")),"")</f>
        <v/>
      </c>
      <c r="R189" t="str">
        <f>O189&amp;Q189</f>
        <v>ACA</v>
      </c>
    </row>
    <row r="190" spans="1:18" x14ac:dyDescent="0.25">
      <c r="A190" s="7" t="s">
        <v>933</v>
      </c>
      <c r="B190" s="8">
        <v>1</v>
      </c>
      <c r="C190" s="11">
        <v>6.2155775398999025E-4</v>
      </c>
      <c r="D190" s="12">
        <v>0.76345938922589929</v>
      </c>
      <c r="E190" t="s">
        <v>1238</v>
      </c>
      <c r="F190" s="8">
        <v>609</v>
      </c>
      <c r="G190" s="11">
        <v>1.7411547458047322E-3</v>
      </c>
      <c r="H190" s="12">
        <v>0.57628157192599327</v>
      </c>
      <c r="I190" t="s">
        <v>1238</v>
      </c>
      <c r="J190" s="8">
        <v>5</v>
      </c>
      <c r="K190">
        <v>6</v>
      </c>
      <c r="L190" s="11">
        <v>6.2155775398998981E-4</v>
      </c>
      <c r="M190" s="12">
        <v>0.76345938922589918</v>
      </c>
      <c r="N190" t="s">
        <v>1238</v>
      </c>
      <c r="O190" t="s">
        <v>1252</v>
      </c>
      <c r="P190" s="23">
        <f>VLOOKUP(A190,вариация!A$2:G$805,2,FALSE)</f>
        <v>2.2360679774997894</v>
      </c>
      <c r="Q190" t="str">
        <f>IF(вариация!H191="Yes",IF(P193&lt;0.1,"X",IF(P193&lt;0.25,"Y","Z")),"")</f>
        <v/>
      </c>
      <c r="R190" t="str">
        <f>O190&amp;Q190</f>
        <v>AAA</v>
      </c>
    </row>
    <row r="191" spans="1:18" x14ac:dyDescent="0.25">
      <c r="A191" s="7" t="s">
        <v>227</v>
      </c>
      <c r="B191" s="8">
        <v>1</v>
      </c>
      <c r="C191" s="11">
        <v>6.2155775398999025E-4</v>
      </c>
      <c r="D191" s="12">
        <v>0.76408094697988926</v>
      </c>
      <c r="E191" t="s">
        <v>1238</v>
      </c>
      <c r="F191" s="8">
        <v>80</v>
      </c>
      <c r="G191" s="11">
        <v>2.2872311931753462E-4</v>
      </c>
      <c r="H191" s="12">
        <v>0.98110579448550328</v>
      </c>
      <c r="I191" t="s">
        <v>1240</v>
      </c>
      <c r="J191" s="8">
        <v>5</v>
      </c>
      <c r="K191">
        <v>6</v>
      </c>
      <c r="L191" s="11">
        <v>6.2155775398998981E-4</v>
      </c>
      <c r="M191" s="12">
        <v>0.76408094697988915</v>
      </c>
      <c r="N191" t="s">
        <v>1238</v>
      </c>
      <c r="O191" t="s">
        <v>1254</v>
      </c>
      <c r="P191" s="23">
        <f>VLOOKUP(A191,вариация!A$2:G$805,2,FALSE)</f>
        <v>2.2360679774997894</v>
      </c>
      <c r="Q191" t="str">
        <f>IF(вариация!H192="Yes",IF(P194&lt;0.1,"X",IF(P194&lt;0.25,"Y","Z")),"")</f>
        <v/>
      </c>
      <c r="R191" t="str">
        <f>O191&amp;Q191</f>
        <v>ACA</v>
      </c>
    </row>
    <row r="192" spans="1:18" x14ac:dyDescent="0.25">
      <c r="A192" s="7" t="s">
        <v>296</v>
      </c>
      <c r="B192" s="8">
        <v>2</v>
      </c>
      <c r="C192" s="11">
        <v>1.2431155079799805E-3</v>
      </c>
      <c r="D192" s="12">
        <v>0.55878042083700008</v>
      </c>
      <c r="E192" t="s">
        <v>1238</v>
      </c>
      <c r="F192" s="8">
        <v>952</v>
      </c>
      <c r="G192" s="11">
        <v>2.721805119878662E-3</v>
      </c>
      <c r="H192" s="12">
        <v>0.43109892388159143</v>
      </c>
      <c r="I192" t="s">
        <v>1238</v>
      </c>
      <c r="J192" s="8">
        <v>5</v>
      </c>
      <c r="K192">
        <v>12</v>
      </c>
      <c r="L192" s="11">
        <v>1.2431155079799796E-3</v>
      </c>
      <c r="M192" s="12">
        <v>0.55878042083699997</v>
      </c>
      <c r="N192" t="s">
        <v>1238</v>
      </c>
      <c r="O192" t="s">
        <v>1252</v>
      </c>
      <c r="P192" s="23">
        <f>VLOOKUP(A192,вариация!A$2:G$805,2,FALSE)</f>
        <v>1.3693063937629151</v>
      </c>
      <c r="Q192" t="str">
        <f>IF(вариация!H193="Yes",IF(P195&lt;0.1,"X",IF(P195&lt;0.25,"Y","Z")),"")</f>
        <v/>
      </c>
      <c r="R192" t="str">
        <f>O192&amp;Q192</f>
        <v>AAA</v>
      </c>
    </row>
    <row r="193" spans="1:18" x14ac:dyDescent="0.25">
      <c r="A193" s="7" t="s">
        <v>850</v>
      </c>
      <c r="B193" s="8">
        <v>1</v>
      </c>
      <c r="C193" s="11">
        <v>6.2155775398999025E-4</v>
      </c>
      <c r="D193" s="12">
        <v>0.76470250473387924</v>
      </c>
      <c r="E193" t="s">
        <v>1238</v>
      </c>
      <c r="F193" s="8">
        <v>337</v>
      </c>
      <c r="G193" s="11">
        <v>9.6349614012511452E-4</v>
      </c>
      <c r="H193" s="12">
        <v>0.7933103614986533</v>
      </c>
      <c r="I193" t="s">
        <v>1238</v>
      </c>
      <c r="J193" s="8">
        <v>5</v>
      </c>
      <c r="K193">
        <v>6</v>
      </c>
      <c r="L193" s="11">
        <v>6.2155775398998981E-4</v>
      </c>
      <c r="M193" s="12">
        <v>0.76470250473387913</v>
      </c>
      <c r="N193" t="s">
        <v>1238</v>
      </c>
      <c r="O193" t="s">
        <v>1252</v>
      </c>
      <c r="P193" s="23">
        <f>VLOOKUP(A193,вариация!A$2:G$805,2,FALSE)</f>
        <v>2.2360679774997894</v>
      </c>
      <c r="Q193" t="str">
        <f>IF(вариация!H194="Yes",IF(P196&lt;0.1,"X",IF(P196&lt;0.25,"Y","Z")),"")</f>
        <v/>
      </c>
      <c r="R193" t="str">
        <f>O193&amp;Q193</f>
        <v>AAA</v>
      </c>
    </row>
    <row r="194" spans="1:18" x14ac:dyDescent="0.25">
      <c r="A194" s="7" t="s">
        <v>513</v>
      </c>
      <c r="B194" s="8">
        <v>2</v>
      </c>
      <c r="C194" s="11">
        <v>1.2431155079799805E-3</v>
      </c>
      <c r="D194" s="12">
        <v>0.56002353634498003</v>
      </c>
      <c r="E194" t="s">
        <v>1238</v>
      </c>
      <c r="F194" s="8">
        <v>498</v>
      </c>
      <c r="G194" s="11">
        <v>1.4238014177516531E-3</v>
      </c>
      <c r="H194" s="12">
        <v>0.65376422559258962</v>
      </c>
      <c r="I194" t="s">
        <v>1238</v>
      </c>
      <c r="J194" s="8">
        <v>5</v>
      </c>
      <c r="K194">
        <v>12</v>
      </c>
      <c r="L194" s="11">
        <v>1.2431155079799796E-3</v>
      </c>
      <c r="M194" s="12">
        <v>0.56002353634497992</v>
      </c>
      <c r="N194" t="s">
        <v>1238</v>
      </c>
      <c r="O194" t="s">
        <v>1252</v>
      </c>
      <c r="P194" s="23">
        <f>VLOOKUP(A194,вариация!A$2:G$805,2,FALSE)</f>
        <v>1.3693063937629151</v>
      </c>
      <c r="Q194" t="str">
        <f>IF(вариация!H195="Yes",IF(P197&lt;0.1,"X",IF(P197&lt;0.25,"Y","Z")),"")</f>
        <v/>
      </c>
      <c r="R194" t="str">
        <f>O194&amp;Q194</f>
        <v>AAA</v>
      </c>
    </row>
    <row r="195" spans="1:18" x14ac:dyDescent="0.25">
      <c r="A195" s="7" t="s">
        <v>260</v>
      </c>
      <c r="B195" s="8">
        <v>5</v>
      </c>
      <c r="C195" s="11">
        <v>3.1077887699499512E-3</v>
      </c>
      <c r="D195" s="12">
        <v>0.33253339838464441</v>
      </c>
      <c r="E195" t="s">
        <v>1238</v>
      </c>
      <c r="F195" s="8">
        <v>338</v>
      </c>
      <c r="G195" s="11">
        <v>9.6635517911658377E-4</v>
      </c>
      <c r="H195" s="12">
        <v>0.79234686535852816</v>
      </c>
      <c r="I195" t="s">
        <v>1238</v>
      </c>
      <c r="J195" s="8">
        <v>5</v>
      </c>
      <c r="K195">
        <v>30</v>
      </c>
      <c r="L195" s="11">
        <v>3.1077887699499491E-3</v>
      </c>
      <c r="M195" s="12">
        <v>0.33253339838464424</v>
      </c>
      <c r="N195" t="s">
        <v>1238</v>
      </c>
      <c r="O195" t="s">
        <v>1252</v>
      </c>
      <c r="P195" s="23">
        <f>VLOOKUP(A195,вариация!A$2:G$805,2,FALSE)</f>
        <v>0.70710678118654757</v>
      </c>
      <c r="Q195" t="str">
        <f>IF(вариация!H196="Yes",IF(P198&lt;0.1,"X",IF(P198&lt;0.25,"Y","Z")),"")</f>
        <v>Z</v>
      </c>
      <c r="R195" t="str">
        <f>O195&amp;Q195</f>
        <v>AAAZ</v>
      </c>
    </row>
    <row r="196" spans="1:18" x14ac:dyDescent="0.25">
      <c r="A196" s="7" t="s">
        <v>807</v>
      </c>
      <c r="B196" s="8">
        <v>4</v>
      </c>
      <c r="C196" s="11">
        <v>2.486231015959961E-3</v>
      </c>
      <c r="D196" s="12">
        <v>0.37231309464000367</v>
      </c>
      <c r="E196" t="s">
        <v>1238</v>
      </c>
      <c r="F196" s="8">
        <v>131</v>
      </c>
      <c r="G196" s="11">
        <v>3.7453410788246293E-4</v>
      </c>
      <c r="H196" s="12">
        <v>0.94567701215906541</v>
      </c>
      <c r="I196" t="s">
        <v>1239</v>
      </c>
      <c r="J196" s="8">
        <v>5</v>
      </c>
      <c r="K196">
        <v>24</v>
      </c>
      <c r="L196" s="11">
        <v>2.4862310159599593E-3</v>
      </c>
      <c r="M196" s="12">
        <v>0.37231309464000351</v>
      </c>
      <c r="N196" t="s">
        <v>1238</v>
      </c>
      <c r="O196" t="s">
        <v>1253</v>
      </c>
      <c r="P196" s="23">
        <f>VLOOKUP(A196,вариация!A$2:G$805,2,FALSE)</f>
        <v>1.0458250331675945</v>
      </c>
      <c r="Q196" t="str">
        <f>IF(вариация!H197="Yes",IF(P199&lt;0.1,"X",IF(P199&lt;0.25,"Y","Z")),"")</f>
        <v>Z</v>
      </c>
      <c r="R196" t="str">
        <f>O196&amp;Q196</f>
        <v>ABAZ</v>
      </c>
    </row>
    <row r="197" spans="1:18" x14ac:dyDescent="0.25">
      <c r="A197" s="7" t="s">
        <v>546</v>
      </c>
      <c r="B197" s="8">
        <v>1</v>
      </c>
      <c r="C197" s="11">
        <v>6.2155775398999025E-4</v>
      </c>
      <c r="D197" s="12">
        <v>0.76532406248786922</v>
      </c>
      <c r="E197" t="s">
        <v>1238</v>
      </c>
      <c r="F197" s="8">
        <v>208</v>
      </c>
      <c r="G197" s="11">
        <v>5.9468011022559004E-4</v>
      </c>
      <c r="H197" s="12">
        <v>0.89927586716136898</v>
      </c>
      <c r="I197" t="s">
        <v>1239</v>
      </c>
      <c r="J197" s="8">
        <v>5</v>
      </c>
      <c r="K197">
        <v>6</v>
      </c>
      <c r="L197" s="11">
        <v>6.2155775398998981E-4</v>
      </c>
      <c r="M197" s="12">
        <v>0.76532406248786911</v>
      </c>
      <c r="N197" t="s">
        <v>1238</v>
      </c>
      <c r="O197" t="s">
        <v>1253</v>
      </c>
      <c r="P197" s="23">
        <f>VLOOKUP(A197,вариация!A$2:G$805,2,FALSE)</f>
        <v>2.2360679774997894</v>
      </c>
      <c r="Q197" t="str">
        <f>IF(вариация!H198="Yes",IF(P200&lt;0.1,"X",IF(P200&lt;0.25,"Y","Z")),"")</f>
        <v/>
      </c>
      <c r="R197" t="str">
        <f>O197&amp;Q197</f>
        <v>ABA</v>
      </c>
    </row>
    <row r="198" spans="1:18" x14ac:dyDescent="0.25">
      <c r="A198" s="7" t="s">
        <v>1023</v>
      </c>
      <c r="B198" s="8">
        <v>1</v>
      </c>
      <c r="C198" s="11">
        <v>6.2155775398999025E-4</v>
      </c>
      <c r="D198" s="12">
        <v>0.76594562024185919</v>
      </c>
      <c r="E198" t="s">
        <v>1238</v>
      </c>
      <c r="F198" s="8">
        <v>384</v>
      </c>
      <c r="G198" s="11">
        <v>1.0978709727241661E-3</v>
      </c>
      <c r="H198" s="12">
        <v>0.74712234539150291</v>
      </c>
      <c r="I198" t="s">
        <v>1238</v>
      </c>
      <c r="J198" s="8">
        <v>5</v>
      </c>
      <c r="K198">
        <v>6</v>
      </c>
      <c r="L198" s="11">
        <v>6.2155775398998981E-4</v>
      </c>
      <c r="M198" s="12">
        <v>0.76594562024185908</v>
      </c>
      <c r="N198" t="s">
        <v>1238</v>
      </c>
      <c r="O198" t="s">
        <v>1252</v>
      </c>
      <c r="P198" s="23">
        <f>VLOOKUP(A198,вариация!A$2:G$805,2,FALSE)</f>
        <v>2.2360679774997894</v>
      </c>
      <c r="Q198" t="str">
        <f>IF(вариация!H199="Yes",IF(P201&lt;0.1,"X",IF(P201&lt;0.25,"Y","Z")),"")</f>
        <v/>
      </c>
      <c r="R198" t="str">
        <f>O198&amp;Q198</f>
        <v>AAA</v>
      </c>
    </row>
    <row r="199" spans="1:18" x14ac:dyDescent="0.25">
      <c r="A199" s="7" t="s">
        <v>919</v>
      </c>
      <c r="B199" s="8">
        <v>2</v>
      </c>
      <c r="C199" s="11">
        <v>1.2431155079799805E-3</v>
      </c>
      <c r="D199" s="12">
        <v>0.56126665185295999</v>
      </c>
      <c r="E199" t="s">
        <v>1238</v>
      </c>
      <c r="F199" s="8">
        <v>108.66</v>
      </c>
      <c r="G199" s="11">
        <v>3.106631768130414E-4</v>
      </c>
      <c r="H199" s="12">
        <v>0.9621887342753277</v>
      </c>
      <c r="I199" t="s">
        <v>1240</v>
      </c>
      <c r="J199" s="8">
        <v>5</v>
      </c>
      <c r="K199">
        <v>12</v>
      </c>
      <c r="L199" s="11">
        <v>1.2431155079799796E-3</v>
      </c>
      <c r="M199" s="12">
        <v>0.56126665185295987</v>
      </c>
      <c r="N199" t="s">
        <v>1238</v>
      </c>
      <c r="O199" t="s">
        <v>1254</v>
      </c>
      <c r="P199" s="23">
        <f>VLOOKUP(A199,вариация!A$2:G$805,2,FALSE)</f>
        <v>1.3693063937629151</v>
      </c>
      <c r="Q199" t="str">
        <f>IF(вариация!H200="Yes",IF(P202&lt;0.1,"X",IF(P202&lt;0.25,"Y","Z")),"")</f>
        <v/>
      </c>
      <c r="R199" t="str">
        <f>O199&amp;Q199</f>
        <v>ACA</v>
      </c>
    </row>
    <row r="200" spans="1:18" x14ac:dyDescent="0.25">
      <c r="A200" s="7" t="s">
        <v>665</v>
      </c>
      <c r="B200" s="8">
        <v>7.1428400000000003E-2</v>
      </c>
      <c r="C200" s="11">
        <v>4.4396875875098618E-5</v>
      </c>
      <c r="D200" s="12">
        <v>0.99987154472875983</v>
      </c>
      <c r="E200" t="s">
        <v>1240</v>
      </c>
      <c r="F200" s="8">
        <v>51.714161600000004</v>
      </c>
      <c r="G200" s="11">
        <v>1.4785280442553835E-4</v>
      </c>
      <c r="H200" s="12">
        <v>0.99422742301580758</v>
      </c>
      <c r="I200" t="s">
        <v>1240</v>
      </c>
      <c r="J200" s="8">
        <v>5</v>
      </c>
      <c r="K200">
        <v>0.42857040000000002</v>
      </c>
      <c r="L200" s="11">
        <v>4.4396875875098591E-5</v>
      </c>
      <c r="M200" s="12">
        <v>0.99987154472875972</v>
      </c>
      <c r="N200" t="s">
        <v>1240</v>
      </c>
      <c r="O200" t="s">
        <v>1260</v>
      </c>
      <c r="P200" s="23">
        <f>VLOOKUP(A200,вариация!A$2:G$805,2,FALSE)</f>
        <v>2.2360679774997894</v>
      </c>
      <c r="Q200" t="str">
        <f>IF(вариация!H201="Yes",IF(P203&lt;0.1,"X",IF(P203&lt;0.25,"Y","Z")),"")</f>
        <v/>
      </c>
      <c r="R200" t="str">
        <f>O200&amp;Q200</f>
        <v>CCC</v>
      </c>
    </row>
    <row r="201" spans="1:18" x14ac:dyDescent="0.25">
      <c r="A201" s="7" t="s">
        <v>336</v>
      </c>
      <c r="B201" s="8">
        <v>2</v>
      </c>
      <c r="C201" s="11">
        <v>1.2431155079799805E-3</v>
      </c>
      <c r="D201" s="12">
        <v>0.56250976736093994</v>
      </c>
      <c r="E201" t="s">
        <v>1238</v>
      </c>
      <c r="F201" s="8">
        <v>1276</v>
      </c>
      <c r="G201" s="11">
        <v>3.648133753114677E-3</v>
      </c>
      <c r="H201" s="12">
        <v>0.33244359025377013</v>
      </c>
      <c r="I201" t="s">
        <v>1238</v>
      </c>
      <c r="J201" s="8">
        <v>5</v>
      </c>
      <c r="K201">
        <v>12</v>
      </c>
      <c r="L201" s="11">
        <v>1.2431155079799796E-3</v>
      </c>
      <c r="M201" s="12">
        <v>0.56250976736093983</v>
      </c>
      <c r="N201" t="s">
        <v>1238</v>
      </c>
      <c r="O201" t="s">
        <v>1252</v>
      </c>
      <c r="P201" s="23">
        <f>VLOOKUP(A201,вариация!A$2:G$805,2,FALSE)</f>
        <v>2.2360679774997894</v>
      </c>
      <c r="Q201" t="str">
        <f>IF(вариация!H202="Yes",IF(P204&lt;0.1,"X",IF(P204&lt;0.25,"Y","Z")),"")</f>
        <v/>
      </c>
      <c r="R201" t="str">
        <f>O201&amp;Q201</f>
        <v>AAA</v>
      </c>
    </row>
    <row r="202" spans="1:18" x14ac:dyDescent="0.25">
      <c r="A202" s="7" t="s">
        <v>792</v>
      </c>
      <c r="B202" s="8">
        <v>1</v>
      </c>
      <c r="C202" s="11">
        <v>6.2155775398999025E-4</v>
      </c>
      <c r="D202" s="12">
        <v>0.76656717799584917</v>
      </c>
      <c r="E202" t="s">
        <v>1238</v>
      </c>
      <c r="F202" s="8">
        <v>26</v>
      </c>
      <c r="G202" s="11">
        <v>7.4335013778198755E-5</v>
      </c>
      <c r="H202" s="12">
        <v>0.99937124014499767</v>
      </c>
      <c r="I202" t="s">
        <v>1240</v>
      </c>
      <c r="J202" s="8">
        <v>5</v>
      </c>
      <c r="K202">
        <v>6</v>
      </c>
      <c r="L202" s="11">
        <v>6.2155775398998981E-4</v>
      </c>
      <c r="M202" s="12">
        <v>0.76656717799584906</v>
      </c>
      <c r="N202" t="s">
        <v>1238</v>
      </c>
      <c r="O202" t="s">
        <v>1254</v>
      </c>
      <c r="P202" s="23">
        <f>VLOOKUP(A202,вариация!A$2:G$805,2,FALSE)</f>
        <v>2.2360679774997894</v>
      </c>
      <c r="Q202" t="str">
        <f>IF(вариация!H203="Yes",IF(P205&lt;0.1,"X",IF(P205&lt;0.25,"Y","Z")),"")</f>
        <v/>
      </c>
      <c r="R202" t="str">
        <f>O202&amp;Q202</f>
        <v>ACA</v>
      </c>
    </row>
    <row r="203" spans="1:18" x14ac:dyDescent="0.25">
      <c r="A203" s="7" t="s">
        <v>601</v>
      </c>
      <c r="B203" s="8">
        <v>1</v>
      </c>
      <c r="C203" s="11">
        <v>6.2155775398999025E-4</v>
      </c>
      <c r="D203" s="12">
        <v>0.76718873574983915</v>
      </c>
      <c r="E203" t="s">
        <v>1238</v>
      </c>
      <c r="F203" s="8">
        <v>436</v>
      </c>
      <c r="G203" s="11">
        <v>1.2465410002805636E-3</v>
      </c>
      <c r="H203" s="12">
        <v>0.70633243610021235</v>
      </c>
      <c r="I203" t="s">
        <v>1238</v>
      </c>
      <c r="J203" s="8">
        <v>5</v>
      </c>
      <c r="K203">
        <v>6</v>
      </c>
      <c r="L203" s="11">
        <v>6.2155775398998981E-4</v>
      </c>
      <c r="M203" s="12">
        <v>0.76718873574983903</v>
      </c>
      <c r="N203" t="s">
        <v>1238</v>
      </c>
      <c r="O203" t="s">
        <v>1252</v>
      </c>
      <c r="P203" s="23">
        <f>VLOOKUP(A203,вариация!A$2:G$805,2,FALSE)</f>
        <v>2.2360679774997894</v>
      </c>
      <c r="Q203" t="str">
        <f>IF(вариация!H204="Yes",IF(P206&lt;0.1,"X",IF(P206&lt;0.25,"Y","Z")),"")</f>
        <v/>
      </c>
      <c r="R203" t="str">
        <f>O203&amp;Q203</f>
        <v>AAA</v>
      </c>
    </row>
    <row r="204" spans="1:18" x14ac:dyDescent="0.25">
      <c r="A204" s="7" t="s">
        <v>608</v>
      </c>
      <c r="B204" s="8">
        <v>1</v>
      </c>
      <c r="C204" s="11">
        <v>6.2155775398999025E-4</v>
      </c>
      <c r="D204" s="12">
        <v>0.76781029350382912</v>
      </c>
      <c r="E204" t="s">
        <v>1238</v>
      </c>
      <c r="F204" s="8">
        <v>380</v>
      </c>
      <c r="G204" s="11">
        <v>1.0864348167582895E-3</v>
      </c>
      <c r="H204" s="12">
        <v>0.75039880407572668</v>
      </c>
      <c r="I204" t="s">
        <v>1238</v>
      </c>
      <c r="J204" s="8">
        <v>5</v>
      </c>
      <c r="K204">
        <v>6</v>
      </c>
      <c r="L204" s="11">
        <v>6.2155775398998981E-4</v>
      </c>
      <c r="M204" s="12">
        <v>0.76781029350382901</v>
      </c>
      <c r="N204" t="s">
        <v>1238</v>
      </c>
      <c r="O204" t="s">
        <v>1252</v>
      </c>
      <c r="P204" s="23">
        <f>VLOOKUP(A204,вариация!A$2:G$805,2,FALSE)</f>
        <v>2.2360679774997894</v>
      </c>
      <c r="Q204" t="str">
        <f>IF(вариация!H205="Yes",IF(P207&lt;0.1,"X",IF(P207&lt;0.25,"Y","Z")),"")</f>
        <v/>
      </c>
      <c r="R204" t="str">
        <f>O204&amp;Q204</f>
        <v>AAA</v>
      </c>
    </row>
    <row r="205" spans="1:18" x14ac:dyDescent="0.25">
      <c r="A205" s="7" t="s">
        <v>1051</v>
      </c>
      <c r="B205" s="8">
        <v>1</v>
      </c>
      <c r="C205" s="11">
        <v>6.2155775398999025E-4</v>
      </c>
      <c r="D205" s="12">
        <v>0.7684318512578191</v>
      </c>
      <c r="E205" t="s">
        <v>1238</v>
      </c>
      <c r="F205" s="8">
        <v>404</v>
      </c>
      <c r="G205" s="11">
        <v>1.1550517525535499E-3</v>
      </c>
      <c r="H205" s="12">
        <v>0.73022542495192033</v>
      </c>
      <c r="I205" t="s">
        <v>1238</v>
      </c>
      <c r="J205" s="8">
        <v>5</v>
      </c>
      <c r="K205">
        <v>6</v>
      </c>
      <c r="L205" s="11">
        <v>6.2155775398998981E-4</v>
      </c>
      <c r="M205" s="12">
        <v>0.76843185125781899</v>
      </c>
      <c r="N205" t="s">
        <v>1238</v>
      </c>
      <c r="O205" t="s">
        <v>1252</v>
      </c>
      <c r="P205" s="23">
        <f>VLOOKUP(A205,вариация!A$2:G$805,2,FALSE)</f>
        <v>2.2360679774997894</v>
      </c>
      <c r="Q205" t="str">
        <f>IF(вариация!H206="Yes",IF(P208&lt;0.1,"X",IF(P208&lt;0.25,"Y","Z")),"")</f>
        <v/>
      </c>
      <c r="R205" t="str">
        <f>O205&amp;Q205</f>
        <v>AAA</v>
      </c>
    </row>
    <row r="206" spans="1:18" x14ac:dyDescent="0.25">
      <c r="A206" s="7" t="s">
        <v>1153</v>
      </c>
      <c r="B206" s="8">
        <v>2</v>
      </c>
      <c r="C206" s="11">
        <v>1.2431155079799805E-3</v>
      </c>
      <c r="D206" s="12">
        <v>0.56375288286891989</v>
      </c>
      <c r="E206" t="s">
        <v>1238</v>
      </c>
      <c r="F206" s="8">
        <v>1120</v>
      </c>
      <c r="G206" s="11">
        <v>3.2021236704454846E-3</v>
      </c>
      <c r="H206" s="12">
        <v>0.3662935826587283</v>
      </c>
      <c r="I206" t="s">
        <v>1238</v>
      </c>
      <c r="J206" s="8">
        <v>5</v>
      </c>
      <c r="K206">
        <v>12</v>
      </c>
      <c r="L206" s="11">
        <v>1.2431155079799796E-3</v>
      </c>
      <c r="M206" s="12">
        <v>0.56375288286891978</v>
      </c>
      <c r="N206" t="s">
        <v>1238</v>
      </c>
      <c r="O206" t="s">
        <v>1252</v>
      </c>
      <c r="P206" s="23">
        <f>VLOOKUP(A206,вариация!A$2:G$805,2,FALSE)</f>
        <v>2.2360679774997894</v>
      </c>
      <c r="Q206" t="str">
        <f>IF(вариация!H207="Yes",IF(P209&lt;0.1,"X",IF(P209&lt;0.25,"Y","Z")),"")</f>
        <v/>
      </c>
      <c r="R206" t="str">
        <f>O206&amp;Q206</f>
        <v>AAA</v>
      </c>
    </row>
    <row r="207" spans="1:18" x14ac:dyDescent="0.25">
      <c r="A207" s="7" t="s">
        <v>103</v>
      </c>
      <c r="B207" s="8">
        <v>1</v>
      </c>
      <c r="C207" s="11">
        <v>6.2155775398999025E-4</v>
      </c>
      <c r="D207" s="12">
        <v>0.76905340901180907</v>
      </c>
      <c r="E207" t="s">
        <v>1238</v>
      </c>
      <c r="F207" s="8">
        <v>92</v>
      </c>
      <c r="G207" s="11">
        <v>2.6303158721516478E-4</v>
      </c>
      <c r="H207" s="12">
        <v>0.97550568045135266</v>
      </c>
      <c r="I207" t="s">
        <v>1240</v>
      </c>
      <c r="J207" s="8">
        <v>5</v>
      </c>
      <c r="K207">
        <v>6</v>
      </c>
      <c r="L207" s="11">
        <v>6.2155775398998981E-4</v>
      </c>
      <c r="M207" s="12">
        <v>0.76905340901180896</v>
      </c>
      <c r="N207" t="s">
        <v>1238</v>
      </c>
      <c r="O207" t="s">
        <v>1254</v>
      </c>
      <c r="P207" s="23">
        <f>VLOOKUP(A207,вариация!A$2:G$805,2,FALSE)</f>
        <v>2.2360679774997894</v>
      </c>
      <c r="Q207" t="str">
        <f>IF(вариация!H208="Yes",IF(P210&lt;0.1,"X",IF(P210&lt;0.25,"Y","Z")),"")</f>
        <v/>
      </c>
      <c r="R207" t="str">
        <f>O207&amp;Q207</f>
        <v>ACA</v>
      </c>
    </row>
    <row r="208" spans="1:18" x14ac:dyDescent="0.25">
      <c r="A208" s="7" t="s">
        <v>245</v>
      </c>
      <c r="B208" s="8">
        <v>1</v>
      </c>
      <c r="C208" s="11">
        <v>6.2155775398999025E-4</v>
      </c>
      <c r="D208" s="12">
        <v>0.76967496676579905</v>
      </c>
      <c r="E208" t="s">
        <v>1238</v>
      </c>
      <c r="F208" s="8">
        <v>463</v>
      </c>
      <c r="G208" s="11">
        <v>1.3237350530502317E-3</v>
      </c>
      <c r="H208" s="12">
        <v>0.67804224527962476</v>
      </c>
      <c r="I208" t="s">
        <v>1238</v>
      </c>
      <c r="J208" s="8">
        <v>5</v>
      </c>
      <c r="K208">
        <v>6</v>
      </c>
      <c r="L208" s="11">
        <v>6.2155775398998981E-4</v>
      </c>
      <c r="M208" s="12">
        <v>0.76967496676579894</v>
      </c>
      <c r="N208" t="s">
        <v>1238</v>
      </c>
      <c r="O208" t="s">
        <v>1252</v>
      </c>
      <c r="P208" s="23">
        <f>VLOOKUP(A208,вариация!A$2:G$805,2,FALSE)</f>
        <v>2.2360679774997894</v>
      </c>
      <c r="Q208" t="str">
        <f>IF(вариация!H209="Yes",IF(P211&lt;0.1,"X",IF(P211&lt;0.25,"Y","Z")),"")</f>
        <v/>
      </c>
      <c r="R208" t="str">
        <f>O208&amp;Q208</f>
        <v>AAA</v>
      </c>
    </row>
    <row r="209" spans="1:18" x14ac:dyDescent="0.25">
      <c r="A209" s="7" t="s">
        <v>124</v>
      </c>
      <c r="B209" s="8">
        <v>1</v>
      </c>
      <c r="C209" s="11">
        <v>6.2155775398999025E-4</v>
      </c>
      <c r="D209" s="12">
        <v>0.77029652451978903</v>
      </c>
      <c r="E209" t="s">
        <v>1238</v>
      </c>
      <c r="F209" s="8">
        <v>217</v>
      </c>
      <c r="G209" s="11">
        <v>6.2041146114881268E-4</v>
      </c>
      <c r="H209" s="12">
        <v>0.89257024852038735</v>
      </c>
      <c r="I209" t="s">
        <v>1239</v>
      </c>
      <c r="J209" s="8">
        <v>5</v>
      </c>
      <c r="K209">
        <v>6</v>
      </c>
      <c r="L209" s="11">
        <v>6.2155775398998981E-4</v>
      </c>
      <c r="M209" s="12">
        <v>0.77029652451978892</v>
      </c>
      <c r="N209" t="s">
        <v>1238</v>
      </c>
      <c r="O209" t="s">
        <v>1253</v>
      </c>
      <c r="P209" s="23">
        <f>VLOOKUP(A209,вариация!A$2:G$805,2,FALSE)</f>
        <v>2.2360679774997894</v>
      </c>
      <c r="Q209" t="str">
        <f>IF(вариация!H210="Yes",IF(P212&lt;0.1,"X",IF(P212&lt;0.25,"Y","Z")),"")</f>
        <v/>
      </c>
      <c r="R209" t="str">
        <f>O209&amp;Q209</f>
        <v>ABA</v>
      </c>
    </row>
    <row r="210" spans="1:18" x14ac:dyDescent="0.25">
      <c r="A210" s="7" t="s">
        <v>833</v>
      </c>
      <c r="B210" s="8">
        <v>1</v>
      </c>
      <c r="C210" s="11">
        <v>6.2155775398999025E-4</v>
      </c>
      <c r="D210" s="12">
        <v>0.770918082273779</v>
      </c>
      <c r="E210" t="s">
        <v>1238</v>
      </c>
      <c r="F210" s="8">
        <v>222</v>
      </c>
      <c r="G210" s="11">
        <v>6.3470665610615852E-4</v>
      </c>
      <c r="H210" s="12">
        <v>0.8894396008247285</v>
      </c>
      <c r="I210" t="s">
        <v>1239</v>
      </c>
      <c r="J210" s="8">
        <v>5</v>
      </c>
      <c r="K210">
        <v>6</v>
      </c>
      <c r="L210" s="11">
        <v>6.2155775398998981E-4</v>
      </c>
      <c r="M210" s="12">
        <v>0.77091808227377889</v>
      </c>
      <c r="N210" t="s">
        <v>1238</v>
      </c>
      <c r="O210" t="s">
        <v>1253</v>
      </c>
      <c r="P210" s="23">
        <f>VLOOKUP(A210,вариация!A$2:G$805,2,FALSE)</f>
        <v>2.2360679774997894</v>
      </c>
      <c r="Q210" t="str">
        <f>IF(вариация!H211="Yes",IF(P213&lt;0.1,"X",IF(P213&lt;0.25,"Y","Z")),"")</f>
        <v/>
      </c>
      <c r="R210" t="str">
        <f>O210&amp;Q210</f>
        <v>ABA</v>
      </c>
    </row>
    <row r="211" spans="1:18" x14ac:dyDescent="0.25">
      <c r="A211" s="7" t="s">
        <v>1099</v>
      </c>
      <c r="B211" s="8">
        <v>1</v>
      </c>
      <c r="C211" s="11">
        <v>6.2155775398999025E-4</v>
      </c>
      <c r="D211" s="12">
        <v>0.77153964002776898</v>
      </c>
      <c r="E211" t="s">
        <v>1238</v>
      </c>
      <c r="F211" s="8">
        <v>562</v>
      </c>
      <c r="G211" s="11">
        <v>1.6067799132056806E-3</v>
      </c>
      <c r="H211" s="12">
        <v>0.61478996810209141</v>
      </c>
      <c r="I211" t="s">
        <v>1238</v>
      </c>
      <c r="J211" s="8">
        <v>5</v>
      </c>
      <c r="K211">
        <v>6</v>
      </c>
      <c r="L211" s="11">
        <v>6.2155775398998981E-4</v>
      </c>
      <c r="M211" s="12">
        <v>0.77153964002776887</v>
      </c>
      <c r="N211" t="s">
        <v>1238</v>
      </c>
      <c r="O211" t="s">
        <v>1252</v>
      </c>
      <c r="P211" s="23">
        <f>VLOOKUP(A211,вариация!A$2:G$805,2,FALSE)</f>
        <v>2.2360679774997894</v>
      </c>
      <c r="Q211" t="str">
        <f>IF(вариация!H212="Yes",IF(P214&lt;0.1,"X",IF(P214&lt;0.25,"Y","Z")),"")</f>
        <v/>
      </c>
      <c r="R211" t="str">
        <f>O211&amp;Q211</f>
        <v>AAA</v>
      </c>
    </row>
    <row r="212" spans="1:18" x14ac:dyDescent="0.25">
      <c r="A212" s="7" t="s">
        <v>138</v>
      </c>
      <c r="B212" s="8">
        <v>3</v>
      </c>
      <c r="C212" s="11">
        <v>1.8646732619699705E-3</v>
      </c>
      <c r="D212" s="12">
        <v>0.43819821656294283</v>
      </c>
      <c r="E212" t="s">
        <v>1238</v>
      </c>
      <c r="F212" s="8">
        <v>466</v>
      </c>
      <c r="G212" s="11">
        <v>1.3323121700246391E-3</v>
      </c>
      <c r="H212" s="12">
        <v>0.67273300987246643</v>
      </c>
      <c r="I212" t="s">
        <v>1238</v>
      </c>
      <c r="J212" s="8">
        <v>5</v>
      </c>
      <c r="K212">
        <v>18</v>
      </c>
      <c r="L212" s="11">
        <v>1.8646732619699697E-3</v>
      </c>
      <c r="M212" s="12">
        <v>0.43819821656294267</v>
      </c>
      <c r="N212" t="s">
        <v>1238</v>
      </c>
      <c r="O212" t="s">
        <v>1252</v>
      </c>
      <c r="P212" s="23">
        <f>VLOOKUP(A212,вариация!A$2:G$805,2,FALSE)</f>
        <v>0.91287092917527679</v>
      </c>
      <c r="Q212" t="str">
        <f>IF(вариация!H213="Yes",IF(P215&lt;0.1,"X",IF(P215&lt;0.25,"Y","Z")),"")</f>
        <v>Z</v>
      </c>
      <c r="R212" t="str">
        <f>O212&amp;Q212</f>
        <v>AAAZ</v>
      </c>
    </row>
    <row r="213" spans="1:18" x14ac:dyDescent="0.25">
      <c r="A213" s="7" t="s">
        <v>774</v>
      </c>
      <c r="B213" s="8">
        <v>1</v>
      </c>
      <c r="C213" s="11">
        <v>6.2155775398999025E-4</v>
      </c>
      <c r="D213" s="12">
        <v>0.77216119778175896</v>
      </c>
      <c r="E213" t="s">
        <v>1238</v>
      </c>
      <c r="F213" s="8">
        <v>79</v>
      </c>
      <c r="G213" s="11">
        <v>2.2586408032606542E-4</v>
      </c>
      <c r="H213" s="12">
        <v>0.98155752264615548</v>
      </c>
      <c r="I213" t="s">
        <v>1240</v>
      </c>
      <c r="J213" s="8">
        <v>5</v>
      </c>
      <c r="K213">
        <v>6</v>
      </c>
      <c r="L213" s="11">
        <v>6.2155775398998981E-4</v>
      </c>
      <c r="M213" s="12">
        <v>0.77216119778175885</v>
      </c>
      <c r="N213" t="s">
        <v>1238</v>
      </c>
      <c r="O213" t="s">
        <v>1254</v>
      </c>
      <c r="P213" s="23">
        <f>VLOOKUP(A213,вариация!A$2:G$805,2,FALSE)</f>
        <v>2.2360679774997894</v>
      </c>
      <c r="Q213" t="str">
        <f>IF(вариация!H214="Yes",IF(P216&lt;0.1,"X",IF(P216&lt;0.25,"Y","Z")),"")</f>
        <v/>
      </c>
      <c r="R213" t="str">
        <f>O213&amp;Q213</f>
        <v>ACA</v>
      </c>
    </row>
    <row r="214" spans="1:18" x14ac:dyDescent="0.25">
      <c r="A214" s="7" t="s">
        <v>776</v>
      </c>
      <c r="B214" s="8">
        <v>1</v>
      </c>
      <c r="C214" s="11">
        <v>6.2155775398999025E-4</v>
      </c>
      <c r="D214" s="12">
        <v>0.77278275553574893</v>
      </c>
      <c r="E214" t="s">
        <v>1238</v>
      </c>
      <c r="F214" s="8">
        <v>74</v>
      </c>
      <c r="G214" s="11">
        <v>2.1156888536871953E-4</v>
      </c>
      <c r="H214" s="12">
        <v>0.98572857463080976</v>
      </c>
      <c r="I214" t="s">
        <v>1240</v>
      </c>
      <c r="J214" s="8">
        <v>5</v>
      </c>
      <c r="K214">
        <v>6</v>
      </c>
      <c r="L214" s="11">
        <v>6.2155775398998981E-4</v>
      </c>
      <c r="M214" s="12">
        <v>0.77278275553574882</v>
      </c>
      <c r="N214" t="s">
        <v>1238</v>
      </c>
      <c r="O214" t="s">
        <v>1254</v>
      </c>
      <c r="P214" s="23">
        <f>VLOOKUP(A214,вариация!A$2:G$805,2,FALSE)</f>
        <v>2.2360679774997894</v>
      </c>
      <c r="Q214" t="str">
        <f>IF(вариация!H215="Yes",IF(P217&lt;0.1,"X",IF(P217&lt;0.25,"Y","Z")),"")</f>
        <v/>
      </c>
      <c r="R214" t="str">
        <f>O214&amp;Q214</f>
        <v>ACA</v>
      </c>
    </row>
    <row r="215" spans="1:18" x14ac:dyDescent="0.25">
      <c r="A215" s="7" t="s">
        <v>872</v>
      </c>
      <c r="B215" s="8">
        <v>1</v>
      </c>
      <c r="C215" s="11">
        <v>6.2155775398999025E-4</v>
      </c>
      <c r="D215" s="12">
        <v>0.77340431328973891</v>
      </c>
      <c r="E215" t="s">
        <v>1238</v>
      </c>
      <c r="F215" s="8">
        <v>166</v>
      </c>
      <c r="G215" s="11">
        <v>4.7460047258388434E-4</v>
      </c>
      <c r="H215" s="12">
        <v>0.92538758464259552</v>
      </c>
      <c r="I215" t="s">
        <v>1239</v>
      </c>
      <c r="J215" s="8">
        <v>5</v>
      </c>
      <c r="K215">
        <v>6</v>
      </c>
      <c r="L215" s="11">
        <v>6.2155775398998981E-4</v>
      </c>
      <c r="M215" s="12">
        <v>0.7734043132897388</v>
      </c>
      <c r="N215" t="s">
        <v>1238</v>
      </c>
      <c r="O215" t="s">
        <v>1253</v>
      </c>
      <c r="P215" s="23">
        <f>VLOOKUP(A215,вариация!A$2:G$805,2,FALSE)</f>
        <v>2.2360679774997894</v>
      </c>
      <c r="Q215" t="str">
        <f>IF(вариация!H216="Yes",IF(P218&lt;0.1,"X",IF(P218&lt;0.25,"Y","Z")),"")</f>
        <v/>
      </c>
      <c r="R215" t="str">
        <f>O215&amp;Q215</f>
        <v>ABA</v>
      </c>
    </row>
    <row r="216" spans="1:18" x14ac:dyDescent="0.25">
      <c r="A216" s="7" t="s">
        <v>1044</v>
      </c>
      <c r="B216" s="8">
        <v>1</v>
      </c>
      <c r="C216" s="11">
        <v>6.2155775398999025E-4</v>
      </c>
      <c r="D216" s="12">
        <v>0.77402587104372889</v>
      </c>
      <c r="E216" t="s">
        <v>1238</v>
      </c>
      <c r="F216" s="8">
        <v>150</v>
      </c>
      <c r="G216" s="11">
        <v>4.2885584872037741E-4</v>
      </c>
      <c r="H216" s="12">
        <v>0.93485840861534619</v>
      </c>
      <c r="I216" t="s">
        <v>1239</v>
      </c>
      <c r="J216" s="8">
        <v>5</v>
      </c>
      <c r="K216">
        <v>6</v>
      </c>
      <c r="L216" s="11">
        <v>6.2155775398998981E-4</v>
      </c>
      <c r="M216" s="12">
        <v>0.77402587104372877</v>
      </c>
      <c r="N216" t="s">
        <v>1238</v>
      </c>
      <c r="O216" t="s">
        <v>1253</v>
      </c>
      <c r="P216" s="23">
        <f>VLOOKUP(A216,вариация!A$2:G$805,2,FALSE)</f>
        <v>2.2360679774997894</v>
      </c>
      <c r="Q216" t="str">
        <f>IF(вариация!H217="Yes",IF(P219&lt;0.1,"X",IF(P219&lt;0.25,"Y","Z")),"")</f>
        <v/>
      </c>
      <c r="R216" t="str">
        <f>O216&amp;Q216</f>
        <v>ABA</v>
      </c>
    </row>
    <row r="217" spans="1:18" x14ac:dyDescent="0.25">
      <c r="A217" s="7" t="s">
        <v>424</v>
      </c>
      <c r="B217" s="8">
        <v>0.2</v>
      </c>
      <c r="C217" s="11">
        <v>1.2431155079799805E-4</v>
      </c>
      <c r="D217" s="12">
        <v>0.99859675947957161</v>
      </c>
      <c r="E217" t="s">
        <v>1240</v>
      </c>
      <c r="F217" s="8">
        <v>39.00200000000001</v>
      </c>
      <c r="G217" s="11">
        <v>1.1150823874528109E-4</v>
      </c>
      <c r="H217" s="12">
        <v>0.99709001293370414</v>
      </c>
      <c r="I217" t="s">
        <v>1240</v>
      </c>
      <c r="J217" s="8">
        <v>5</v>
      </c>
      <c r="K217">
        <v>1.2</v>
      </c>
      <c r="L217" s="11">
        <v>1.2431155079799797E-4</v>
      </c>
      <c r="M217" s="12">
        <v>0.99859675947957149</v>
      </c>
      <c r="N217" t="s">
        <v>1240</v>
      </c>
      <c r="O217" t="s">
        <v>1260</v>
      </c>
      <c r="P217" s="23">
        <f>VLOOKUP(A217,вариация!A$2:G$805,2,FALSE)</f>
        <v>2.2360679774997898</v>
      </c>
      <c r="Q217" t="str">
        <f>IF(вариация!H218="Yes",IF(P220&lt;0.1,"X",IF(P220&lt;0.25,"Y","Z")),"")</f>
        <v/>
      </c>
      <c r="R217" t="str">
        <f>O217&amp;Q217</f>
        <v>CCC</v>
      </c>
    </row>
    <row r="218" spans="1:18" x14ac:dyDescent="0.25">
      <c r="A218" s="7" t="s">
        <v>735</v>
      </c>
      <c r="B218" s="8">
        <v>1</v>
      </c>
      <c r="C218" s="11">
        <v>6.2155775398999025E-4</v>
      </c>
      <c r="D218" s="12">
        <v>0.77464742879771886</v>
      </c>
      <c r="E218" t="s">
        <v>1238</v>
      </c>
      <c r="F218" s="8">
        <v>364</v>
      </c>
      <c r="G218" s="11">
        <v>1.0406901928947825E-3</v>
      </c>
      <c r="H218" s="12">
        <v>0.76529152206874607</v>
      </c>
      <c r="I218" t="s">
        <v>1238</v>
      </c>
      <c r="J218" s="8">
        <v>5</v>
      </c>
      <c r="K218">
        <v>6</v>
      </c>
      <c r="L218" s="11">
        <v>6.2155775398998981E-4</v>
      </c>
      <c r="M218" s="12">
        <v>0.77464742879771875</v>
      </c>
      <c r="N218" t="s">
        <v>1238</v>
      </c>
      <c r="O218" t="s">
        <v>1252</v>
      </c>
      <c r="P218" s="23">
        <f>VLOOKUP(A218,вариация!A$2:G$805,2,FALSE)</f>
        <v>2.2360679774997894</v>
      </c>
      <c r="Q218" t="str">
        <f>IF(вариация!H219="Yes",IF(P221&lt;0.1,"X",IF(P221&lt;0.25,"Y","Z")),"")</f>
        <v/>
      </c>
      <c r="R218" t="str">
        <f>O218&amp;Q218</f>
        <v>AAA</v>
      </c>
    </row>
    <row r="219" spans="1:18" x14ac:dyDescent="0.25">
      <c r="A219" s="7" t="s">
        <v>698</v>
      </c>
      <c r="B219" s="8">
        <v>1</v>
      </c>
      <c r="C219" s="11">
        <v>6.2155775398999025E-4</v>
      </c>
      <c r="D219" s="12">
        <v>0.77526898655170884</v>
      </c>
      <c r="E219" t="s">
        <v>1238</v>
      </c>
      <c r="F219" s="8">
        <v>703</v>
      </c>
      <c r="G219" s="11">
        <v>2.0099044110028354E-3</v>
      </c>
      <c r="H219" s="12">
        <v>0.51267536874635744</v>
      </c>
      <c r="I219" t="s">
        <v>1238</v>
      </c>
      <c r="J219" s="8">
        <v>5</v>
      </c>
      <c r="K219">
        <v>6</v>
      </c>
      <c r="L219" s="11">
        <v>6.2155775398998981E-4</v>
      </c>
      <c r="M219" s="12">
        <v>0.77526898655170873</v>
      </c>
      <c r="N219" t="s">
        <v>1238</v>
      </c>
      <c r="O219" t="s">
        <v>1252</v>
      </c>
      <c r="P219" s="23">
        <f>VLOOKUP(A219,вариация!A$2:G$805,2,FALSE)</f>
        <v>2.2360679774997894</v>
      </c>
      <c r="Q219" t="str">
        <f>IF(вариация!H220="Yes",IF(P222&lt;0.1,"X",IF(P222&lt;0.25,"Y","Z")),"")</f>
        <v/>
      </c>
      <c r="R219" t="str">
        <f>O219&amp;Q219</f>
        <v>AAA</v>
      </c>
    </row>
    <row r="220" spans="1:18" x14ac:dyDescent="0.25">
      <c r="A220" s="7" t="s">
        <v>588</v>
      </c>
      <c r="B220" s="8">
        <v>1</v>
      </c>
      <c r="C220" s="11">
        <v>6.2155775398999025E-4</v>
      </c>
      <c r="D220" s="12">
        <v>0.77589054430569881</v>
      </c>
      <c r="E220" t="s">
        <v>1238</v>
      </c>
      <c r="F220" s="8">
        <v>680</v>
      </c>
      <c r="G220" s="11">
        <v>1.9441465141990441E-3</v>
      </c>
      <c r="H220" s="12">
        <v>0.52839743386220794</v>
      </c>
      <c r="I220" t="s">
        <v>1238</v>
      </c>
      <c r="J220" s="8">
        <v>5</v>
      </c>
      <c r="K220">
        <v>6</v>
      </c>
      <c r="L220" s="11">
        <v>6.2155775398998981E-4</v>
      </c>
      <c r="M220" s="12">
        <v>0.7758905443056987</v>
      </c>
      <c r="N220" t="s">
        <v>1238</v>
      </c>
      <c r="O220" t="s">
        <v>1252</v>
      </c>
      <c r="P220" s="23">
        <f>VLOOKUP(A220,вариация!A$2:G$805,2,FALSE)</f>
        <v>2.2360679774997894</v>
      </c>
      <c r="Q220" t="str">
        <f>IF(вариация!H221="Yes",IF(P223&lt;0.1,"X",IF(P223&lt;0.25,"Y","Z")),"")</f>
        <v/>
      </c>
      <c r="R220" t="str">
        <f>O220&amp;Q220</f>
        <v>AAA</v>
      </c>
    </row>
    <row r="221" spans="1:18" x14ac:dyDescent="0.25">
      <c r="A221" s="7" t="s">
        <v>409</v>
      </c>
      <c r="B221" s="8">
        <v>1</v>
      </c>
      <c r="C221" s="11">
        <v>6.2155775398999025E-4</v>
      </c>
      <c r="D221" s="12">
        <v>0.77651210205968879</v>
      </c>
      <c r="E221" t="s">
        <v>1238</v>
      </c>
      <c r="F221" s="8">
        <v>377</v>
      </c>
      <c r="G221" s="11">
        <v>1.0778576997838819E-3</v>
      </c>
      <c r="H221" s="12">
        <v>0.75472352940617249</v>
      </c>
      <c r="I221" t="s">
        <v>1238</v>
      </c>
      <c r="J221" s="8">
        <v>5</v>
      </c>
      <c r="K221">
        <v>6</v>
      </c>
      <c r="L221" s="11">
        <v>6.2155775398998981E-4</v>
      </c>
      <c r="M221" s="12">
        <v>0.77651210205968868</v>
      </c>
      <c r="N221" t="s">
        <v>1238</v>
      </c>
      <c r="O221" t="s">
        <v>1252</v>
      </c>
      <c r="P221" s="23">
        <f>VLOOKUP(A221,вариация!A$2:G$805,2,FALSE)</f>
        <v>2.2360679774997894</v>
      </c>
      <c r="Q221" t="str">
        <f>IF(вариация!H222="Yes",IF(P224&lt;0.1,"X",IF(P224&lt;0.25,"Y","Z")),"")</f>
        <v/>
      </c>
      <c r="R221" t="str">
        <f>O221&amp;Q221</f>
        <v>AAA</v>
      </c>
    </row>
    <row r="222" spans="1:18" x14ac:dyDescent="0.25">
      <c r="A222" s="7" t="s">
        <v>762</v>
      </c>
      <c r="B222" s="8">
        <v>4</v>
      </c>
      <c r="C222" s="11">
        <v>2.486231015959961E-3</v>
      </c>
      <c r="D222" s="12">
        <v>0.37479932565596363</v>
      </c>
      <c r="E222" t="s">
        <v>1238</v>
      </c>
      <c r="F222" s="8">
        <v>11343</v>
      </c>
      <c r="G222" s="11">
        <v>3.243007928023494E-2</v>
      </c>
      <c r="H222" s="12">
        <v>3.243007928023494E-2</v>
      </c>
      <c r="I222" t="s">
        <v>1238</v>
      </c>
      <c r="J222" s="8">
        <v>5</v>
      </c>
      <c r="K222">
        <v>24</v>
      </c>
      <c r="L222" s="11">
        <v>2.4862310159599593E-3</v>
      </c>
      <c r="M222" s="12">
        <v>0.37479932565596347</v>
      </c>
      <c r="N222" t="s">
        <v>1238</v>
      </c>
      <c r="O222" t="s">
        <v>1252</v>
      </c>
      <c r="P222" s="23">
        <f>VLOOKUP(A222,вариация!A$2:G$805,2,FALSE)</f>
        <v>1.6298006013006621</v>
      </c>
      <c r="Q222" t="str">
        <f>IF(вариация!H223="Yes",IF(P225&lt;0.1,"X",IF(P225&lt;0.25,"Y","Z")),"")</f>
        <v/>
      </c>
      <c r="R222" t="str">
        <f>O222&amp;Q222</f>
        <v>AAA</v>
      </c>
    </row>
    <row r="223" spans="1:18" x14ac:dyDescent="0.25">
      <c r="A223" s="7" t="s">
        <v>181</v>
      </c>
      <c r="B223" s="8">
        <v>1</v>
      </c>
      <c r="C223" s="11">
        <v>6.2155775398999025E-4</v>
      </c>
      <c r="D223" s="12">
        <v>0.77713365981367877</v>
      </c>
      <c r="E223" t="s">
        <v>1238</v>
      </c>
      <c r="F223" s="8">
        <v>1039</v>
      </c>
      <c r="G223" s="11">
        <v>2.9705415121364809E-3</v>
      </c>
      <c r="H223" s="12">
        <v>0.39084326417701581</v>
      </c>
      <c r="I223" t="s">
        <v>1238</v>
      </c>
      <c r="J223" s="8">
        <v>5</v>
      </c>
      <c r="K223">
        <v>6</v>
      </c>
      <c r="L223" s="11">
        <v>6.2155775398998981E-4</v>
      </c>
      <c r="M223" s="12">
        <v>0.77713365981367866</v>
      </c>
      <c r="N223" t="s">
        <v>1238</v>
      </c>
      <c r="O223" t="s">
        <v>1252</v>
      </c>
      <c r="P223" s="23">
        <f>VLOOKUP(A223,вариация!A$2:G$805,2,FALSE)</f>
        <v>2.2360679774997894</v>
      </c>
      <c r="Q223" t="str">
        <f>IF(вариация!H224="Yes",IF(P226&lt;0.1,"X",IF(P226&lt;0.25,"Y","Z")),"")</f>
        <v/>
      </c>
      <c r="R223" t="str">
        <f>O223&amp;Q223</f>
        <v>AAA</v>
      </c>
    </row>
    <row r="224" spans="1:18" x14ac:dyDescent="0.25">
      <c r="A224" s="7" t="s">
        <v>848</v>
      </c>
      <c r="B224" s="8">
        <v>2</v>
      </c>
      <c r="C224" s="11">
        <v>1.2431155079799805E-3</v>
      </c>
      <c r="D224" s="12">
        <v>0.56499599837689984</v>
      </c>
      <c r="E224" t="s">
        <v>1238</v>
      </c>
      <c r="F224" s="8">
        <v>1003</v>
      </c>
      <c r="G224" s="11">
        <v>2.8676161084435904E-3</v>
      </c>
      <c r="H224" s="12">
        <v>0.41714330654603166</v>
      </c>
      <c r="I224" t="s">
        <v>1238</v>
      </c>
      <c r="J224" s="8">
        <v>5</v>
      </c>
      <c r="K224">
        <v>12</v>
      </c>
      <c r="L224" s="11">
        <v>1.2431155079799796E-3</v>
      </c>
      <c r="M224" s="12">
        <v>0.56499599837689973</v>
      </c>
      <c r="N224" t="s">
        <v>1238</v>
      </c>
      <c r="O224" t="s">
        <v>1252</v>
      </c>
      <c r="P224" s="23">
        <f>VLOOKUP(A224,вариация!A$2:G$805,2,FALSE)</f>
        <v>1.3693063937629151</v>
      </c>
      <c r="Q224" t="str">
        <f>IF(вариация!H225="Yes",IF(P227&lt;0.1,"X",IF(P227&lt;0.25,"Y","Z")),"")</f>
        <v/>
      </c>
      <c r="R224" t="str">
        <f>O224&amp;Q224</f>
        <v>AAA</v>
      </c>
    </row>
    <row r="225" spans="1:18" x14ac:dyDescent="0.25">
      <c r="A225" s="7" t="s">
        <v>364</v>
      </c>
      <c r="B225" s="8">
        <v>3</v>
      </c>
      <c r="C225" s="11">
        <v>1.8646732619699705E-3</v>
      </c>
      <c r="D225" s="12">
        <v>0.44006288982491282</v>
      </c>
      <c r="E225" t="s">
        <v>1238</v>
      </c>
      <c r="F225" s="8">
        <v>594</v>
      </c>
      <c r="G225" s="11">
        <v>1.6982691609326946E-3</v>
      </c>
      <c r="H225" s="12">
        <v>0.58661127980217143</v>
      </c>
      <c r="I225" t="s">
        <v>1238</v>
      </c>
      <c r="J225" s="8">
        <v>5</v>
      </c>
      <c r="K225">
        <v>18</v>
      </c>
      <c r="L225" s="11">
        <v>1.8646732619699697E-3</v>
      </c>
      <c r="M225" s="12">
        <v>0.44006288982491265</v>
      </c>
      <c r="N225" t="s">
        <v>1238</v>
      </c>
      <c r="O225" t="s">
        <v>1252</v>
      </c>
      <c r="P225" s="23">
        <f>VLOOKUP(A225,вариация!A$2:G$805,2,FALSE)</f>
        <v>1.4907119849998598</v>
      </c>
      <c r="Q225" t="str">
        <f>IF(вариация!H226="Yes",IF(P228&lt;0.1,"X",IF(P228&lt;0.25,"Y","Z")),"")</f>
        <v/>
      </c>
      <c r="R225" t="str">
        <f>O225&amp;Q225</f>
        <v>AAA</v>
      </c>
    </row>
    <row r="226" spans="1:18" x14ac:dyDescent="0.25">
      <c r="A226" s="7" t="s">
        <v>1216</v>
      </c>
      <c r="B226" s="8">
        <v>1</v>
      </c>
      <c r="C226" s="11">
        <v>6.2155775398999025E-4</v>
      </c>
      <c r="D226" s="12">
        <v>0.77775521756766874</v>
      </c>
      <c r="E226" t="s">
        <v>1238</v>
      </c>
      <c r="F226" s="8">
        <v>170</v>
      </c>
      <c r="G226" s="11">
        <v>4.8603662854976103E-4</v>
      </c>
      <c r="H226" s="12">
        <v>0.92299456900673582</v>
      </c>
      <c r="I226" t="s">
        <v>1239</v>
      </c>
      <c r="J226" s="8">
        <v>5</v>
      </c>
      <c r="K226">
        <v>6</v>
      </c>
      <c r="L226" s="11">
        <v>6.2155775398998981E-4</v>
      </c>
      <c r="M226" s="12">
        <v>0.77775521756766863</v>
      </c>
      <c r="N226" t="s">
        <v>1238</v>
      </c>
      <c r="O226" t="s">
        <v>1253</v>
      </c>
      <c r="P226" s="23">
        <f>VLOOKUP(A226,вариация!A$2:G$805,2,FALSE)</f>
        <v>2.2360679774997894</v>
      </c>
      <c r="Q226" t="str">
        <f>IF(вариация!H227="Yes",IF(P229&lt;0.1,"X",IF(P229&lt;0.25,"Y","Z")),"")</f>
        <v/>
      </c>
      <c r="R226" t="str">
        <f>O226&amp;Q226</f>
        <v>ABA</v>
      </c>
    </row>
    <row r="227" spans="1:18" x14ac:dyDescent="0.25">
      <c r="A227" s="7" t="s">
        <v>817</v>
      </c>
      <c r="B227" s="8">
        <v>2</v>
      </c>
      <c r="C227" s="11">
        <v>1.2431155079799805E-3</v>
      </c>
      <c r="D227" s="12">
        <v>0.5662391138848798</v>
      </c>
      <c r="E227" t="s">
        <v>1238</v>
      </c>
      <c r="F227" s="8">
        <v>96</v>
      </c>
      <c r="G227" s="11">
        <v>2.7446774318104153E-4</v>
      </c>
      <c r="H227" s="12">
        <v>0.97202325659818367</v>
      </c>
      <c r="I227" t="s">
        <v>1240</v>
      </c>
      <c r="J227" s="8">
        <v>5</v>
      </c>
      <c r="K227">
        <v>12</v>
      </c>
      <c r="L227" s="11">
        <v>1.2431155079799796E-3</v>
      </c>
      <c r="M227" s="12">
        <v>0.56623911388487969</v>
      </c>
      <c r="N227" t="s">
        <v>1238</v>
      </c>
      <c r="O227" t="s">
        <v>1254</v>
      </c>
      <c r="P227" s="23">
        <f>VLOOKUP(A227,вариация!A$2:G$805,2,FALSE)</f>
        <v>2.2360679774997894</v>
      </c>
      <c r="Q227" t="str">
        <f>IF(вариация!H228="Yes",IF(P230&lt;0.1,"X",IF(P230&lt;0.25,"Y","Z")),"")</f>
        <v/>
      </c>
      <c r="R227" t="str">
        <f>O227&amp;Q227</f>
        <v>ACA</v>
      </c>
    </row>
    <row r="228" spans="1:18" x14ac:dyDescent="0.25">
      <c r="A228" s="7" t="s">
        <v>1066</v>
      </c>
      <c r="B228" s="8">
        <v>1</v>
      </c>
      <c r="C228" s="11">
        <v>6.2155775398999025E-4</v>
      </c>
      <c r="D228" s="12">
        <v>0.77837677532165872</v>
      </c>
      <c r="E228" t="s">
        <v>1238</v>
      </c>
      <c r="F228" s="8">
        <v>266</v>
      </c>
      <c r="G228" s="11">
        <v>7.6050437173080256E-4</v>
      </c>
      <c r="H228" s="12">
        <v>0.85420717729622497</v>
      </c>
      <c r="I228" t="s">
        <v>1239</v>
      </c>
      <c r="J228" s="8">
        <v>5</v>
      </c>
      <c r="K228">
        <v>6</v>
      </c>
      <c r="L228" s="11">
        <v>6.2155775398998981E-4</v>
      </c>
      <c r="M228" s="12">
        <v>0.77837677532165861</v>
      </c>
      <c r="N228" t="s">
        <v>1238</v>
      </c>
      <c r="O228" t="s">
        <v>1253</v>
      </c>
      <c r="P228" s="23">
        <f>VLOOKUP(A228,вариация!A$2:G$805,2,FALSE)</f>
        <v>2.2360679774997894</v>
      </c>
      <c r="Q228" t="str">
        <f>IF(вариация!H229="Yes",IF(P231&lt;0.1,"X",IF(P231&lt;0.25,"Y","Z")),"")</f>
        <v/>
      </c>
      <c r="R228" t="str">
        <f>O228&amp;Q228</f>
        <v>ABA</v>
      </c>
    </row>
    <row r="229" spans="1:18" x14ac:dyDescent="0.25">
      <c r="A229" s="7" t="s">
        <v>486</v>
      </c>
      <c r="B229" s="8">
        <v>1</v>
      </c>
      <c r="C229" s="11">
        <v>6.2155775398999025E-4</v>
      </c>
      <c r="D229" s="12">
        <v>0.7789983330756487</v>
      </c>
      <c r="E229" t="s">
        <v>1238</v>
      </c>
      <c r="F229" s="8">
        <v>561</v>
      </c>
      <c r="G229" s="11">
        <v>1.6039208742142114E-3</v>
      </c>
      <c r="H229" s="12">
        <v>0.61639388897630565</v>
      </c>
      <c r="I229" t="s">
        <v>1238</v>
      </c>
      <c r="J229" s="8">
        <v>5</v>
      </c>
      <c r="K229">
        <v>6</v>
      </c>
      <c r="L229" s="11">
        <v>6.2155775398998981E-4</v>
      </c>
      <c r="M229" s="12">
        <v>0.77899833307564859</v>
      </c>
      <c r="N229" t="s">
        <v>1238</v>
      </c>
      <c r="O229" t="s">
        <v>1252</v>
      </c>
      <c r="P229" s="23">
        <f>VLOOKUP(A229,вариация!A$2:G$805,2,FALSE)</f>
        <v>2.2360679774997894</v>
      </c>
      <c r="Q229" t="str">
        <f>IF(вариация!H230="Yes",IF(P232&lt;0.1,"X",IF(P232&lt;0.25,"Y","Z")),"")</f>
        <v/>
      </c>
      <c r="R229" t="str">
        <f>O229&amp;Q229</f>
        <v>AAA</v>
      </c>
    </row>
    <row r="230" spans="1:18" x14ac:dyDescent="0.25">
      <c r="A230" s="7" t="s">
        <v>1014</v>
      </c>
      <c r="B230" s="8">
        <v>1</v>
      </c>
      <c r="C230" s="11">
        <v>6.2155775398999025E-4</v>
      </c>
      <c r="D230" s="12">
        <v>0.77961989082963867</v>
      </c>
      <c r="E230" t="s">
        <v>1238</v>
      </c>
      <c r="F230" s="8">
        <v>51</v>
      </c>
      <c r="G230" s="11">
        <v>1.4581098856492831E-4</v>
      </c>
      <c r="H230" s="12">
        <v>0.99451904499293742</v>
      </c>
      <c r="I230" t="s">
        <v>1240</v>
      </c>
      <c r="J230" s="8">
        <v>5</v>
      </c>
      <c r="K230">
        <v>6</v>
      </c>
      <c r="L230" s="11">
        <v>6.2155775398998981E-4</v>
      </c>
      <c r="M230" s="12">
        <v>0.77961989082963856</v>
      </c>
      <c r="N230" t="s">
        <v>1238</v>
      </c>
      <c r="O230" t="s">
        <v>1254</v>
      </c>
      <c r="P230" s="23">
        <f>VLOOKUP(A230,вариация!A$2:G$805,2,FALSE)</f>
        <v>2.2360679774997894</v>
      </c>
      <c r="Q230" t="str">
        <f>IF(вариация!H231="Yes",IF(P233&lt;0.1,"X",IF(P233&lt;0.25,"Y","Z")),"")</f>
        <v/>
      </c>
      <c r="R230" t="str">
        <f>O230&amp;Q230</f>
        <v>ACA</v>
      </c>
    </row>
    <row r="231" spans="1:18" x14ac:dyDescent="0.25">
      <c r="A231" s="7" t="s">
        <v>1112</v>
      </c>
      <c r="B231" s="8">
        <v>1</v>
      </c>
      <c r="C231" s="11">
        <v>6.2155775398999025E-4</v>
      </c>
      <c r="D231" s="12">
        <v>0.78024144858362865</v>
      </c>
      <c r="E231" t="s">
        <v>1238</v>
      </c>
      <c r="F231" s="8">
        <v>206</v>
      </c>
      <c r="G231" s="11">
        <v>5.8896203224265164E-4</v>
      </c>
      <c r="H231" s="12">
        <v>0.90045379122585434</v>
      </c>
      <c r="I231" t="s">
        <v>1239</v>
      </c>
      <c r="J231" s="8">
        <v>5</v>
      </c>
      <c r="K231">
        <v>6</v>
      </c>
      <c r="L231" s="11">
        <v>6.2155775398998981E-4</v>
      </c>
      <c r="M231" s="12">
        <v>0.78024144858362854</v>
      </c>
      <c r="N231" t="s">
        <v>1238</v>
      </c>
      <c r="O231" t="s">
        <v>1253</v>
      </c>
      <c r="P231" s="23">
        <f>VLOOKUP(A231,вариация!A$2:G$805,2,FALSE)</f>
        <v>2.2360679774997894</v>
      </c>
      <c r="Q231" t="str">
        <f>IF(вариация!H232="Yes",IF(P234&lt;0.1,"X",IF(P234&lt;0.25,"Y","Z")),"")</f>
        <v/>
      </c>
      <c r="R231" t="str">
        <f>O231&amp;Q231</f>
        <v>ABA</v>
      </c>
    </row>
    <row r="232" spans="1:18" x14ac:dyDescent="0.25">
      <c r="A232" s="7" t="s">
        <v>290</v>
      </c>
      <c r="B232" s="8">
        <v>1</v>
      </c>
      <c r="C232" s="11">
        <v>6.2155775398999025E-4</v>
      </c>
      <c r="D232" s="12">
        <v>0.78086300633761863</v>
      </c>
      <c r="E232" t="s">
        <v>1238</v>
      </c>
      <c r="F232" s="8">
        <v>55</v>
      </c>
      <c r="G232" s="11">
        <v>1.5724714453080506E-4</v>
      </c>
      <c r="H232" s="12">
        <v>0.9928644786400076</v>
      </c>
      <c r="I232" t="s">
        <v>1240</v>
      </c>
      <c r="J232" s="8">
        <v>5</v>
      </c>
      <c r="K232">
        <v>6</v>
      </c>
      <c r="L232" s="11">
        <v>6.2155775398998981E-4</v>
      </c>
      <c r="M232" s="12">
        <v>0.78086300633761851</v>
      </c>
      <c r="N232" t="s">
        <v>1238</v>
      </c>
      <c r="O232" t="s">
        <v>1254</v>
      </c>
      <c r="P232" s="23">
        <f>VLOOKUP(A232,вариация!A$2:G$805,2,FALSE)</f>
        <v>2.2360679774997894</v>
      </c>
      <c r="Q232" t="str">
        <f>IF(вариация!H233="Yes",IF(P235&lt;0.1,"X",IF(P235&lt;0.25,"Y","Z")),"")</f>
        <v/>
      </c>
      <c r="R232" t="str">
        <f>O232&amp;Q232</f>
        <v>ACA</v>
      </c>
    </row>
    <row r="233" spans="1:18" x14ac:dyDescent="0.25">
      <c r="A233" s="7" t="s">
        <v>289</v>
      </c>
      <c r="B233" s="8">
        <v>2</v>
      </c>
      <c r="C233" s="11">
        <v>1.2431155079799805E-3</v>
      </c>
      <c r="D233" s="12">
        <v>0.56748222939285975</v>
      </c>
      <c r="E233" t="s">
        <v>1238</v>
      </c>
      <c r="F233" s="8">
        <v>137</v>
      </c>
      <c r="G233" s="11">
        <v>3.9168834183127803E-4</v>
      </c>
      <c r="H233" s="12">
        <v>0.94339835808286454</v>
      </c>
      <c r="I233" t="s">
        <v>1239</v>
      </c>
      <c r="J233" s="8">
        <v>5</v>
      </c>
      <c r="K233">
        <v>12</v>
      </c>
      <c r="L233" s="11">
        <v>1.2431155079799796E-3</v>
      </c>
      <c r="M233" s="12">
        <v>0.56748222939285964</v>
      </c>
      <c r="N233" t="s">
        <v>1238</v>
      </c>
      <c r="O233" t="s">
        <v>1253</v>
      </c>
      <c r="P233" s="23">
        <f>VLOOKUP(A233,вариация!A$2:G$805,2,FALSE)</f>
        <v>1.3693063937629151</v>
      </c>
      <c r="Q233" t="str">
        <f>IF(вариация!H234="Yes",IF(P236&lt;0.1,"X",IF(P236&lt;0.25,"Y","Z")),"")</f>
        <v/>
      </c>
      <c r="R233" t="str">
        <f>O233&amp;Q233</f>
        <v>ABA</v>
      </c>
    </row>
    <row r="234" spans="1:18" x14ac:dyDescent="0.25">
      <c r="A234" s="7" t="s">
        <v>989</v>
      </c>
      <c r="B234" s="8">
        <v>4</v>
      </c>
      <c r="C234" s="11">
        <v>2.486231015959961E-3</v>
      </c>
      <c r="D234" s="12">
        <v>0.37728555667192359</v>
      </c>
      <c r="E234" t="s">
        <v>1238</v>
      </c>
      <c r="F234" s="8">
        <v>204</v>
      </c>
      <c r="G234" s="11">
        <v>5.8324395425971324E-4</v>
      </c>
      <c r="H234" s="12">
        <v>0.90221495924459938</v>
      </c>
      <c r="I234" t="s">
        <v>1239</v>
      </c>
      <c r="J234" s="8">
        <v>5</v>
      </c>
      <c r="K234">
        <v>24</v>
      </c>
      <c r="L234" s="11">
        <v>2.4862310159599593E-3</v>
      </c>
      <c r="M234" s="12">
        <v>0.37728555667192343</v>
      </c>
      <c r="N234" t="s">
        <v>1238</v>
      </c>
      <c r="O234" t="s">
        <v>1253</v>
      </c>
      <c r="P234" s="23">
        <f>VLOOKUP(A234,вариация!A$2:G$805,2,FALSE)</f>
        <v>1.3693063937629151</v>
      </c>
      <c r="Q234" t="str">
        <f>IF(вариация!H235="Yes",IF(P237&lt;0.1,"X",IF(P237&lt;0.25,"Y","Z")),"")</f>
        <v/>
      </c>
      <c r="R234" t="str">
        <f>O234&amp;Q234</f>
        <v>ABA</v>
      </c>
    </row>
    <row r="235" spans="1:18" x14ac:dyDescent="0.25">
      <c r="A235" s="7" t="s">
        <v>748</v>
      </c>
      <c r="B235" s="8">
        <v>2</v>
      </c>
      <c r="C235" s="11">
        <v>1.2431155079799805E-3</v>
      </c>
      <c r="D235" s="12">
        <v>0.5687253449008397</v>
      </c>
      <c r="E235" t="s">
        <v>1238</v>
      </c>
      <c r="F235" s="8">
        <v>78</v>
      </c>
      <c r="G235" s="11">
        <v>2.2300504133459625E-4</v>
      </c>
      <c r="H235" s="12">
        <v>0.98245526088947677</v>
      </c>
      <c r="I235" t="s">
        <v>1240</v>
      </c>
      <c r="J235" s="8">
        <v>5</v>
      </c>
      <c r="K235">
        <v>12</v>
      </c>
      <c r="L235" s="11">
        <v>1.2431155079799796E-3</v>
      </c>
      <c r="M235" s="12">
        <v>0.56872534490083959</v>
      </c>
      <c r="N235" t="s">
        <v>1238</v>
      </c>
      <c r="O235" t="s">
        <v>1254</v>
      </c>
      <c r="P235" s="23">
        <f>VLOOKUP(A235,вариация!A$2:G$805,2,FALSE)</f>
        <v>1.3693063937629151</v>
      </c>
      <c r="Q235" t="str">
        <f>IF(вариация!H236="Yes",IF(P238&lt;0.1,"X",IF(P238&lt;0.25,"Y","Z")),"")</f>
        <v/>
      </c>
      <c r="R235" t="str">
        <f>O235&amp;Q235</f>
        <v>ACA</v>
      </c>
    </row>
    <row r="236" spans="1:18" x14ac:dyDescent="0.25">
      <c r="A236" s="7" t="s">
        <v>680</v>
      </c>
      <c r="B236" s="8">
        <v>1</v>
      </c>
      <c r="C236" s="11">
        <v>6.2155775398999025E-4</v>
      </c>
      <c r="D236" s="12">
        <v>0.7814845640916086</v>
      </c>
      <c r="E236" t="s">
        <v>1238</v>
      </c>
      <c r="F236" s="8">
        <v>339</v>
      </c>
      <c r="G236" s="11">
        <v>9.6921421810805292E-4</v>
      </c>
      <c r="H236" s="12">
        <v>0.79041129596130355</v>
      </c>
      <c r="I236" t="s">
        <v>1238</v>
      </c>
      <c r="J236" s="8">
        <v>5</v>
      </c>
      <c r="K236">
        <v>6</v>
      </c>
      <c r="L236" s="11">
        <v>6.2155775398998981E-4</v>
      </c>
      <c r="M236" s="12">
        <v>0.78148456409160849</v>
      </c>
      <c r="N236" t="s">
        <v>1238</v>
      </c>
      <c r="O236" t="s">
        <v>1252</v>
      </c>
      <c r="P236" s="23">
        <f>VLOOKUP(A236,вариация!A$2:G$805,2,FALSE)</f>
        <v>2.2360679774997894</v>
      </c>
      <c r="Q236" t="str">
        <f>IF(вариация!H237="Yes",IF(P239&lt;0.1,"X",IF(P239&lt;0.25,"Y","Z")),"")</f>
        <v/>
      </c>
      <c r="R236" t="str">
        <f>O236&amp;Q236</f>
        <v>AAA</v>
      </c>
    </row>
    <row r="237" spans="1:18" x14ac:dyDescent="0.25">
      <c r="A237" s="7" t="s">
        <v>972</v>
      </c>
      <c r="B237" s="8">
        <v>1</v>
      </c>
      <c r="C237" s="11">
        <v>6.2155775398999025E-4</v>
      </c>
      <c r="D237" s="12">
        <v>0.78210612184559858</v>
      </c>
      <c r="E237" t="s">
        <v>1238</v>
      </c>
      <c r="F237" s="8">
        <v>253</v>
      </c>
      <c r="G237" s="11">
        <v>7.2333686484170323E-4</v>
      </c>
      <c r="H237" s="12">
        <v>0.8690203443476554</v>
      </c>
      <c r="I237" t="s">
        <v>1239</v>
      </c>
      <c r="J237" s="8">
        <v>5</v>
      </c>
      <c r="K237">
        <v>6</v>
      </c>
      <c r="L237" s="11">
        <v>6.2155775398998981E-4</v>
      </c>
      <c r="M237" s="12">
        <v>0.78210612184559847</v>
      </c>
      <c r="N237" t="s">
        <v>1238</v>
      </c>
      <c r="O237" t="s">
        <v>1253</v>
      </c>
      <c r="P237" s="23">
        <f>VLOOKUP(A237,вариация!A$2:G$805,2,FALSE)</f>
        <v>2.2360679774997894</v>
      </c>
      <c r="Q237" t="str">
        <f>IF(вариация!H238="Yes",IF(P240&lt;0.1,"X",IF(P240&lt;0.25,"Y","Z")),"")</f>
        <v/>
      </c>
      <c r="R237" t="str">
        <f>O237&amp;Q237</f>
        <v>ABA</v>
      </c>
    </row>
    <row r="238" spans="1:18" x14ac:dyDescent="0.25">
      <c r="A238" s="7" t="s">
        <v>1215</v>
      </c>
      <c r="B238" s="8">
        <v>1</v>
      </c>
      <c r="C238" s="11">
        <v>6.2155775398999025E-4</v>
      </c>
      <c r="D238" s="12">
        <v>0.78272767959958855</v>
      </c>
      <c r="E238" t="s">
        <v>1238</v>
      </c>
      <c r="F238" s="8">
        <v>29</v>
      </c>
      <c r="G238" s="11">
        <v>8.2912130752606301E-5</v>
      </c>
      <c r="H238" s="12">
        <v>0.99889663967241382</v>
      </c>
      <c r="I238" t="s">
        <v>1240</v>
      </c>
      <c r="J238" s="8">
        <v>5</v>
      </c>
      <c r="K238">
        <v>6</v>
      </c>
      <c r="L238" s="11">
        <v>6.2155775398998981E-4</v>
      </c>
      <c r="M238" s="12">
        <v>0.78272767959958844</v>
      </c>
      <c r="N238" t="s">
        <v>1238</v>
      </c>
      <c r="O238" t="s">
        <v>1254</v>
      </c>
      <c r="P238" s="23">
        <f>VLOOKUP(A238,вариация!A$2:G$805,2,FALSE)</f>
        <v>2.2360679774997894</v>
      </c>
      <c r="Q238" t="str">
        <f>IF(вариация!H239="Yes",IF(P241&lt;0.1,"X",IF(P241&lt;0.25,"Y","Z")),"")</f>
        <v/>
      </c>
      <c r="R238" t="str">
        <f>O238&amp;Q238</f>
        <v>ACA</v>
      </c>
    </row>
    <row r="239" spans="1:18" x14ac:dyDescent="0.25">
      <c r="A239" s="7" t="s">
        <v>420</v>
      </c>
      <c r="B239" s="8">
        <v>1</v>
      </c>
      <c r="C239" s="11">
        <v>6.2155775398999025E-4</v>
      </c>
      <c r="D239" s="12">
        <v>0.78334923735357853</v>
      </c>
      <c r="E239" t="s">
        <v>1238</v>
      </c>
      <c r="F239" s="8">
        <v>375</v>
      </c>
      <c r="G239" s="11">
        <v>1.0721396218009436E-3</v>
      </c>
      <c r="H239" s="12">
        <v>0.75687066768876587</v>
      </c>
      <c r="I239" t="s">
        <v>1238</v>
      </c>
      <c r="J239" s="8">
        <v>5</v>
      </c>
      <c r="K239">
        <v>6</v>
      </c>
      <c r="L239" s="11">
        <v>6.2155775398998981E-4</v>
      </c>
      <c r="M239" s="12">
        <v>0.78334923735357842</v>
      </c>
      <c r="N239" t="s">
        <v>1238</v>
      </c>
      <c r="O239" t="s">
        <v>1252</v>
      </c>
      <c r="P239" s="23">
        <f>VLOOKUP(A239,вариация!A$2:G$805,2,FALSE)</f>
        <v>2.2360679774997894</v>
      </c>
      <c r="Q239" t="str">
        <f>IF(вариация!H240="Yes",IF(P242&lt;0.1,"X",IF(P242&lt;0.25,"Y","Z")),"")</f>
        <v/>
      </c>
      <c r="R239" t="str">
        <f>O239&amp;Q239</f>
        <v>AAA</v>
      </c>
    </row>
    <row r="240" spans="1:18" x14ac:dyDescent="0.25">
      <c r="A240" s="7" t="s">
        <v>652</v>
      </c>
      <c r="B240" s="8">
        <v>0.1</v>
      </c>
      <c r="C240" s="11">
        <v>6.2155775398999027E-5</v>
      </c>
      <c r="D240" s="12">
        <v>0.9997649920774857</v>
      </c>
      <c r="E240" t="s">
        <v>1240</v>
      </c>
      <c r="F240" s="8">
        <v>61.000000000000007</v>
      </c>
      <c r="G240" s="11">
        <v>1.7440137847962018E-4</v>
      </c>
      <c r="H240" s="12">
        <v>0.99153799890952576</v>
      </c>
      <c r="I240" t="s">
        <v>1240</v>
      </c>
      <c r="J240" s="8">
        <v>5</v>
      </c>
      <c r="K240">
        <v>0.6</v>
      </c>
      <c r="L240" s="11">
        <v>6.2155775398998987E-5</v>
      </c>
      <c r="M240" s="12">
        <v>0.99976499207748559</v>
      </c>
      <c r="N240" t="s">
        <v>1240</v>
      </c>
      <c r="O240" t="s">
        <v>1260</v>
      </c>
      <c r="P240" s="23">
        <f>VLOOKUP(A240,вариация!A$2:G$805,2,FALSE)</f>
        <v>2.2360679774997898</v>
      </c>
      <c r="Q240" t="str">
        <f>IF(вариация!H241="Yes",IF(P243&lt;0.1,"X",IF(P243&lt;0.25,"Y","Z")),"")</f>
        <v/>
      </c>
      <c r="R240" t="str">
        <f>O240&amp;Q240</f>
        <v>CCC</v>
      </c>
    </row>
    <row r="241" spans="1:18" x14ac:dyDescent="0.25">
      <c r="A241" s="7" t="s">
        <v>947</v>
      </c>
      <c r="B241" s="8">
        <v>1</v>
      </c>
      <c r="C241" s="11">
        <v>6.2155775398999025E-4</v>
      </c>
      <c r="D241" s="12">
        <v>0.78397079510756851</v>
      </c>
      <c r="E241" t="s">
        <v>1238</v>
      </c>
      <c r="F241" s="8">
        <v>153</v>
      </c>
      <c r="G241" s="11">
        <v>4.3743296569478496E-4</v>
      </c>
      <c r="H241" s="12">
        <v>0.93312022727009269</v>
      </c>
      <c r="I241" t="s">
        <v>1239</v>
      </c>
      <c r="J241" s="8">
        <v>5</v>
      </c>
      <c r="K241">
        <v>6</v>
      </c>
      <c r="L241" s="11">
        <v>6.2155775398998981E-4</v>
      </c>
      <c r="M241" s="12">
        <v>0.7839707951075684</v>
      </c>
      <c r="N241" t="s">
        <v>1238</v>
      </c>
      <c r="O241" t="s">
        <v>1253</v>
      </c>
      <c r="P241" s="23">
        <f>VLOOKUP(A241,вариация!A$2:G$805,2,FALSE)</f>
        <v>2.2360679774997894</v>
      </c>
      <c r="Q241" t="str">
        <f>IF(вариация!H242="Yes",IF(P244&lt;0.1,"X",IF(P244&lt;0.25,"Y","Z")),"")</f>
        <v/>
      </c>
      <c r="R241" t="str">
        <f>O241&amp;Q241</f>
        <v>ABA</v>
      </c>
    </row>
    <row r="242" spans="1:18" x14ac:dyDescent="0.25">
      <c r="A242" s="7" t="s">
        <v>464</v>
      </c>
      <c r="B242" s="8">
        <v>2</v>
      </c>
      <c r="C242" s="11">
        <v>1.2431155079799805E-3</v>
      </c>
      <c r="D242" s="12">
        <v>0.56996846040881965</v>
      </c>
      <c r="E242" t="s">
        <v>1238</v>
      </c>
      <c r="F242" s="8">
        <v>563</v>
      </c>
      <c r="G242" s="11">
        <v>1.6096389521971499E-3</v>
      </c>
      <c r="H242" s="12">
        <v>0.61157354923668861</v>
      </c>
      <c r="I242" t="s">
        <v>1238</v>
      </c>
      <c r="J242" s="8">
        <v>5</v>
      </c>
      <c r="K242">
        <v>12</v>
      </c>
      <c r="L242" s="11">
        <v>1.2431155079799796E-3</v>
      </c>
      <c r="M242" s="12">
        <v>0.56996846040881954</v>
      </c>
      <c r="N242" t="s">
        <v>1238</v>
      </c>
      <c r="O242" t="s">
        <v>1252</v>
      </c>
      <c r="P242" s="23">
        <f>VLOOKUP(A242,вариация!A$2:G$805,2,FALSE)</f>
        <v>1.3693063937629151</v>
      </c>
      <c r="Q242" t="str">
        <f>IF(вариация!H243="Yes",IF(P245&lt;0.1,"X",IF(P245&lt;0.25,"Y","Z")),"")</f>
        <v/>
      </c>
      <c r="R242" t="str">
        <f>O242&amp;Q242</f>
        <v>AAA</v>
      </c>
    </row>
    <row r="243" spans="1:18" x14ac:dyDescent="0.25">
      <c r="A243" s="7" t="s">
        <v>634</v>
      </c>
      <c r="B243" s="8">
        <v>1</v>
      </c>
      <c r="C243" s="11">
        <v>6.2155775398999025E-4</v>
      </c>
      <c r="D243" s="12">
        <v>0.78459235286155848</v>
      </c>
      <c r="E243" t="s">
        <v>1238</v>
      </c>
      <c r="F243" s="8">
        <v>189</v>
      </c>
      <c r="G243" s="11">
        <v>5.4035836938767551E-4</v>
      </c>
      <c r="H243" s="12">
        <v>0.9128864366418179</v>
      </c>
      <c r="I243" t="s">
        <v>1239</v>
      </c>
      <c r="J243" s="8">
        <v>5</v>
      </c>
      <c r="K243">
        <v>6</v>
      </c>
      <c r="L243" s="11">
        <v>6.2155775398998981E-4</v>
      </c>
      <c r="M243" s="12">
        <v>0.78459235286155837</v>
      </c>
      <c r="N243" t="s">
        <v>1238</v>
      </c>
      <c r="O243" t="s">
        <v>1253</v>
      </c>
      <c r="P243" s="23">
        <f>VLOOKUP(A243,вариация!A$2:G$805,2,FALSE)</f>
        <v>2.2360679774997894</v>
      </c>
      <c r="Q243" t="str">
        <f>IF(вариация!H244="Yes",IF(P246&lt;0.1,"X",IF(P246&lt;0.25,"Y","Z")),"")</f>
        <v/>
      </c>
      <c r="R243" t="str">
        <f>O243&amp;Q243</f>
        <v>ABA</v>
      </c>
    </row>
    <row r="244" spans="1:18" x14ac:dyDescent="0.25">
      <c r="A244" s="7" t="s">
        <v>520</v>
      </c>
      <c r="B244" s="8">
        <v>5</v>
      </c>
      <c r="C244" s="11">
        <v>3.1077887699499512E-3</v>
      </c>
      <c r="D244" s="12">
        <v>0.33564118715459434</v>
      </c>
      <c r="E244" t="s">
        <v>1238</v>
      </c>
      <c r="F244" s="8">
        <v>236</v>
      </c>
      <c r="G244" s="11">
        <v>6.747332019867271E-4</v>
      </c>
      <c r="H244" s="12">
        <v>0.88222910448824321</v>
      </c>
      <c r="I244" t="s">
        <v>1239</v>
      </c>
      <c r="J244" s="8">
        <v>5</v>
      </c>
      <c r="K244">
        <v>30</v>
      </c>
      <c r="L244" s="11">
        <v>3.1077887699499491E-3</v>
      </c>
      <c r="M244" s="12">
        <v>0.33564118715459418</v>
      </c>
      <c r="N244" t="s">
        <v>1238</v>
      </c>
      <c r="O244" t="s">
        <v>1253</v>
      </c>
      <c r="P244" s="23">
        <f>VLOOKUP(A244,вариация!A$2:G$805,2,FALSE)</f>
        <v>1.4142135623730951</v>
      </c>
      <c r="Q244" t="str">
        <f>IF(вариация!H245="Yes",IF(P247&lt;0.1,"X",IF(P247&lt;0.25,"Y","Z")),"")</f>
        <v/>
      </c>
      <c r="R244" t="str">
        <f>O244&amp;Q244</f>
        <v>ABA</v>
      </c>
    </row>
    <row r="245" spans="1:18" x14ac:dyDescent="0.25">
      <c r="A245" s="7" t="s">
        <v>1110</v>
      </c>
      <c r="B245" s="8">
        <v>5</v>
      </c>
      <c r="C245" s="11">
        <v>3.1077887699499512E-3</v>
      </c>
      <c r="D245" s="12">
        <v>0.33874897592454428</v>
      </c>
      <c r="E245" t="s">
        <v>1238</v>
      </c>
      <c r="F245" s="8">
        <v>71</v>
      </c>
      <c r="G245" s="11">
        <v>2.0299176839431196E-4</v>
      </c>
      <c r="H245" s="12">
        <v>0.98800865822650663</v>
      </c>
      <c r="I245" t="s">
        <v>1240</v>
      </c>
      <c r="J245" s="8">
        <v>5</v>
      </c>
      <c r="K245">
        <v>30</v>
      </c>
      <c r="L245" s="11">
        <v>3.1077887699499491E-3</v>
      </c>
      <c r="M245" s="12">
        <v>0.33874897592454412</v>
      </c>
      <c r="N245" t="s">
        <v>1238</v>
      </c>
      <c r="O245" t="s">
        <v>1254</v>
      </c>
      <c r="P245" s="23">
        <f>VLOOKUP(A245,вариация!A$2:G$805,2,FALSE)</f>
        <v>2.2360679774997898</v>
      </c>
      <c r="Q245" t="str">
        <f>IF(вариация!H246="Yes",IF(P248&lt;0.1,"X",IF(P248&lt;0.25,"Y","Z")),"")</f>
        <v/>
      </c>
      <c r="R245" t="str">
        <f>O245&amp;Q245</f>
        <v>ACA</v>
      </c>
    </row>
    <row r="246" spans="1:18" x14ac:dyDescent="0.25">
      <c r="A246" s="7" t="s">
        <v>312</v>
      </c>
      <c r="B246" s="8">
        <v>3</v>
      </c>
      <c r="C246" s="11">
        <v>1.8646732619699705E-3</v>
      </c>
      <c r="D246" s="12">
        <v>0.4419275630868828</v>
      </c>
      <c r="E246" t="s">
        <v>1238</v>
      </c>
      <c r="F246" s="8">
        <v>684</v>
      </c>
      <c r="G246" s="11">
        <v>1.9555826701649209E-3</v>
      </c>
      <c r="H246" s="12">
        <v>0.52060559955855523</v>
      </c>
      <c r="I246" t="s">
        <v>1238</v>
      </c>
      <c r="J246" s="8">
        <v>5</v>
      </c>
      <c r="K246">
        <v>18</v>
      </c>
      <c r="L246" s="11">
        <v>1.8646732619699697E-3</v>
      </c>
      <c r="M246" s="12">
        <v>0.44192756308688264</v>
      </c>
      <c r="N246" t="s">
        <v>1238</v>
      </c>
      <c r="O246" t="s">
        <v>1252</v>
      </c>
      <c r="P246" s="23">
        <f>VLOOKUP(A246,вариация!A$2:G$805,2,FALSE)</f>
        <v>0.91287092917527679</v>
      </c>
      <c r="Q246" t="str">
        <f>IF(вариация!H247="Yes",IF(P249&lt;0.1,"X",IF(P249&lt;0.25,"Y","Z")),"")</f>
        <v>Z</v>
      </c>
      <c r="R246" t="str">
        <f>O246&amp;Q246</f>
        <v>AAAZ</v>
      </c>
    </row>
    <row r="247" spans="1:18" x14ac:dyDescent="0.25">
      <c r="A247" s="7" t="s">
        <v>1028</v>
      </c>
      <c r="B247" s="8">
        <v>1</v>
      </c>
      <c r="C247" s="11">
        <v>6.2155775398999025E-4</v>
      </c>
      <c r="D247" s="12">
        <v>0.78521391061554846</v>
      </c>
      <c r="E247" t="s">
        <v>1238</v>
      </c>
      <c r="F247" s="8">
        <v>1975</v>
      </c>
      <c r="G247" s="11">
        <v>5.6466020081516362E-3</v>
      </c>
      <c r="H247" s="12">
        <v>0.18579237106068652</v>
      </c>
      <c r="I247" t="s">
        <v>1238</v>
      </c>
      <c r="J247" s="8">
        <v>5</v>
      </c>
      <c r="K247">
        <v>6</v>
      </c>
      <c r="L247" s="11">
        <v>6.2155775398998981E-4</v>
      </c>
      <c r="M247" s="12">
        <v>0.78521391061554835</v>
      </c>
      <c r="N247" t="s">
        <v>1238</v>
      </c>
      <c r="O247" t="s">
        <v>1252</v>
      </c>
      <c r="P247" s="23">
        <f>VLOOKUP(A247,вариация!A$2:G$805,2,FALSE)</f>
        <v>2.2360679774997894</v>
      </c>
      <c r="Q247" t="str">
        <f>IF(вариация!H248="Yes",IF(P250&lt;0.1,"X",IF(P250&lt;0.25,"Y","Z")),"")</f>
        <v/>
      </c>
      <c r="R247" t="str">
        <f>O247&amp;Q247</f>
        <v>AAA</v>
      </c>
    </row>
    <row r="248" spans="1:18" x14ac:dyDescent="0.25">
      <c r="A248" s="7" t="s">
        <v>684</v>
      </c>
      <c r="B248" s="8">
        <v>2</v>
      </c>
      <c r="C248" s="11">
        <v>1.2431155079799805E-3</v>
      </c>
      <c r="D248" s="12">
        <v>0.57121157591679961</v>
      </c>
      <c r="E248" t="s">
        <v>1238</v>
      </c>
      <c r="F248" s="8">
        <v>430</v>
      </c>
      <c r="G248" s="11">
        <v>1.2293867663317486E-3</v>
      </c>
      <c r="H248" s="12">
        <v>0.70879406867186734</v>
      </c>
      <c r="I248" t="s">
        <v>1238</v>
      </c>
      <c r="J248" s="8">
        <v>5</v>
      </c>
      <c r="K248">
        <v>12</v>
      </c>
      <c r="L248" s="11">
        <v>1.2431155079799796E-3</v>
      </c>
      <c r="M248" s="12">
        <v>0.5712115759167995</v>
      </c>
      <c r="N248" t="s">
        <v>1238</v>
      </c>
      <c r="O248" t="s">
        <v>1252</v>
      </c>
      <c r="P248" s="23">
        <f>VLOOKUP(A248,вариация!A$2:G$805,2,FALSE)</f>
        <v>1.3693063937629151</v>
      </c>
      <c r="Q248" t="str">
        <f>IF(вариация!H249="Yes",IF(P251&lt;0.1,"X",IF(P251&lt;0.25,"Y","Z")),"")</f>
        <v/>
      </c>
      <c r="R248" t="str">
        <f>O248&amp;Q248</f>
        <v>AAA</v>
      </c>
    </row>
    <row r="249" spans="1:18" x14ac:dyDescent="0.25">
      <c r="A249" s="7" t="s">
        <v>553</v>
      </c>
      <c r="B249" s="8">
        <v>3</v>
      </c>
      <c r="C249" s="11">
        <v>1.8646732619699705E-3</v>
      </c>
      <c r="D249" s="12">
        <v>0.44379223634885279</v>
      </c>
      <c r="E249" t="s">
        <v>1238</v>
      </c>
      <c r="F249" s="8">
        <v>1225</v>
      </c>
      <c r="G249" s="11">
        <v>3.502322764549749E-3</v>
      </c>
      <c r="H249" s="12">
        <v>0.33954830214757104</v>
      </c>
      <c r="I249" t="s">
        <v>1238</v>
      </c>
      <c r="J249" s="8">
        <v>5</v>
      </c>
      <c r="K249">
        <v>18</v>
      </c>
      <c r="L249" s="11">
        <v>1.8646732619699697E-3</v>
      </c>
      <c r="M249" s="12">
        <v>0.44379223634885262</v>
      </c>
      <c r="N249" t="s">
        <v>1238</v>
      </c>
      <c r="O249" t="s">
        <v>1252</v>
      </c>
      <c r="P249" s="23">
        <f>VLOOKUP(A249,вариация!A$2:G$805,2,FALSE)</f>
        <v>0.91287092917527679</v>
      </c>
      <c r="Q249" t="str">
        <f>IF(вариация!H250="Yes",IF(P252&lt;0.1,"X",IF(P252&lt;0.25,"Y","Z")),"")</f>
        <v>Z</v>
      </c>
      <c r="R249" t="str">
        <f>O249&amp;Q249</f>
        <v>AAAZ</v>
      </c>
    </row>
    <row r="250" spans="1:18" x14ac:dyDescent="0.25">
      <c r="A250" s="7" t="s">
        <v>655</v>
      </c>
      <c r="B250" s="8">
        <v>1</v>
      </c>
      <c r="C250" s="11">
        <v>6.2155775398999025E-4</v>
      </c>
      <c r="D250" s="12">
        <v>0.78583546836953844</v>
      </c>
      <c r="E250" t="s">
        <v>1238</v>
      </c>
      <c r="F250" s="8">
        <v>383</v>
      </c>
      <c r="G250" s="11">
        <v>1.095011933732697E-3</v>
      </c>
      <c r="H250" s="12">
        <v>0.74931236925896838</v>
      </c>
      <c r="I250" t="s">
        <v>1238</v>
      </c>
      <c r="J250" s="8">
        <v>5</v>
      </c>
      <c r="K250">
        <v>6</v>
      </c>
      <c r="L250" s="11">
        <v>6.2155775398998981E-4</v>
      </c>
      <c r="M250" s="12">
        <v>0.78583546836953833</v>
      </c>
      <c r="N250" t="s">
        <v>1238</v>
      </c>
      <c r="O250" t="s">
        <v>1252</v>
      </c>
      <c r="P250" s="23">
        <f>VLOOKUP(A250,вариация!A$2:G$805,2,FALSE)</f>
        <v>2.2360679774997894</v>
      </c>
      <c r="Q250" t="str">
        <f>IF(вариация!H251="Yes",IF(P253&lt;0.1,"X",IF(P253&lt;0.25,"Y","Z")),"")</f>
        <v/>
      </c>
      <c r="R250" t="str">
        <f>O250&amp;Q250</f>
        <v>AAA</v>
      </c>
    </row>
    <row r="251" spans="1:18" x14ac:dyDescent="0.25">
      <c r="A251" s="7" t="s">
        <v>596</v>
      </c>
      <c r="B251" s="8">
        <v>1</v>
      </c>
      <c r="C251" s="11">
        <v>6.2155775398999025E-4</v>
      </c>
      <c r="D251" s="12">
        <v>0.78645702612352841</v>
      </c>
      <c r="E251" t="s">
        <v>1238</v>
      </c>
      <c r="F251" s="8">
        <v>573</v>
      </c>
      <c r="G251" s="11">
        <v>1.6382293421118416E-3</v>
      </c>
      <c r="H251" s="12">
        <v>0.60832853998137115</v>
      </c>
      <c r="I251" t="s">
        <v>1238</v>
      </c>
      <c r="J251" s="8">
        <v>5</v>
      </c>
      <c r="K251">
        <v>6</v>
      </c>
      <c r="L251" s="11">
        <v>6.2155775398998981E-4</v>
      </c>
      <c r="M251" s="12">
        <v>0.7864570261235283</v>
      </c>
      <c r="N251" t="s">
        <v>1238</v>
      </c>
      <c r="O251" t="s">
        <v>1252</v>
      </c>
      <c r="P251" s="23">
        <f>VLOOKUP(A251,вариация!A$2:G$805,2,FALSE)</f>
        <v>2.2360679774997894</v>
      </c>
      <c r="Q251" t="str">
        <f>IF(вариация!H252="Yes",IF(P254&lt;0.1,"X",IF(P254&lt;0.25,"Y","Z")),"")</f>
        <v/>
      </c>
      <c r="R251" t="str">
        <f>O251&amp;Q251</f>
        <v>AAA</v>
      </c>
    </row>
    <row r="252" spans="1:18" x14ac:dyDescent="0.25">
      <c r="A252" s="7" t="s">
        <v>1055</v>
      </c>
      <c r="B252" s="8">
        <v>1</v>
      </c>
      <c r="C252" s="11">
        <v>6.2155775398999025E-4</v>
      </c>
      <c r="D252" s="12">
        <v>0.78707858387751839</v>
      </c>
      <c r="E252" t="s">
        <v>1238</v>
      </c>
      <c r="F252" s="8">
        <v>1032.9100000000001</v>
      </c>
      <c r="G252" s="11">
        <v>2.9531299646784336E-3</v>
      </c>
      <c r="H252" s="12">
        <v>0.40267085117121459</v>
      </c>
      <c r="I252" t="s">
        <v>1238</v>
      </c>
      <c r="J252" s="8">
        <v>5</v>
      </c>
      <c r="K252">
        <v>6</v>
      </c>
      <c r="L252" s="11">
        <v>6.2155775398998981E-4</v>
      </c>
      <c r="M252" s="12">
        <v>0.78707858387751828</v>
      </c>
      <c r="N252" t="s">
        <v>1238</v>
      </c>
      <c r="O252" t="s">
        <v>1252</v>
      </c>
      <c r="P252" s="23">
        <f>VLOOKUP(A252,вариация!A$2:G$805,2,FALSE)</f>
        <v>2.2360679774997894</v>
      </c>
      <c r="Q252" t="str">
        <f>IF(вариация!H253="Yes",IF(P255&lt;0.1,"X",IF(P255&lt;0.25,"Y","Z")),"")</f>
        <v/>
      </c>
      <c r="R252" t="str">
        <f>O252&amp;Q252</f>
        <v>AAA</v>
      </c>
    </row>
    <row r="253" spans="1:18" x14ac:dyDescent="0.25">
      <c r="A253" s="7" t="s">
        <v>953</v>
      </c>
      <c r="B253" s="8">
        <v>1</v>
      </c>
      <c r="C253" s="11">
        <v>6.2155775398999025E-4</v>
      </c>
      <c r="D253" s="12">
        <v>0.78770014163150837</v>
      </c>
      <c r="E253" t="s">
        <v>1238</v>
      </c>
      <c r="F253" s="8">
        <v>1065</v>
      </c>
      <c r="G253" s="11">
        <v>3.0448765259146796E-3</v>
      </c>
      <c r="H253" s="12">
        <v>0.38488216787980256</v>
      </c>
      <c r="I253" t="s">
        <v>1238</v>
      </c>
      <c r="J253" s="8">
        <v>5</v>
      </c>
      <c r="K253">
        <v>6</v>
      </c>
      <c r="L253" s="11">
        <v>6.2155775398998981E-4</v>
      </c>
      <c r="M253" s="12">
        <v>0.78770014163150825</v>
      </c>
      <c r="N253" t="s">
        <v>1238</v>
      </c>
      <c r="O253" t="s">
        <v>1252</v>
      </c>
      <c r="P253" s="23">
        <f>VLOOKUP(A253,вариация!A$2:G$805,2,FALSE)</f>
        <v>2.2360679774997894</v>
      </c>
      <c r="Q253" t="str">
        <f>IF(вариация!H254="Yes",IF(P256&lt;0.1,"X",IF(P256&lt;0.25,"Y","Z")),"")</f>
        <v/>
      </c>
      <c r="R253" t="str">
        <f>O253&amp;Q253</f>
        <v>AAA</v>
      </c>
    </row>
    <row r="254" spans="1:18" x14ac:dyDescent="0.25">
      <c r="A254" s="7" t="s">
        <v>130</v>
      </c>
      <c r="B254" s="8">
        <v>2</v>
      </c>
      <c r="C254" s="11">
        <v>1.2431155079799805E-3</v>
      </c>
      <c r="D254" s="12">
        <v>0.57245469142477956</v>
      </c>
      <c r="E254" t="s">
        <v>1238</v>
      </c>
      <c r="F254" s="8">
        <v>919</v>
      </c>
      <c r="G254" s="11">
        <v>2.6274568331601791E-3</v>
      </c>
      <c r="H254" s="12">
        <v>0.44443634074757582</v>
      </c>
      <c r="I254" t="s">
        <v>1238</v>
      </c>
      <c r="J254" s="8">
        <v>5</v>
      </c>
      <c r="K254">
        <v>12</v>
      </c>
      <c r="L254" s="11">
        <v>1.2431155079799796E-3</v>
      </c>
      <c r="M254" s="12">
        <v>0.57245469142477945</v>
      </c>
      <c r="N254" t="s">
        <v>1238</v>
      </c>
      <c r="O254" t="s">
        <v>1252</v>
      </c>
      <c r="P254" s="23">
        <f>VLOOKUP(A254,вариация!A$2:G$805,2,FALSE)</f>
        <v>1.3693063937629151</v>
      </c>
      <c r="Q254" t="str">
        <f>IF(вариация!H255="Yes",IF(P257&lt;0.1,"X",IF(P257&lt;0.25,"Y","Z")),"")</f>
        <v/>
      </c>
      <c r="R254" t="str">
        <f>O254&amp;Q254</f>
        <v>AAA</v>
      </c>
    </row>
    <row r="255" spans="1:18" x14ac:dyDescent="0.25">
      <c r="A255" s="7" t="s">
        <v>258</v>
      </c>
      <c r="B255" s="8">
        <v>1</v>
      </c>
      <c r="C255" s="11">
        <v>6.2155775398999025E-4</v>
      </c>
      <c r="D255" s="12">
        <v>0.78832169938549834</v>
      </c>
      <c r="E255" t="s">
        <v>1238</v>
      </c>
      <c r="F255" s="8">
        <v>104</v>
      </c>
      <c r="G255" s="11">
        <v>2.9734005511279502E-4</v>
      </c>
      <c r="H255" s="12">
        <v>0.9640293835780358</v>
      </c>
      <c r="I255" t="s">
        <v>1240</v>
      </c>
      <c r="J255" s="8">
        <v>5</v>
      </c>
      <c r="K255">
        <v>6</v>
      </c>
      <c r="L255" s="11">
        <v>6.2155775398998981E-4</v>
      </c>
      <c r="M255" s="12">
        <v>0.78832169938549823</v>
      </c>
      <c r="N255" t="s">
        <v>1238</v>
      </c>
      <c r="O255" t="s">
        <v>1254</v>
      </c>
      <c r="P255" s="23">
        <f>VLOOKUP(A255,вариация!A$2:G$805,2,FALSE)</f>
        <v>2.2360679774997894</v>
      </c>
      <c r="Q255" t="str">
        <f>IF(вариация!H256="Yes",IF(P258&lt;0.1,"X",IF(P258&lt;0.25,"Y","Z")),"")</f>
        <v/>
      </c>
      <c r="R255" t="str">
        <f>O255&amp;Q255</f>
        <v>ACA</v>
      </c>
    </row>
    <row r="256" spans="1:18" x14ac:dyDescent="0.25">
      <c r="A256" s="7" t="s">
        <v>1042</v>
      </c>
      <c r="B256" s="8">
        <v>1</v>
      </c>
      <c r="C256" s="11">
        <v>6.2155775398999025E-4</v>
      </c>
      <c r="D256" s="12">
        <v>0.78894325713948832</v>
      </c>
      <c r="E256" t="s">
        <v>1238</v>
      </c>
      <c r="F256" s="8">
        <v>524</v>
      </c>
      <c r="G256" s="11">
        <v>1.4981364315298517E-3</v>
      </c>
      <c r="H256" s="12">
        <v>0.63782698927014336</v>
      </c>
      <c r="I256" t="s">
        <v>1238</v>
      </c>
      <c r="J256" s="8">
        <v>5</v>
      </c>
      <c r="K256">
        <v>6</v>
      </c>
      <c r="L256" s="11">
        <v>6.2155775398998981E-4</v>
      </c>
      <c r="M256" s="12">
        <v>0.78894325713948821</v>
      </c>
      <c r="N256" t="s">
        <v>1238</v>
      </c>
      <c r="O256" t="s">
        <v>1252</v>
      </c>
      <c r="P256" s="23">
        <f>VLOOKUP(A256,вариация!A$2:G$805,2,FALSE)</f>
        <v>2.2360679774997894</v>
      </c>
      <c r="Q256" t="str">
        <f>IF(вариация!H257="Yes",IF(P259&lt;0.1,"X",IF(P259&lt;0.25,"Y","Z")),"")</f>
        <v/>
      </c>
      <c r="R256" t="str">
        <f>O256&amp;Q256</f>
        <v>AAA</v>
      </c>
    </row>
    <row r="257" spans="1:18" x14ac:dyDescent="0.25">
      <c r="A257" s="7" t="s">
        <v>710</v>
      </c>
      <c r="B257" s="8">
        <v>1</v>
      </c>
      <c r="C257" s="11">
        <v>6.2155775398999025E-4</v>
      </c>
      <c r="D257" s="12">
        <v>0.7895648148934783</v>
      </c>
      <c r="E257" t="s">
        <v>1238</v>
      </c>
      <c r="F257" s="8">
        <v>572</v>
      </c>
      <c r="G257" s="11">
        <v>1.6353703031203725E-3</v>
      </c>
      <c r="H257" s="12">
        <v>0.60996391028449148</v>
      </c>
      <c r="I257" t="s">
        <v>1238</v>
      </c>
      <c r="J257" s="8">
        <v>5</v>
      </c>
      <c r="K257">
        <v>6</v>
      </c>
      <c r="L257" s="11">
        <v>6.2155775398998981E-4</v>
      </c>
      <c r="M257" s="12">
        <v>0.78956481489347818</v>
      </c>
      <c r="N257" t="s">
        <v>1238</v>
      </c>
      <c r="O257" t="s">
        <v>1252</v>
      </c>
      <c r="P257" s="23">
        <f>VLOOKUP(A257,вариация!A$2:G$805,2,FALSE)</f>
        <v>2.2360679774997894</v>
      </c>
      <c r="Q257" t="str">
        <f>IF(вариация!H258="Yes",IF(P260&lt;0.1,"X",IF(P260&lt;0.25,"Y","Z")),"")</f>
        <v/>
      </c>
      <c r="R257" t="str">
        <f>O257&amp;Q257</f>
        <v>AAA</v>
      </c>
    </row>
    <row r="258" spans="1:18" x14ac:dyDescent="0.25">
      <c r="A258" s="7" t="s">
        <v>551</v>
      </c>
      <c r="B258" s="8">
        <v>3</v>
      </c>
      <c r="C258" s="11">
        <v>1.8646732619699705E-3</v>
      </c>
      <c r="D258" s="12">
        <v>0.44565690961082277</v>
      </c>
      <c r="E258" t="s">
        <v>1238</v>
      </c>
      <c r="F258" s="8">
        <v>2676.89</v>
      </c>
      <c r="G258" s="11">
        <v>7.6533328858739398E-3</v>
      </c>
      <c r="H258" s="12">
        <v>0.11537335439871321</v>
      </c>
      <c r="I258" t="s">
        <v>1238</v>
      </c>
      <c r="J258" s="8">
        <v>5</v>
      </c>
      <c r="K258">
        <v>18</v>
      </c>
      <c r="L258" s="11">
        <v>1.8646732619699697E-3</v>
      </c>
      <c r="M258" s="12">
        <v>0.4456569096108226</v>
      </c>
      <c r="N258" t="s">
        <v>1238</v>
      </c>
      <c r="O258" t="s">
        <v>1252</v>
      </c>
      <c r="P258" s="23">
        <f>VLOOKUP(A258,вариация!A$2:G$805,2,FALSE)</f>
        <v>2.2360679774997898</v>
      </c>
      <c r="Q258" t="str">
        <f>IF(вариация!H259="Yes",IF(P261&lt;0.1,"X",IF(P261&lt;0.25,"Y","Z")),"")</f>
        <v/>
      </c>
      <c r="R258" t="str">
        <f>O258&amp;Q258</f>
        <v>AAA</v>
      </c>
    </row>
    <row r="259" spans="1:18" x14ac:dyDescent="0.25">
      <c r="A259" s="7" t="s">
        <v>1177</v>
      </c>
      <c r="B259" s="8">
        <v>1</v>
      </c>
      <c r="C259" s="11">
        <v>6.2155775398999025E-4</v>
      </c>
      <c r="D259" s="12">
        <v>0.79018637264746827</v>
      </c>
      <c r="E259" t="s">
        <v>1238</v>
      </c>
      <c r="F259" s="8">
        <v>339</v>
      </c>
      <c r="G259" s="11">
        <v>9.6921421810805292E-4</v>
      </c>
      <c r="H259" s="12">
        <v>0.79138051017941158</v>
      </c>
      <c r="I259" t="s">
        <v>1238</v>
      </c>
      <c r="J259" s="8">
        <v>5</v>
      </c>
      <c r="K259">
        <v>6</v>
      </c>
      <c r="L259" s="11">
        <v>6.2155775398998981E-4</v>
      </c>
      <c r="M259" s="12">
        <v>0.79018637264746816</v>
      </c>
      <c r="N259" t="s">
        <v>1238</v>
      </c>
      <c r="O259" t="s">
        <v>1252</v>
      </c>
      <c r="P259" s="23">
        <f>VLOOKUP(A259,вариация!A$2:G$805,2,FALSE)</f>
        <v>2.2360679774997894</v>
      </c>
      <c r="Q259" t="str">
        <f>IF(вариация!H260="Yes",IF(P262&lt;0.1,"X",IF(P262&lt;0.25,"Y","Z")),"")</f>
        <v/>
      </c>
      <c r="R259" t="str">
        <f>O259&amp;Q259</f>
        <v>AAA</v>
      </c>
    </row>
    <row r="260" spans="1:18" x14ac:dyDescent="0.25">
      <c r="A260" s="7" t="s">
        <v>57</v>
      </c>
      <c r="B260" s="8">
        <v>1</v>
      </c>
      <c r="C260" s="11">
        <v>6.2155775398999025E-4</v>
      </c>
      <c r="D260" s="12">
        <v>0.79080793040145825</v>
      </c>
      <c r="E260" t="s">
        <v>1238</v>
      </c>
      <c r="F260" s="8">
        <v>537</v>
      </c>
      <c r="G260" s="11">
        <v>1.5353039384189511E-3</v>
      </c>
      <c r="H260" s="12">
        <v>0.62571038202429696</v>
      </c>
      <c r="I260" t="s">
        <v>1238</v>
      </c>
      <c r="J260" s="8">
        <v>5</v>
      </c>
      <c r="K260">
        <v>6</v>
      </c>
      <c r="L260" s="11">
        <v>6.2155775398998981E-4</v>
      </c>
      <c r="M260" s="12">
        <v>0.79080793040145814</v>
      </c>
      <c r="N260" t="s">
        <v>1238</v>
      </c>
      <c r="O260" t="s">
        <v>1252</v>
      </c>
      <c r="P260" s="23">
        <f>VLOOKUP(A260,вариация!A$2:G$805,2,FALSE)</f>
        <v>2.2360679774997894</v>
      </c>
      <c r="Q260" t="str">
        <f>IF(вариация!H261="Yes",IF(P263&lt;0.1,"X",IF(P263&lt;0.25,"Y","Z")),"")</f>
        <v/>
      </c>
      <c r="R260" t="str">
        <f>O260&amp;Q260</f>
        <v>AAA</v>
      </c>
    </row>
    <row r="261" spans="1:18" x14ac:dyDescent="0.25">
      <c r="A261" s="7" t="s">
        <v>969</v>
      </c>
      <c r="B261" s="8">
        <v>1</v>
      </c>
      <c r="C261" s="11">
        <v>6.2155775398999025E-4</v>
      </c>
      <c r="D261" s="12">
        <v>0.79142948815544822</v>
      </c>
      <c r="E261" t="s">
        <v>1238</v>
      </c>
      <c r="F261" s="8">
        <v>76</v>
      </c>
      <c r="G261" s="11">
        <v>2.1728696335165788E-4</v>
      </c>
      <c r="H261" s="12">
        <v>0.98421642890822159</v>
      </c>
      <c r="I261" t="s">
        <v>1240</v>
      </c>
      <c r="J261" s="8">
        <v>5</v>
      </c>
      <c r="K261">
        <v>6</v>
      </c>
      <c r="L261" s="11">
        <v>6.2155775398998981E-4</v>
      </c>
      <c r="M261" s="12">
        <v>0.79142948815544811</v>
      </c>
      <c r="N261" t="s">
        <v>1238</v>
      </c>
      <c r="O261" t="s">
        <v>1254</v>
      </c>
      <c r="P261" s="23">
        <f>VLOOKUP(A261,вариация!A$2:G$805,2,FALSE)</f>
        <v>2.2360679774997894</v>
      </c>
      <c r="Q261" t="str">
        <f>IF(вариация!H262="Yes",IF(P264&lt;0.1,"X",IF(P264&lt;0.25,"Y","Z")),"")</f>
        <v/>
      </c>
      <c r="R261" t="str">
        <f>O261&amp;Q261</f>
        <v>ACA</v>
      </c>
    </row>
    <row r="262" spans="1:18" x14ac:dyDescent="0.25">
      <c r="A262" s="7" t="s">
        <v>401</v>
      </c>
      <c r="B262" s="8">
        <v>1</v>
      </c>
      <c r="C262" s="11">
        <v>6.2155775398999025E-4</v>
      </c>
      <c r="D262" s="12">
        <v>0.7920510459094382</v>
      </c>
      <c r="E262" t="s">
        <v>1238</v>
      </c>
      <c r="F262" s="8">
        <v>78</v>
      </c>
      <c r="G262" s="11">
        <v>2.2300504133459625E-4</v>
      </c>
      <c r="H262" s="12">
        <v>0.98267826593081131</v>
      </c>
      <c r="I262" t="s">
        <v>1240</v>
      </c>
      <c r="J262" s="8">
        <v>5</v>
      </c>
      <c r="K262">
        <v>6</v>
      </c>
      <c r="L262" s="11">
        <v>6.2155775398998981E-4</v>
      </c>
      <c r="M262" s="12">
        <v>0.79205104590943809</v>
      </c>
      <c r="N262" t="s">
        <v>1238</v>
      </c>
      <c r="O262" t="s">
        <v>1254</v>
      </c>
      <c r="P262" s="23">
        <f>VLOOKUP(A262,вариация!A$2:G$805,2,FALSE)</f>
        <v>2.2360679774997894</v>
      </c>
      <c r="Q262" t="str">
        <f>IF(вариация!H263="Yes",IF(P265&lt;0.1,"X",IF(P265&lt;0.25,"Y","Z")),"")</f>
        <v/>
      </c>
      <c r="R262" t="str">
        <f>O262&amp;Q262</f>
        <v>ACA</v>
      </c>
    </row>
    <row r="263" spans="1:18" x14ac:dyDescent="0.25">
      <c r="A263" s="7" t="s">
        <v>404</v>
      </c>
      <c r="B263" s="8">
        <v>1</v>
      </c>
      <c r="C263" s="11">
        <v>6.2155775398999025E-4</v>
      </c>
      <c r="D263" s="12">
        <v>0.79267260366342818</v>
      </c>
      <c r="E263" t="s">
        <v>1238</v>
      </c>
      <c r="F263" s="8">
        <v>176</v>
      </c>
      <c r="G263" s="11">
        <v>5.0319086249857618E-4</v>
      </c>
      <c r="H263" s="12">
        <v>0.91654600655089857</v>
      </c>
      <c r="I263" t="s">
        <v>1239</v>
      </c>
      <c r="J263" s="8">
        <v>5</v>
      </c>
      <c r="K263">
        <v>6</v>
      </c>
      <c r="L263" s="11">
        <v>6.2155775398998981E-4</v>
      </c>
      <c r="M263" s="12">
        <v>0.79267260366342807</v>
      </c>
      <c r="N263" t="s">
        <v>1238</v>
      </c>
      <c r="O263" t="s">
        <v>1253</v>
      </c>
      <c r="P263" s="23">
        <f>VLOOKUP(A263,вариация!A$2:G$805,2,FALSE)</f>
        <v>2.2360679774997894</v>
      </c>
      <c r="Q263" t="str">
        <f>IF(вариация!H264="Yes",IF(P266&lt;0.1,"X",IF(P266&lt;0.25,"Y","Z")),"")</f>
        <v/>
      </c>
      <c r="R263" t="str">
        <f>O263&amp;Q263</f>
        <v>ABA</v>
      </c>
    </row>
    <row r="264" spans="1:18" x14ac:dyDescent="0.25">
      <c r="A264" s="7" t="s">
        <v>1015</v>
      </c>
      <c r="B264" s="8">
        <v>2</v>
      </c>
      <c r="C264" s="11">
        <v>1.2431155079799805E-3</v>
      </c>
      <c r="D264" s="12">
        <v>0.57369780693275951</v>
      </c>
      <c r="E264" t="s">
        <v>1238</v>
      </c>
      <c r="F264" s="8">
        <v>200</v>
      </c>
      <c r="G264" s="11">
        <v>5.7180779829383655E-4</v>
      </c>
      <c r="H264" s="12">
        <v>0.90568583258024293</v>
      </c>
      <c r="I264" t="s">
        <v>1239</v>
      </c>
      <c r="J264" s="8">
        <v>5</v>
      </c>
      <c r="K264">
        <v>12</v>
      </c>
      <c r="L264" s="11">
        <v>1.2431155079799796E-3</v>
      </c>
      <c r="M264" s="12">
        <v>0.5736978069327594</v>
      </c>
      <c r="N264" t="s">
        <v>1238</v>
      </c>
      <c r="O264" t="s">
        <v>1253</v>
      </c>
      <c r="P264" s="23">
        <f>VLOOKUP(A264,вариация!A$2:G$805,2,FALSE)</f>
        <v>2.2360679774997894</v>
      </c>
      <c r="Q264" t="str">
        <f>IF(вариация!H265="Yes",IF(P267&lt;0.1,"X",IF(P267&lt;0.25,"Y","Z")),"")</f>
        <v/>
      </c>
      <c r="R264" t="str">
        <f>O264&amp;Q264</f>
        <v>ABA</v>
      </c>
    </row>
    <row r="265" spans="1:18" x14ac:dyDescent="0.25">
      <c r="A265" s="7" t="s">
        <v>1133</v>
      </c>
      <c r="B265" s="8">
        <v>1</v>
      </c>
      <c r="C265" s="11">
        <v>6.2155775398999025E-4</v>
      </c>
      <c r="D265" s="12">
        <v>0.79329416141741815</v>
      </c>
      <c r="E265" t="s">
        <v>1238</v>
      </c>
      <c r="F265" s="8">
        <v>243</v>
      </c>
      <c r="G265" s="11">
        <v>6.9474647492701145E-4</v>
      </c>
      <c r="H265" s="12">
        <v>0.87606501642263557</v>
      </c>
      <c r="I265" t="s">
        <v>1239</v>
      </c>
      <c r="J265" s="8">
        <v>5</v>
      </c>
      <c r="K265">
        <v>6</v>
      </c>
      <c r="L265" s="11">
        <v>6.2155775398998981E-4</v>
      </c>
      <c r="M265" s="12">
        <v>0.79329416141741804</v>
      </c>
      <c r="N265" t="s">
        <v>1238</v>
      </c>
      <c r="O265" t="s">
        <v>1253</v>
      </c>
      <c r="P265" s="23">
        <f>VLOOKUP(A265,вариация!A$2:G$805,2,FALSE)</f>
        <v>2.2360679774997894</v>
      </c>
      <c r="Q265" t="str">
        <f>IF(вариация!H266="Yes",IF(P268&lt;0.1,"X",IF(P268&lt;0.25,"Y","Z")),"")</f>
        <v/>
      </c>
      <c r="R265" t="str">
        <f>O265&amp;Q265</f>
        <v>ABA</v>
      </c>
    </row>
    <row r="266" spans="1:18" x14ac:dyDescent="0.25">
      <c r="A266" s="7" t="s">
        <v>1058</v>
      </c>
      <c r="B266" s="8">
        <v>1</v>
      </c>
      <c r="C266" s="11">
        <v>6.2155775398999025E-4</v>
      </c>
      <c r="D266" s="12">
        <v>0.79391571917140813</v>
      </c>
      <c r="E266" t="s">
        <v>1238</v>
      </c>
      <c r="F266" s="8">
        <v>251</v>
      </c>
      <c r="G266" s="11">
        <v>7.1761878685876483E-4</v>
      </c>
      <c r="H266" s="12">
        <v>0.8704584409603644</v>
      </c>
      <c r="I266" t="s">
        <v>1239</v>
      </c>
      <c r="J266" s="8">
        <v>5</v>
      </c>
      <c r="K266">
        <v>6</v>
      </c>
      <c r="L266" s="11">
        <v>6.2155775398998981E-4</v>
      </c>
      <c r="M266" s="12">
        <v>0.79391571917140802</v>
      </c>
      <c r="N266" t="s">
        <v>1238</v>
      </c>
      <c r="O266" t="s">
        <v>1253</v>
      </c>
      <c r="P266" s="23">
        <f>VLOOKUP(A266,вариация!A$2:G$805,2,FALSE)</f>
        <v>2.2360679774997894</v>
      </c>
      <c r="Q266" t="str">
        <f>IF(вариация!H267="Yes",IF(P269&lt;0.1,"X",IF(P269&lt;0.25,"Y","Z")),"")</f>
        <v/>
      </c>
      <c r="R266" t="str">
        <f>O266&amp;Q266</f>
        <v>ABA</v>
      </c>
    </row>
    <row r="267" spans="1:18" x14ac:dyDescent="0.25">
      <c r="A267" s="7" t="s">
        <v>658</v>
      </c>
      <c r="B267" s="8">
        <v>1</v>
      </c>
      <c r="C267" s="11">
        <v>6.2155775398999025E-4</v>
      </c>
      <c r="D267" s="12">
        <v>0.79453727692539811</v>
      </c>
      <c r="E267" t="s">
        <v>1238</v>
      </c>
      <c r="F267" s="8">
        <v>127</v>
      </c>
      <c r="G267" s="11">
        <v>3.6309795191658619E-4</v>
      </c>
      <c r="H267" s="12">
        <v>0.94825060469762634</v>
      </c>
      <c r="I267" t="s">
        <v>1239</v>
      </c>
      <c r="J267" s="8">
        <v>5</v>
      </c>
      <c r="K267">
        <v>6</v>
      </c>
      <c r="L267" s="11">
        <v>6.2155775398998981E-4</v>
      </c>
      <c r="M267" s="12">
        <v>0.79453727692539799</v>
      </c>
      <c r="N267" t="s">
        <v>1238</v>
      </c>
      <c r="O267" t="s">
        <v>1253</v>
      </c>
      <c r="P267" s="23">
        <f>VLOOKUP(A267,вариация!A$2:G$805,2,FALSE)</f>
        <v>2.2360679774997894</v>
      </c>
      <c r="Q267" t="str">
        <f>IF(вариация!H268="Yes",IF(P270&lt;0.1,"X",IF(P270&lt;0.25,"Y","Z")),"")</f>
        <v/>
      </c>
      <c r="R267" t="str">
        <f>O267&amp;Q267</f>
        <v>ABA</v>
      </c>
    </row>
    <row r="268" spans="1:18" x14ac:dyDescent="0.25">
      <c r="A268" s="7" t="s">
        <v>613</v>
      </c>
      <c r="B268" s="8">
        <v>1</v>
      </c>
      <c r="C268" s="11">
        <v>6.2155775398999025E-4</v>
      </c>
      <c r="D268" s="12">
        <v>0.79515883467938808</v>
      </c>
      <c r="E268" t="s">
        <v>1238</v>
      </c>
      <c r="F268" s="8">
        <v>141</v>
      </c>
      <c r="G268" s="11">
        <v>4.0312449779715477E-4</v>
      </c>
      <c r="H268" s="12">
        <v>0.93942715292371404</v>
      </c>
      <c r="I268" t="s">
        <v>1239</v>
      </c>
      <c r="J268" s="8">
        <v>5</v>
      </c>
      <c r="K268">
        <v>6</v>
      </c>
      <c r="L268" s="11">
        <v>6.2155775398998981E-4</v>
      </c>
      <c r="M268" s="12">
        <v>0.79515883467938797</v>
      </c>
      <c r="N268" t="s">
        <v>1238</v>
      </c>
      <c r="O268" t="s">
        <v>1253</v>
      </c>
      <c r="P268" s="23">
        <f>VLOOKUP(A268,вариация!A$2:G$805,2,FALSE)</f>
        <v>2.2360679774997894</v>
      </c>
      <c r="Q268" t="str">
        <f>IF(вариация!H269="Yes",IF(P271&lt;0.1,"X",IF(P271&lt;0.25,"Y","Z")),"")</f>
        <v/>
      </c>
      <c r="R268" t="str">
        <f>O268&amp;Q268</f>
        <v>ABA</v>
      </c>
    </row>
    <row r="269" spans="1:18" x14ac:dyDescent="0.25">
      <c r="A269" s="7" t="s">
        <v>316</v>
      </c>
      <c r="B269" s="8">
        <v>1</v>
      </c>
      <c r="C269" s="11">
        <v>6.2155775398999025E-4</v>
      </c>
      <c r="D269" s="12">
        <v>0.79578039243337806</v>
      </c>
      <c r="E269" t="s">
        <v>1238</v>
      </c>
      <c r="F269" s="8">
        <v>124</v>
      </c>
      <c r="G269" s="11">
        <v>3.5452083494217864E-4</v>
      </c>
      <c r="H269" s="12">
        <v>0.95112954260047611</v>
      </c>
      <c r="I269" t="s">
        <v>1240</v>
      </c>
      <c r="J269" s="8">
        <v>5</v>
      </c>
      <c r="K269">
        <v>6</v>
      </c>
      <c r="L269" s="11">
        <v>6.2155775398998981E-4</v>
      </c>
      <c r="M269" s="12">
        <v>0.79578039243337795</v>
      </c>
      <c r="N269" t="s">
        <v>1238</v>
      </c>
      <c r="O269" t="s">
        <v>1254</v>
      </c>
      <c r="P269" s="23">
        <f>VLOOKUP(A269,вариация!A$2:G$805,2,FALSE)</f>
        <v>2.2360679774997894</v>
      </c>
      <c r="Q269" t="str">
        <f>IF(вариация!H270="Yes",IF(P272&lt;0.1,"X",IF(P272&lt;0.25,"Y","Z")),"")</f>
        <v/>
      </c>
      <c r="R269" t="str">
        <f>O269&amp;Q269</f>
        <v>ACA</v>
      </c>
    </row>
    <row r="270" spans="1:18" x14ac:dyDescent="0.25">
      <c r="A270" s="7" t="s">
        <v>241</v>
      </c>
      <c r="B270" s="8">
        <v>4</v>
      </c>
      <c r="C270" s="11">
        <v>2.486231015959961E-3</v>
      </c>
      <c r="D270" s="12">
        <v>0.37977178768788356</v>
      </c>
      <c r="E270" t="s">
        <v>1238</v>
      </c>
      <c r="F270" s="8">
        <v>696</v>
      </c>
      <c r="G270" s="11">
        <v>1.9898911380625511E-3</v>
      </c>
      <c r="H270" s="12">
        <v>0.5166715619062936</v>
      </c>
      <c r="I270" t="s">
        <v>1238</v>
      </c>
      <c r="J270" s="8">
        <v>5</v>
      </c>
      <c r="K270">
        <v>24</v>
      </c>
      <c r="L270" s="11">
        <v>2.4862310159599593E-3</v>
      </c>
      <c r="M270" s="12">
        <v>0.37977178768788339</v>
      </c>
      <c r="N270" t="s">
        <v>1238</v>
      </c>
      <c r="O270" t="s">
        <v>1252</v>
      </c>
      <c r="P270" s="23">
        <f>VLOOKUP(A270,вариация!A$2:G$805,2,FALSE)</f>
        <v>0.55901699437494734</v>
      </c>
      <c r="Q270" t="str">
        <f>IF(вариация!H271="Yes",IF(P273&lt;0.1,"X",IF(P273&lt;0.25,"Y","Z")),"")</f>
        <v>Z</v>
      </c>
      <c r="R270" t="str">
        <f>O270&amp;Q270</f>
        <v>AAAZ</v>
      </c>
    </row>
    <row r="271" spans="1:18" x14ac:dyDescent="0.25">
      <c r="A271" s="7" t="s">
        <v>333</v>
      </c>
      <c r="B271" s="8">
        <v>3</v>
      </c>
      <c r="C271" s="11">
        <v>1.8646732619699705E-3</v>
      </c>
      <c r="D271" s="12">
        <v>0.44752158287279276</v>
      </c>
      <c r="E271" t="s">
        <v>1238</v>
      </c>
      <c r="F271" s="8">
        <v>101</v>
      </c>
      <c r="G271" s="11">
        <v>2.8876293813838747E-4</v>
      </c>
      <c r="H271" s="12">
        <v>0.96725437956041305</v>
      </c>
      <c r="I271" t="s">
        <v>1240</v>
      </c>
      <c r="J271" s="8">
        <v>5</v>
      </c>
      <c r="K271">
        <v>18</v>
      </c>
      <c r="L271" s="11">
        <v>1.8646732619699697E-3</v>
      </c>
      <c r="M271" s="12">
        <v>0.44752158287279259</v>
      </c>
      <c r="N271" t="s">
        <v>1238</v>
      </c>
      <c r="O271" t="s">
        <v>1254</v>
      </c>
      <c r="P271" s="23">
        <f>VLOOKUP(A271,вариация!A$2:G$805,2,FALSE)</f>
        <v>1.4907119849998598</v>
      </c>
      <c r="Q271" t="str">
        <f>IF(вариация!H272="Yes",IF(P274&lt;0.1,"X",IF(P274&lt;0.25,"Y","Z")),"")</f>
        <v/>
      </c>
      <c r="R271" t="str">
        <f>O271&amp;Q271</f>
        <v>ACA</v>
      </c>
    </row>
    <row r="272" spans="1:18" x14ac:dyDescent="0.25">
      <c r="A272" s="7" t="s">
        <v>463</v>
      </c>
      <c r="B272" s="8">
        <v>1</v>
      </c>
      <c r="C272" s="11">
        <v>6.2155775398999025E-4</v>
      </c>
      <c r="D272" s="12">
        <v>0.79640195018736804</v>
      </c>
      <c r="E272" t="s">
        <v>1238</v>
      </c>
      <c r="F272" s="8">
        <v>93</v>
      </c>
      <c r="G272" s="11">
        <v>2.6589062620663398E-4</v>
      </c>
      <c r="H272" s="12">
        <v>0.97418183103674272</v>
      </c>
      <c r="I272" t="s">
        <v>1240</v>
      </c>
      <c r="J272" s="8">
        <v>5</v>
      </c>
      <c r="K272">
        <v>6</v>
      </c>
      <c r="L272" s="11">
        <v>6.2155775398998981E-4</v>
      </c>
      <c r="M272" s="12">
        <v>0.79640195018736792</v>
      </c>
      <c r="N272" t="s">
        <v>1238</v>
      </c>
      <c r="O272" t="s">
        <v>1254</v>
      </c>
      <c r="P272" s="23">
        <f>VLOOKUP(A272,вариация!A$2:G$805,2,FALSE)</f>
        <v>2.2360679774997894</v>
      </c>
      <c r="Q272" t="str">
        <f>IF(вариация!H273="Yes",IF(P275&lt;0.1,"X",IF(P275&lt;0.25,"Y","Z")),"")</f>
        <v/>
      </c>
      <c r="R272" t="str">
        <f>O272&amp;Q272</f>
        <v>ACA</v>
      </c>
    </row>
    <row r="273" spans="1:18" x14ac:dyDescent="0.25">
      <c r="A273" s="7" t="s">
        <v>1137</v>
      </c>
      <c r="B273" s="8">
        <v>1</v>
      </c>
      <c r="C273" s="11">
        <v>6.2155775398999025E-4</v>
      </c>
      <c r="D273" s="12">
        <v>0.79702350794135801</v>
      </c>
      <c r="E273" t="s">
        <v>1238</v>
      </c>
      <c r="F273" s="8">
        <v>228</v>
      </c>
      <c r="G273" s="11">
        <v>6.5186089005497361E-4</v>
      </c>
      <c r="H273" s="12">
        <v>0.88687218381038913</v>
      </c>
      <c r="I273" t="s">
        <v>1239</v>
      </c>
      <c r="J273" s="8">
        <v>5</v>
      </c>
      <c r="K273">
        <v>6</v>
      </c>
      <c r="L273" s="11">
        <v>6.2155775398998981E-4</v>
      </c>
      <c r="M273" s="12">
        <v>0.7970235079413579</v>
      </c>
      <c r="N273" t="s">
        <v>1238</v>
      </c>
      <c r="O273" t="s">
        <v>1253</v>
      </c>
      <c r="P273" s="23">
        <f>VLOOKUP(A273,вариация!A$2:G$805,2,FALSE)</f>
        <v>2.2360679774997894</v>
      </c>
      <c r="Q273" t="str">
        <f>IF(вариация!H274="Yes",IF(P276&lt;0.1,"X",IF(P276&lt;0.25,"Y","Z")),"")</f>
        <v/>
      </c>
      <c r="R273" t="str">
        <f>O273&amp;Q273</f>
        <v>ABA</v>
      </c>
    </row>
    <row r="274" spans="1:18" x14ac:dyDescent="0.25">
      <c r="A274" s="7" t="s">
        <v>128</v>
      </c>
      <c r="B274" s="8">
        <v>3</v>
      </c>
      <c r="C274" s="11">
        <v>1.8646732619699705E-3</v>
      </c>
      <c r="D274" s="12">
        <v>0.44938625613476274</v>
      </c>
      <c r="E274" t="s">
        <v>1238</v>
      </c>
      <c r="F274" s="8">
        <v>2173</v>
      </c>
      <c r="G274" s="11">
        <v>6.2126917284625336E-3</v>
      </c>
      <c r="H274" s="12">
        <v>0.16844086342146006</v>
      </c>
      <c r="I274" t="s">
        <v>1238</v>
      </c>
      <c r="J274" s="8">
        <v>5</v>
      </c>
      <c r="K274">
        <v>18</v>
      </c>
      <c r="L274" s="11">
        <v>1.8646732619699697E-3</v>
      </c>
      <c r="M274" s="12">
        <v>0.44938625613476257</v>
      </c>
      <c r="N274" t="s">
        <v>1238</v>
      </c>
      <c r="O274" t="s">
        <v>1252</v>
      </c>
      <c r="P274" s="23">
        <f>VLOOKUP(A274,вариация!A$2:G$805,2,FALSE)</f>
        <v>0.91287092917527679</v>
      </c>
      <c r="Q274" t="str">
        <f>IF(вариация!H275="Yes",IF(P277&lt;0.1,"X",IF(P277&lt;0.25,"Y","Z")),"")</f>
        <v>Z</v>
      </c>
      <c r="R274" t="str">
        <f>O274&amp;Q274</f>
        <v>AAAZ</v>
      </c>
    </row>
    <row r="275" spans="1:18" x14ac:dyDescent="0.25">
      <c r="A275" s="7" t="s">
        <v>581</v>
      </c>
      <c r="B275" s="8">
        <v>1</v>
      </c>
      <c r="C275" s="11">
        <v>6.2155775398999025E-4</v>
      </c>
      <c r="D275" s="12">
        <v>0.79764506569534799</v>
      </c>
      <c r="E275" t="s">
        <v>1238</v>
      </c>
      <c r="F275" s="8">
        <v>218</v>
      </c>
      <c r="G275" s="11">
        <v>6.2327050014028182E-4</v>
      </c>
      <c r="H275" s="12">
        <v>0.89194983705923858</v>
      </c>
      <c r="I275" t="s">
        <v>1239</v>
      </c>
      <c r="J275" s="8">
        <v>5</v>
      </c>
      <c r="K275">
        <v>6</v>
      </c>
      <c r="L275" s="11">
        <v>6.2155775398998981E-4</v>
      </c>
      <c r="M275" s="12">
        <v>0.79764506569534788</v>
      </c>
      <c r="N275" t="s">
        <v>1238</v>
      </c>
      <c r="O275" t="s">
        <v>1253</v>
      </c>
      <c r="P275" s="23">
        <f>VLOOKUP(A275,вариация!A$2:G$805,2,FALSE)</f>
        <v>2.2360679774997894</v>
      </c>
      <c r="Q275" t="str">
        <f>IF(вариация!H276="Yes",IF(P278&lt;0.1,"X",IF(P278&lt;0.25,"Y","Z")),"")</f>
        <v/>
      </c>
      <c r="R275" t="str">
        <f>O275&amp;Q275</f>
        <v>ABA</v>
      </c>
    </row>
    <row r="276" spans="1:18" x14ac:dyDescent="0.25">
      <c r="A276" s="7" t="s">
        <v>877</v>
      </c>
      <c r="B276" s="8">
        <v>1</v>
      </c>
      <c r="C276" s="11">
        <v>6.2155775398999025E-4</v>
      </c>
      <c r="D276" s="12">
        <v>0.79826662344933796</v>
      </c>
      <c r="E276" t="s">
        <v>1238</v>
      </c>
      <c r="F276" s="8">
        <v>104</v>
      </c>
      <c r="G276" s="11">
        <v>2.9734005511279502E-4</v>
      </c>
      <c r="H276" s="12">
        <v>0.96432672363314864</v>
      </c>
      <c r="I276" t="s">
        <v>1240</v>
      </c>
      <c r="J276" s="8">
        <v>5</v>
      </c>
      <c r="K276">
        <v>6</v>
      </c>
      <c r="L276" s="11">
        <v>6.2155775398998981E-4</v>
      </c>
      <c r="M276" s="12">
        <v>0.79826662344933785</v>
      </c>
      <c r="N276" t="s">
        <v>1238</v>
      </c>
      <c r="O276" t="s">
        <v>1254</v>
      </c>
      <c r="P276" s="23">
        <f>VLOOKUP(A276,вариация!A$2:G$805,2,FALSE)</f>
        <v>2.2360679774997894</v>
      </c>
      <c r="Q276" t="str">
        <f>IF(вариация!H277="Yes",IF(P279&lt;0.1,"X",IF(P279&lt;0.25,"Y","Z")),"")</f>
        <v/>
      </c>
      <c r="R276" t="str">
        <f>O276&amp;Q276</f>
        <v>ACA</v>
      </c>
    </row>
    <row r="277" spans="1:18" x14ac:dyDescent="0.25">
      <c r="A277" s="7" t="s">
        <v>390</v>
      </c>
      <c r="B277" s="8">
        <v>2</v>
      </c>
      <c r="C277" s="11">
        <v>1.2431155079799805E-3</v>
      </c>
      <c r="D277" s="12">
        <v>0.57494092244073947</v>
      </c>
      <c r="E277" t="s">
        <v>1238</v>
      </c>
      <c r="F277" s="8">
        <v>62</v>
      </c>
      <c r="G277" s="11">
        <v>1.7726041747108932E-4</v>
      </c>
      <c r="H277" s="12">
        <v>0.99118633711357507</v>
      </c>
      <c r="I277" t="s">
        <v>1240</v>
      </c>
      <c r="J277" s="8">
        <v>5</v>
      </c>
      <c r="K277">
        <v>12</v>
      </c>
      <c r="L277" s="11">
        <v>1.2431155079799796E-3</v>
      </c>
      <c r="M277" s="12">
        <v>0.57494092244073935</v>
      </c>
      <c r="N277" t="s">
        <v>1238</v>
      </c>
      <c r="O277" t="s">
        <v>1254</v>
      </c>
      <c r="P277" s="23">
        <f>VLOOKUP(A277,вариация!A$2:G$805,2,FALSE)</f>
        <v>2.2360679774997894</v>
      </c>
      <c r="Q277" t="str">
        <f>IF(вариация!H278="Yes",IF(P280&lt;0.1,"X",IF(P280&lt;0.25,"Y","Z")),"")</f>
        <v/>
      </c>
      <c r="R277" t="str">
        <f>O277&amp;Q277</f>
        <v>ACA</v>
      </c>
    </row>
    <row r="278" spans="1:18" x14ac:dyDescent="0.25">
      <c r="A278" s="7" t="s">
        <v>379</v>
      </c>
      <c r="B278" s="8">
        <v>2</v>
      </c>
      <c r="C278" s="11">
        <v>1.2431155079799805E-3</v>
      </c>
      <c r="D278" s="12">
        <v>0.57618403794871942</v>
      </c>
      <c r="E278" t="s">
        <v>1238</v>
      </c>
      <c r="F278" s="8">
        <v>170</v>
      </c>
      <c r="G278" s="11">
        <v>4.8603662854976103E-4</v>
      </c>
      <c r="H278" s="12">
        <v>0.92348060563528556</v>
      </c>
      <c r="I278" t="s">
        <v>1239</v>
      </c>
      <c r="J278" s="8">
        <v>5</v>
      </c>
      <c r="K278">
        <v>12</v>
      </c>
      <c r="L278" s="11">
        <v>1.2431155079799796E-3</v>
      </c>
      <c r="M278" s="12">
        <v>0.57618403794871931</v>
      </c>
      <c r="N278" t="s">
        <v>1238</v>
      </c>
      <c r="O278" t="s">
        <v>1253</v>
      </c>
      <c r="P278" s="23">
        <f>VLOOKUP(A278,вариация!A$2:G$805,2,FALSE)</f>
        <v>2.2360679774997894</v>
      </c>
      <c r="Q278" t="str">
        <f>IF(вариация!H279="Yes",IF(P281&lt;0.1,"X",IF(P281&lt;0.25,"Y","Z")),"")</f>
        <v/>
      </c>
      <c r="R278" t="str">
        <f>O278&amp;Q278</f>
        <v>ABA</v>
      </c>
    </row>
    <row r="279" spans="1:18" x14ac:dyDescent="0.25">
      <c r="A279" s="7" t="s">
        <v>780</v>
      </c>
      <c r="B279" s="8">
        <v>1</v>
      </c>
      <c r="C279" s="11">
        <v>6.2155775398999025E-4</v>
      </c>
      <c r="D279" s="12">
        <v>0.79888818120332794</v>
      </c>
      <c r="E279" t="s">
        <v>1238</v>
      </c>
      <c r="F279" s="8">
        <v>114</v>
      </c>
      <c r="G279" s="11">
        <v>3.259304450274868E-4</v>
      </c>
      <c r="H279" s="12">
        <v>0.95935185283604241</v>
      </c>
      <c r="I279" t="s">
        <v>1240</v>
      </c>
      <c r="J279" s="8">
        <v>5</v>
      </c>
      <c r="K279">
        <v>6</v>
      </c>
      <c r="L279" s="11">
        <v>6.2155775398998981E-4</v>
      </c>
      <c r="M279" s="12">
        <v>0.79888818120332783</v>
      </c>
      <c r="N279" t="s">
        <v>1238</v>
      </c>
      <c r="O279" t="s">
        <v>1254</v>
      </c>
      <c r="P279" s="23">
        <f>VLOOKUP(A279,вариация!A$2:G$805,2,FALSE)</f>
        <v>2.2360679774997894</v>
      </c>
      <c r="Q279" t="str">
        <f>IF(вариация!H280="Yes",IF(P282&lt;0.1,"X",IF(P282&lt;0.25,"Y","Z")),"")</f>
        <v/>
      </c>
      <c r="R279" t="str">
        <f>O279&amp;Q279</f>
        <v>ACA</v>
      </c>
    </row>
    <row r="280" spans="1:18" x14ac:dyDescent="0.25">
      <c r="A280" s="7" t="s">
        <v>1084</v>
      </c>
      <c r="B280" s="8">
        <v>1</v>
      </c>
      <c r="C280" s="11">
        <v>6.2155775398999025E-4</v>
      </c>
      <c r="D280" s="12">
        <v>0.79950973895731792</v>
      </c>
      <c r="E280" t="s">
        <v>1238</v>
      </c>
      <c r="F280" s="8">
        <v>117</v>
      </c>
      <c r="G280" s="11">
        <v>3.3450756200189435E-4</v>
      </c>
      <c r="H280" s="12">
        <v>0.95770790541594764</v>
      </c>
      <c r="I280" t="s">
        <v>1240</v>
      </c>
      <c r="J280" s="8">
        <v>5</v>
      </c>
      <c r="K280">
        <v>6</v>
      </c>
      <c r="L280" s="11">
        <v>6.2155775398998981E-4</v>
      </c>
      <c r="M280" s="12">
        <v>0.79950973895731781</v>
      </c>
      <c r="N280" t="s">
        <v>1238</v>
      </c>
      <c r="O280" t="s">
        <v>1254</v>
      </c>
      <c r="P280" s="23">
        <f>VLOOKUP(A280,вариация!A$2:G$805,2,FALSE)</f>
        <v>2.2360679774997894</v>
      </c>
      <c r="Q280" t="str">
        <f>IF(вариация!H281="Yes",IF(P283&lt;0.1,"X",IF(P283&lt;0.25,"Y","Z")),"")</f>
        <v/>
      </c>
      <c r="R280" t="str">
        <f>O280&amp;Q280</f>
        <v>ACA</v>
      </c>
    </row>
    <row r="281" spans="1:18" x14ac:dyDescent="0.25">
      <c r="A281" s="7" t="s">
        <v>521</v>
      </c>
      <c r="B281" s="8">
        <v>3</v>
      </c>
      <c r="C281" s="11">
        <v>1.8646732619699705E-3</v>
      </c>
      <c r="D281" s="12">
        <v>0.45125092939673273</v>
      </c>
      <c r="E281" t="s">
        <v>1238</v>
      </c>
      <c r="F281" s="8">
        <v>209</v>
      </c>
      <c r="G281" s="11">
        <v>5.9753914921705919E-4</v>
      </c>
      <c r="H281" s="12">
        <v>0.89868118705114342</v>
      </c>
      <c r="I281" t="s">
        <v>1239</v>
      </c>
      <c r="J281" s="8">
        <v>5</v>
      </c>
      <c r="K281">
        <v>18</v>
      </c>
      <c r="L281" s="11">
        <v>1.8646732619699697E-3</v>
      </c>
      <c r="M281" s="12">
        <v>0.45125092939673256</v>
      </c>
      <c r="N281" t="s">
        <v>1238</v>
      </c>
      <c r="O281" t="s">
        <v>1253</v>
      </c>
      <c r="P281" s="23">
        <f>VLOOKUP(A281,вариация!A$2:G$805,2,FALSE)</f>
        <v>1.4907119849998598</v>
      </c>
      <c r="Q281" t="str">
        <f>IF(вариация!H282="Yes",IF(P284&lt;0.1,"X",IF(P284&lt;0.25,"Y","Z")),"")</f>
        <v/>
      </c>
      <c r="R281" t="str">
        <f>O281&amp;Q281</f>
        <v>ABA</v>
      </c>
    </row>
    <row r="282" spans="1:18" x14ac:dyDescent="0.25">
      <c r="A282" s="7" t="s">
        <v>428</v>
      </c>
      <c r="B282" s="8">
        <v>2</v>
      </c>
      <c r="C282" s="11">
        <v>1.2431155079799805E-3</v>
      </c>
      <c r="D282" s="12">
        <v>0.57742715345669937</v>
      </c>
      <c r="E282" t="s">
        <v>1238</v>
      </c>
      <c r="F282" s="8">
        <v>3439</v>
      </c>
      <c r="G282" s="11">
        <v>9.8322350916625195E-3</v>
      </c>
      <c r="H282" s="12">
        <v>8.9127681520060301E-2</v>
      </c>
      <c r="I282" t="s">
        <v>1238</v>
      </c>
      <c r="J282" s="8">
        <v>5</v>
      </c>
      <c r="K282">
        <v>12</v>
      </c>
      <c r="L282" s="11">
        <v>1.2431155079799796E-3</v>
      </c>
      <c r="M282" s="12">
        <v>0.57742715345669926</v>
      </c>
      <c r="N282" t="s">
        <v>1238</v>
      </c>
      <c r="O282" t="s">
        <v>1252</v>
      </c>
      <c r="P282" s="23">
        <f>VLOOKUP(A282,вариация!A$2:G$805,2,FALSE)</f>
        <v>2.2360679774997894</v>
      </c>
      <c r="Q282" t="str">
        <f>IF(вариация!H283="Yes",IF(P285&lt;0.1,"X",IF(P285&lt;0.25,"Y","Z")),"")</f>
        <v/>
      </c>
      <c r="R282" t="str">
        <f>O282&amp;Q282</f>
        <v>AAA</v>
      </c>
    </row>
    <row r="283" spans="1:18" x14ac:dyDescent="0.25">
      <c r="A283" s="7" t="s">
        <v>660</v>
      </c>
      <c r="B283" s="8">
        <v>1</v>
      </c>
      <c r="C283" s="11">
        <v>6.2155775398999025E-4</v>
      </c>
      <c r="D283" s="12">
        <v>0.80013129671130789</v>
      </c>
      <c r="E283" t="s">
        <v>1239</v>
      </c>
      <c r="F283" s="8">
        <v>1084.3600000000001</v>
      </c>
      <c r="G283" s="11">
        <v>3.1002275207895232E-3</v>
      </c>
      <c r="H283" s="12">
        <v>0.37568749848323768</v>
      </c>
      <c r="I283" t="s">
        <v>1238</v>
      </c>
      <c r="J283" s="8">
        <v>5</v>
      </c>
      <c r="K283">
        <v>6</v>
      </c>
      <c r="L283" s="11">
        <v>6.2155775398998981E-4</v>
      </c>
      <c r="M283" s="12">
        <v>0.80013129671130778</v>
      </c>
      <c r="N283" t="s">
        <v>1239</v>
      </c>
      <c r="O283" t="s">
        <v>1255</v>
      </c>
      <c r="P283" s="23">
        <f>VLOOKUP(A283,вариация!A$2:G$805,2,FALSE)</f>
        <v>2.2360679774997894</v>
      </c>
      <c r="Q283" t="str">
        <f>IF(вариация!H284="Yes",IF(P286&lt;0.1,"X",IF(P286&lt;0.25,"Y","Z")),"")</f>
        <v/>
      </c>
      <c r="R283" t="str">
        <f>O283&amp;Q283</f>
        <v>BAB</v>
      </c>
    </row>
    <row r="284" spans="1:18" x14ac:dyDescent="0.25">
      <c r="A284" s="7" t="s">
        <v>90</v>
      </c>
      <c r="B284" s="8">
        <v>2</v>
      </c>
      <c r="C284" s="11">
        <v>1.2431155079799805E-3</v>
      </c>
      <c r="D284" s="12">
        <v>0.57867026896467932</v>
      </c>
      <c r="E284" t="s">
        <v>1238</v>
      </c>
      <c r="F284" s="8">
        <v>103</v>
      </c>
      <c r="G284" s="11">
        <v>2.9448101612132582E-4</v>
      </c>
      <c r="H284" s="12">
        <v>0.9652158847594956</v>
      </c>
      <c r="I284" t="s">
        <v>1240</v>
      </c>
      <c r="J284" s="8">
        <v>5</v>
      </c>
      <c r="K284">
        <v>12</v>
      </c>
      <c r="L284" s="11">
        <v>1.2431155079799796E-3</v>
      </c>
      <c r="M284" s="12">
        <v>0.57867026896467921</v>
      </c>
      <c r="N284" t="s">
        <v>1238</v>
      </c>
      <c r="O284" t="s">
        <v>1254</v>
      </c>
      <c r="P284" s="23">
        <f>VLOOKUP(A284,вариация!A$2:G$805,2,FALSE)</f>
        <v>1.3693063937629151</v>
      </c>
      <c r="Q284" t="str">
        <f>IF(вариация!H285="Yes",IF(P287&lt;0.1,"X",IF(P287&lt;0.25,"Y","Z")),"")</f>
        <v/>
      </c>
      <c r="R284" t="str">
        <f>O284&amp;Q284</f>
        <v>ACA</v>
      </c>
    </row>
    <row r="285" spans="1:18" x14ac:dyDescent="0.25">
      <c r="A285" s="7" t="s">
        <v>382</v>
      </c>
      <c r="B285" s="8">
        <v>2</v>
      </c>
      <c r="C285" s="11">
        <v>1.2431155079799805E-3</v>
      </c>
      <c r="D285" s="12">
        <v>0.57991338447265928</v>
      </c>
      <c r="E285" t="s">
        <v>1238</v>
      </c>
      <c r="F285" s="8">
        <v>142</v>
      </c>
      <c r="G285" s="11">
        <v>4.0598353678862392E-4</v>
      </c>
      <c r="H285" s="12">
        <v>0.93862090392811981</v>
      </c>
      <c r="I285" t="s">
        <v>1239</v>
      </c>
      <c r="J285" s="8">
        <v>5</v>
      </c>
      <c r="K285">
        <v>12</v>
      </c>
      <c r="L285" s="11">
        <v>1.2431155079799796E-3</v>
      </c>
      <c r="M285" s="12">
        <v>0.57991338447265917</v>
      </c>
      <c r="N285" t="s">
        <v>1238</v>
      </c>
      <c r="O285" t="s">
        <v>1253</v>
      </c>
      <c r="P285" s="23">
        <f>VLOOKUP(A285,вариация!A$2:G$805,2,FALSE)</f>
        <v>1.3693063937629151</v>
      </c>
      <c r="Q285" t="str">
        <f>IF(вариация!H286="Yes",IF(P288&lt;0.1,"X",IF(P288&lt;0.25,"Y","Z")),"")</f>
        <v/>
      </c>
      <c r="R285" t="str">
        <f>O285&amp;Q285</f>
        <v>ABA</v>
      </c>
    </row>
    <row r="286" spans="1:18" x14ac:dyDescent="0.25">
      <c r="A286" s="7" t="s">
        <v>995</v>
      </c>
      <c r="B286" s="8">
        <v>1</v>
      </c>
      <c r="C286" s="11">
        <v>6.2155775398999025E-4</v>
      </c>
      <c r="D286" s="12">
        <v>0.80075285446529787</v>
      </c>
      <c r="E286" t="s">
        <v>1239</v>
      </c>
      <c r="F286" s="8">
        <v>172</v>
      </c>
      <c r="G286" s="11">
        <v>4.9175470653269938E-4</v>
      </c>
      <c r="H286" s="12">
        <v>0.92201677767165335</v>
      </c>
      <c r="I286" t="s">
        <v>1239</v>
      </c>
      <c r="J286" s="8">
        <v>5</v>
      </c>
      <c r="K286">
        <v>6</v>
      </c>
      <c r="L286" s="11">
        <v>6.2155775398998981E-4</v>
      </c>
      <c r="M286" s="12">
        <v>0.80075285446529776</v>
      </c>
      <c r="N286" t="s">
        <v>1239</v>
      </c>
      <c r="O286" t="s">
        <v>1256</v>
      </c>
      <c r="P286" s="23">
        <f>VLOOKUP(A286,вариация!A$2:G$805,2,FALSE)</f>
        <v>2.2360679774997894</v>
      </c>
      <c r="Q286" t="str">
        <f>IF(вариация!H287="Yes",IF(P289&lt;0.1,"X",IF(P289&lt;0.25,"Y","Z")),"")</f>
        <v/>
      </c>
      <c r="R286" t="str">
        <f>O286&amp;Q286</f>
        <v>BBB</v>
      </c>
    </row>
    <row r="287" spans="1:18" x14ac:dyDescent="0.25">
      <c r="A287" s="7" t="s">
        <v>929</v>
      </c>
      <c r="B287" s="8">
        <v>1</v>
      </c>
      <c r="C287" s="11">
        <v>6.2155775398999025E-4</v>
      </c>
      <c r="D287" s="12">
        <v>0.80137441221928785</v>
      </c>
      <c r="E287" t="s">
        <v>1239</v>
      </c>
      <c r="F287" s="8">
        <v>262</v>
      </c>
      <c r="G287" s="11">
        <v>7.4906821576492587E-4</v>
      </c>
      <c r="H287" s="12">
        <v>0.85873981194213034</v>
      </c>
      <c r="I287" t="s">
        <v>1239</v>
      </c>
      <c r="J287" s="8">
        <v>5</v>
      </c>
      <c r="K287">
        <v>6</v>
      </c>
      <c r="L287" s="11">
        <v>6.2155775398998981E-4</v>
      </c>
      <c r="M287" s="12">
        <v>0.80137441221928774</v>
      </c>
      <c r="N287" t="s">
        <v>1239</v>
      </c>
      <c r="O287" t="s">
        <v>1256</v>
      </c>
      <c r="P287" s="23">
        <f>VLOOKUP(A287,вариация!A$2:G$805,2,FALSE)</f>
        <v>2.2360679774997894</v>
      </c>
      <c r="Q287" t="str">
        <f>IF(вариация!H288="Yes",IF(P290&lt;0.1,"X",IF(P290&lt;0.25,"Y","Z")),"")</f>
        <v/>
      </c>
      <c r="R287" t="str">
        <f>O287&amp;Q287</f>
        <v>BBB</v>
      </c>
    </row>
    <row r="288" spans="1:18" x14ac:dyDescent="0.25">
      <c r="A288" s="7" t="s">
        <v>1025</v>
      </c>
      <c r="B288" s="8">
        <v>1</v>
      </c>
      <c r="C288" s="11">
        <v>6.2155775398999025E-4</v>
      </c>
      <c r="D288" s="12">
        <v>0.80199596997327782</v>
      </c>
      <c r="E288" t="s">
        <v>1239</v>
      </c>
      <c r="F288" s="8">
        <v>133</v>
      </c>
      <c r="G288" s="11">
        <v>3.8025218586540128E-4</v>
      </c>
      <c r="H288" s="12">
        <v>0.94455055079642658</v>
      </c>
      <c r="I288" t="s">
        <v>1239</v>
      </c>
      <c r="J288" s="8">
        <v>5</v>
      </c>
      <c r="K288">
        <v>6</v>
      </c>
      <c r="L288" s="11">
        <v>6.2155775398998981E-4</v>
      </c>
      <c r="M288" s="12">
        <v>0.80199596997327771</v>
      </c>
      <c r="N288" t="s">
        <v>1239</v>
      </c>
      <c r="O288" t="s">
        <v>1256</v>
      </c>
      <c r="P288" s="23">
        <f>VLOOKUP(A288,вариация!A$2:G$805,2,FALSE)</f>
        <v>2.2360679774997894</v>
      </c>
      <c r="Q288" t="str">
        <f>IF(вариация!H289="Yes",IF(P291&lt;0.1,"X",IF(P291&lt;0.25,"Y","Z")),"")</f>
        <v/>
      </c>
      <c r="R288" t="str">
        <f>O288&amp;Q288</f>
        <v>BBB</v>
      </c>
    </row>
    <row r="289" spans="1:18" x14ac:dyDescent="0.25">
      <c r="A289" s="7" t="s">
        <v>979</v>
      </c>
      <c r="B289" s="8">
        <v>5</v>
      </c>
      <c r="C289" s="11">
        <v>3.1077887699499512E-3</v>
      </c>
      <c r="D289" s="12">
        <v>0.34185676469449422</v>
      </c>
      <c r="E289" t="s">
        <v>1238</v>
      </c>
      <c r="F289" s="8">
        <v>120</v>
      </c>
      <c r="G289" s="11">
        <v>3.4308467897630195E-4</v>
      </c>
      <c r="H289" s="12">
        <v>0.956015640236897</v>
      </c>
      <c r="I289" t="s">
        <v>1240</v>
      </c>
      <c r="J289" s="8">
        <v>5</v>
      </c>
      <c r="K289">
        <v>30</v>
      </c>
      <c r="L289" s="11">
        <v>3.1077887699499491E-3</v>
      </c>
      <c r="M289" s="12">
        <v>0.34185676469449405</v>
      </c>
      <c r="N289" t="s">
        <v>1238</v>
      </c>
      <c r="O289" t="s">
        <v>1254</v>
      </c>
      <c r="P289" s="23">
        <f>VLOOKUP(A289,вариация!A$2:G$805,2,FALSE)</f>
        <v>1.4142135623730951</v>
      </c>
      <c r="Q289" t="str">
        <f>IF(вариация!H290="Yes",IF(P292&lt;0.1,"X",IF(P292&lt;0.25,"Y","Z")),"")</f>
        <v/>
      </c>
      <c r="R289" t="str">
        <f>O289&amp;Q289</f>
        <v>ACA</v>
      </c>
    </row>
    <row r="290" spans="1:18" x14ac:dyDescent="0.25">
      <c r="A290" s="7" t="s">
        <v>140</v>
      </c>
      <c r="B290" s="8">
        <v>2</v>
      </c>
      <c r="C290" s="11">
        <v>1.2431155079799805E-3</v>
      </c>
      <c r="D290" s="12">
        <v>0.58115649998063923</v>
      </c>
      <c r="E290" t="s">
        <v>1238</v>
      </c>
      <c r="F290" s="8">
        <v>76</v>
      </c>
      <c r="G290" s="11">
        <v>2.1728696335165788E-4</v>
      </c>
      <c r="H290" s="12">
        <v>0.98443371587157324</v>
      </c>
      <c r="I290" t="s">
        <v>1240</v>
      </c>
      <c r="J290" s="8">
        <v>5</v>
      </c>
      <c r="K290">
        <v>12</v>
      </c>
      <c r="L290" s="11">
        <v>1.2431155079799796E-3</v>
      </c>
      <c r="M290" s="12">
        <v>0.58115649998063912</v>
      </c>
      <c r="N290" t="s">
        <v>1238</v>
      </c>
      <c r="O290" t="s">
        <v>1254</v>
      </c>
      <c r="P290" s="23">
        <f>VLOOKUP(A290,вариация!A$2:G$805,2,FALSE)</f>
        <v>1.3693063937629151</v>
      </c>
      <c r="Q290" t="str">
        <f>IF(вариация!H291="Yes",IF(P293&lt;0.1,"X",IF(P293&lt;0.25,"Y","Z")),"")</f>
        <v/>
      </c>
      <c r="R290" t="str">
        <f>O290&amp;Q290</f>
        <v>ACA</v>
      </c>
    </row>
    <row r="291" spans="1:18" x14ac:dyDescent="0.25">
      <c r="A291" s="7" t="s">
        <v>1185</v>
      </c>
      <c r="B291" s="8">
        <v>2</v>
      </c>
      <c r="C291" s="11">
        <v>1.2431155079799805E-3</v>
      </c>
      <c r="D291" s="12">
        <v>0.58239961548861918</v>
      </c>
      <c r="E291" t="s">
        <v>1238</v>
      </c>
      <c r="F291" s="8">
        <v>349</v>
      </c>
      <c r="G291" s="11">
        <v>9.978046080227447E-4</v>
      </c>
      <c r="H291" s="12">
        <v>0.78255725853822844</v>
      </c>
      <c r="I291" t="s">
        <v>1238</v>
      </c>
      <c r="J291" s="8">
        <v>5</v>
      </c>
      <c r="K291">
        <v>12</v>
      </c>
      <c r="L291" s="11">
        <v>1.2431155079799796E-3</v>
      </c>
      <c r="M291" s="12">
        <v>0.58239961548861907</v>
      </c>
      <c r="N291" t="s">
        <v>1238</v>
      </c>
      <c r="O291" t="s">
        <v>1252</v>
      </c>
      <c r="P291" s="23">
        <f>VLOOKUP(A291,вариация!A$2:G$805,2,FALSE)</f>
        <v>2.2360679774997894</v>
      </c>
      <c r="Q291" t="str">
        <f>IF(вариация!H292="Yes",IF(P294&lt;0.1,"X",IF(P294&lt;0.25,"Y","Z")),"")</f>
        <v/>
      </c>
      <c r="R291" t="str">
        <f>O291&amp;Q291</f>
        <v>AAA</v>
      </c>
    </row>
    <row r="292" spans="1:18" x14ac:dyDescent="0.25">
      <c r="A292" s="7" t="s">
        <v>778</v>
      </c>
      <c r="B292" s="8">
        <v>1</v>
      </c>
      <c r="C292" s="11">
        <v>6.2155775398999025E-4</v>
      </c>
      <c r="D292" s="12">
        <v>0.8026175277272678</v>
      </c>
      <c r="E292" t="s">
        <v>1239</v>
      </c>
      <c r="F292" s="8">
        <v>1170</v>
      </c>
      <c r="G292" s="11">
        <v>3.3450756200189436E-3</v>
      </c>
      <c r="H292" s="12">
        <v>0.3532173675657852</v>
      </c>
      <c r="I292" t="s">
        <v>1238</v>
      </c>
      <c r="J292" s="8">
        <v>5</v>
      </c>
      <c r="K292">
        <v>6</v>
      </c>
      <c r="L292" s="11">
        <v>6.2155775398998981E-4</v>
      </c>
      <c r="M292" s="12">
        <v>0.80261752772726769</v>
      </c>
      <c r="N292" t="s">
        <v>1239</v>
      </c>
      <c r="O292" t="s">
        <v>1255</v>
      </c>
      <c r="P292" s="23">
        <f>VLOOKUP(A292,вариация!A$2:G$805,2,FALSE)</f>
        <v>2.2360679774997894</v>
      </c>
      <c r="Q292" t="str">
        <f>IF(вариация!H293="Yes",IF(P295&lt;0.1,"X",IF(P295&lt;0.25,"Y","Z")),"")</f>
        <v/>
      </c>
      <c r="R292" t="str">
        <f>O292&amp;Q292</f>
        <v>BAB</v>
      </c>
    </row>
    <row r="293" spans="1:18" x14ac:dyDescent="0.25">
      <c r="A293" s="7" t="s">
        <v>70</v>
      </c>
      <c r="B293" s="8">
        <v>1</v>
      </c>
      <c r="C293" s="11">
        <v>6.2155775398999025E-4</v>
      </c>
      <c r="D293" s="12">
        <v>0.80323908548125778</v>
      </c>
      <c r="E293" t="s">
        <v>1239</v>
      </c>
      <c r="F293" s="8">
        <v>496</v>
      </c>
      <c r="G293" s="11">
        <v>1.4180833397687146E-3</v>
      </c>
      <c r="H293" s="12">
        <v>0.65518230893235829</v>
      </c>
      <c r="I293" t="s">
        <v>1238</v>
      </c>
      <c r="J293" s="8">
        <v>5</v>
      </c>
      <c r="K293">
        <v>6</v>
      </c>
      <c r="L293" s="11">
        <v>6.2155775398998981E-4</v>
      </c>
      <c r="M293" s="12">
        <v>0.80323908548125766</v>
      </c>
      <c r="N293" t="s">
        <v>1239</v>
      </c>
      <c r="O293" t="s">
        <v>1255</v>
      </c>
      <c r="P293" s="23">
        <f>VLOOKUP(A293,вариация!A$2:G$805,2,FALSE)</f>
        <v>2.2360679774997894</v>
      </c>
      <c r="Q293" t="str">
        <f>IF(вариация!H294="Yes",IF(P296&lt;0.1,"X",IF(P296&lt;0.25,"Y","Z")),"")</f>
        <v/>
      </c>
      <c r="R293" t="str">
        <f>O293&amp;Q293</f>
        <v>BAB</v>
      </c>
    </row>
    <row r="294" spans="1:18" x14ac:dyDescent="0.25">
      <c r="A294" s="7" t="s">
        <v>669</v>
      </c>
      <c r="B294" s="8">
        <v>1</v>
      </c>
      <c r="C294" s="11">
        <v>6.2155775398999025E-4</v>
      </c>
      <c r="D294" s="12">
        <v>0.80386064323524775</v>
      </c>
      <c r="E294" t="s">
        <v>1239</v>
      </c>
      <c r="F294" s="8">
        <v>122</v>
      </c>
      <c r="G294" s="11">
        <v>3.488027569592403E-4</v>
      </c>
      <c r="H294" s="12">
        <v>0.9535854570941481</v>
      </c>
      <c r="I294" t="s">
        <v>1240</v>
      </c>
      <c r="J294" s="8">
        <v>5</v>
      </c>
      <c r="K294">
        <v>6</v>
      </c>
      <c r="L294" s="11">
        <v>6.2155775398998981E-4</v>
      </c>
      <c r="M294" s="12">
        <v>0.80386064323524764</v>
      </c>
      <c r="N294" t="s">
        <v>1239</v>
      </c>
      <c r="O294" t="s">
        <v>1257</v>
      </c>
      <c r="P294" s="23">
        <f>VLOOKUP(A294,вариация!A$2:G$805,2,FALSE)</f>
        <v>2.2360679774997894</v>
      </c>
      <c r="Q294" t="str">
        <f>IF(вариация!H295="Yes",IF(P297&lt;0.1,"X",IF(P297&lt;0.25,"Y","Z")),"")</f>
        <v/>
      </c>
      <c r="R294" t="str">
        <f>O294&amp;Q294</f>
        <v>BCB</v>
      </c>
    </row>
    <row r="295" spans="1:18" x14ac:dyDescent="0.25">
      <c r="A295" s="7" t="s">
        <v>1188</v>
      </c>
      <c r="B295" s="8">
        <v>2</v>
      </c>
      <c r="C295" s="11">
        <v>1.2431155079799805E-3</v>
      </c>
      <c r="D295" s="12">
        <v>0.58364273099659914</v>
      </c>
      <c r="E295" t="s">
        <v>1238</v>
      </c>
      <c r="F295" s="8">
        <v>274</v>
      </c>
      <c r="G295" s="11">
        <v>7.8337668366255605E-4</v>
      </c>
      <c r="H295" s="12">
        <v>0.84494674996383046</v>
      </c>
      <c r="I295" t="s">
        <v>1239</v>
      </c>
      <c r="J295" s="8">
        <v>5</v>
      </c>
      <c r="K295">
        <v>12</v>
      </c>
      <c r="L295" s="11">
        <v>1.2431155079799796E-3</v>
      </c>
      <c r="M295" s="12">
        <v>0.58364273099659902</v>
      </c>
      <c r="N295" t="s">
        <v>1238</v>
      </c>
      <c r="O295" t="s">
        <v>1253</v>
      </c>
      <c r="P295" s="23">
        <f>VLOOKUP(A295,вариация!A$2:G$805,2,FALSE)</f>
        <v>2.2360679774997894</v>
      </c>
      <c r="Q295" t="str">
        <f>IF(вариация!H296="Yes",IF(P298&lt;0.1,"X",IF(P298&lt;0.25,"Y","Z")),"")</f>
        <v/>
      </c>
      <c r="R295" t="str">
        <f>O295&amp;Q295</f>
        <v>ABA</v>
      </c>
    </row>
    <row r="296" spans="1:18" x14ac:dyDescent="0.25">
      <c r="A296" s="7" t="s">
        <v>381</v>
      </c>
      <c r="B296" s="8">
        <v>2</v>
      </c>
      <c r="C296" s="11">
        <v>1.2431155079799805E-3</v>
      </c>
      <c r="D296" s="12">
        <v>0.58488584650457909</v>
      </c>
      <c r="E296" t="s">
        <v>1238</v>
      </c>
      <c r="F296" s="8">
        <v>76</v>
      </c>
      <c r="G296" s="11">
        <v>2.1728696335165788E-4</v>
      </c>
      <c r="H296" s="12">
        <v>0.9846510028349249</v>
      </c>
      <c r="I296" t="s">
        <v>1240</v>
      </c>
      <c r="J296" s="8">
        <v>5</v>
      </c>
      <c r="K296">
        <v>12</v>
      </c>
      <c r="L296" s="11">
        <v>1.2431155079799796E-3</v>
      </c>
      <c r="M296" s="12">
        <v>0.58488584650457898</v>
      </c>
      <c r="N296" t="s">
        <v>1238</v>
      </c>
      <c r="O296" t="s">
        <v>1254</v>
      </c>
      <c r="P296" s="23">
        <f>VLOOKUP(A296,вариация!A$2:G$805,2,FALSE)</f>
        <v>2.2360679774997894</v>
      </c>
      <c r="Q296" t="str">
        <f>IF(вариация!H297="Yes",IF(P299&lt;0.1,"X",IF(P299&lt;0.25,"Y","Z")),"")</f>
        <v/>
      </c>
      <c r="R296" t="str">
        <f>O296&amp;Q296</f>
        <v>ACA</v>
      </c>
    </row>
    <row r="297" spans="1:18" x14ac:dyDescent="0.25">
      <c r="A297" s="7" t="s">
        <v>387</v>
      </c>
      <c r="B297" s="8">
        <v>1</v>
      </c>
      <c r="C297" s="11">
        <v>6.2155775398999025E-4</v>
      </c>
      <c r="D297" s="12">
        <v>0.80448220098923773</v>
      </c>
      <c r="E297" t="s">
        <v>1239</v>
      </c>
      <c r="F297" s="8">
        <v>1416</v>
      </c>
      <c r="G297" s="11">
        <v>4.0483992119203626E-3</v>
      </c>
      <c r="H297" s="12">
        <v>0.27824271333507261</v>
      </c>
      <c r="I297" t="s">
        <v>1238</v>
      </c>
      <c r="J297" s="8">
        <v>5</v>
      </c>
      <c r="K297">
        <v>6</v>
      </c>
      <c r="L297" s="11">
        <v>6.2155775398998981E-4</v>
      </c>
      <c r="M297" s="12">
        <v>0.80448220098923762</v>
      </c>
      <c r="N297" t="s">
        <v>1239</v>
      </c>
      <c r="O297" t="s">
        <v>1255</v>
      </c>
      <c r="P297" s="23">
        <f>VLOOKUP(A297,вариация!A$2:G$805,2,FALSE)</f>
        <v>2.2360679774997894</v>
      </c>
      <c r="Q297" t="str">
        <f>IF(вариация!H298="Yes",IF(P300&lt;0.1,"X",IF(P300&lt;0.25,"Y","Z")),"")</f>
        <v/>
      </c>
      <c r="R297" t="str">
        <f>O297&amp;Q297</f>
        <v>BAB</v>
      </c>
    </row>
    <row r="298" spans="1:18" x14ac:dyDescent="0.25">
      <c r="A298" s="7" t="s">
        <v>857</v>
      </c>
      <c r="B298" s="8">
        <v>2</v>
      </c>
      <c r="C298" s="11">
        <v>1.2431155079799805E-3</v>
      </c>
      <c r="D298" s="12">
        <v>0.58612896201255904</v>
      </c>
      <c r="E298" t="s">
        <v>1238</v>
      </c>
      <c r="F298" s="8">
        <v>1192</v>
      </c>
      <c r="G298" s="11">
        <v>3.4079744778312657E-3</v>
      </c>
      <c r="H298" s="12">
        <v>0.34987229194576625</v>
      </c>
      <c r="I298" t="s">
        <v>1238</v>
      </c>
      <c r="J298" s="8">
        <v>5</v>
      </c>
      <c r="K298">
        <v>12</v>
      </c>
      <c r="L298" s="11">
        <v>1.2431155079799796E-3</v>
      </c>
      <c r="M298" s="12">
        <v>0.58612896201255893</v>
      </c>
      <c r="N298" t="s">
        <v>1238</v>
      </c>
      <c r="O298" t="s">
        <v>1252</v>
      </c>
      <c r="P298" s="23">
        <f>VLOOKUP(A298,вариация!A$2:G$805,2,FALSE)</f>
        <v>1.3693063937629151</v>
      </c>
      <c r="Q298" t="str">
        <f>IF(вариация!H299="Yes",IF(P301&lt;0.1,"X",IF(P301&lt;0.25,"Y","Z")),"")</f>
        <v/>
      </c>
      <c r="R298" t="str">
        <f>O298&amp;Q298</f>
        <v>AAA</v>
      </c>
    </row>
    <row r="299" spans="1:18" x14ac:dyDescent="0.25">
      <c r="A299" s="7" t="s">
        <v>889</v>
      </c>
      <c r="B299" s="8">
        <v>1</v>
      </c>
      <c r="C299" s="11">
        <v>6.2155775398999025E-4</v>
      </c>
      <c r="D299" s="12">
        <v>0.8051037587432277</v>
      </c>
      <c r="E299" t="s">
        <v>1239</v>
      </c>
      <c r="F299" s="8">
        <v>742</v>
      </c>
      <c r="G299" s="11">
        <v>2.1214069316701336E-3</v>
      </c>
      <c r="H299" s="12">
        <v>0.49820291337154043</v>
      </c>
      <c r="I299" t="s">
        <v>1238</v>
      </c>
      <c r="J299" s="8">
        <v>5</v>
      </c>
      <c r="K299">
        <v>6</v>
      </c>
      <c r="L299" s="11">
        <v>6.2155775398998981E-4</v>
      </c>
      <c r="M299" s="12">
        <v>0.80510375874322759</v>
      </c>
      <c r="N299" t="s">
        <v>1239</v>
      </c>
      <c r="O299" t="s">
        <v>1255</v>
      </c>
      <c r="P299" s="23">
        <f>VLOOKUP(A299,вариация!A$2:G$805,2,FALSE)</f>
        <v>2.2360679774997894</v>
      </c>
      <c r="Q299" t="str">
        <f>IF(вариация!H300="Yes",IF(P302&lt;0.1,"X",IF(P302&lt;0.25,"Y","Z")),"")</f>
        <v/>
      </c>
      <c r="R299" t="str">
        <f>O299&amp;Q299</f>
        <v>BAB</v>
      </c>
    </row>
    <row r="300" spans="1:18" x14ac:dyDescent="0.25">
      <c r="A300" s="7" t="s">
        <v>782</v>
      </c>
      <c r="B300" s="8">
        <v>2</v>
      </c>
      <c r="C300" s="11">
        <v>1.2431155079799805E-3</v>
      </c>
      <c r="D300" s="12">
        <v>0.58737207752053899</v>
      </c>
      <c r="E300" t="s">
        <v>1238</v>
      </c>
      <c r="F300" s="8">
        <v>346</v>
      </c>
      <c r="G300" s="11">
        <v>9.8922749104833727E-4</v>
      </c>
      <c r="H300" s="12">
        <v>0.78651702754141328</v>
      </c>
      <c r="I300" t="s">
        <v>1238</v>
      </c>
      <c r="J300" s="8">
        <v>5</v>
      </c>
      <c r="K300">
        <v>12</v>
      </c>
      <c r="L300" s="11">
        <v>1.2431155079799796E-3</v>
      </c>
      <c r="M300" s="12">
        <v>0.58737207752053888</v>
      </c>
      <c r="N300" t="s">
        <v>1238</v>
      </c>
      <c r="O300" t="s">
        <v>1252</v>
      </c>
      <c r="P300" s="23">
        <f>VLOOKUP(A300,вариация!A$2:G$805,2,FALSE)</f>
        <v>2.2360679774997894</v>
      </c>
      <c r="Q300" t="str">
        <f>IF(вариация!H301="Yes",IF(P303&lt;0.1,"X",IF(P303&lt;0.25,"Y","Z")),"")</f>
        <v/>
      </c>
      <c r="R300" t="str">
        <f>O300&amp;Q300</f>
        <v>AAA</v>
      </c>
    </row>
    <row r="301" spans="1:18" x14ac:dyDescent="0.25">
      <c r="A301" s="7" t="s">
        <v>975</v>
      </c>
      <c r="B301" s="8">
        <v>2</v>
      </c>
      <c r="C301" s="11">
        <v>1.2431155079799805E-3</v>
      </c>
      <c r="D301" s="12">
        <v>0.58861519302851895</v>
      </c>
      <c r="E301" t="s">
        <v>1238</v>
      </c>
      <c r="F301" s="8">
        <v>86</v>
      </c>
      <c r="G301" s="11">
        <v>2.4587735326634969E-4</v>
      </c>
      <c r="H301" s="12">
        <v>0.97779822945705241</v>
      </c>
      <c r="I301" t="s">
        <v>1240</v>
      </c>
      <c r="J301" s="8">
        <v>5</v>
      </c>
      <c r="K301">
        <v>12</v>
      </c>
      <c r="L301" s="11">
        <v>1.2431155079799796E-3</v>
      </c>
      <c r="M301" s="12">
        <v>0.58861519302851883</v>
      </c>
      <c r="N301" t="s">
        <v>1238</v>
      </c>
      <c r="O301" t="s">
        <v>1254</v>
      </c>
      <c r="P301" s="23">
        <f>VLOOKUP(A301,вариация!A$2:G$805,2,FALSE)</f>
        <v>2.2360679774997894</v>
      </c>
      <c r="Q301" t="str">
        <f>IF(вариация!H302="Yes",IF(P304&lt;0.1,"X",IF(P304&lt;0.25,"Y","Z")),"")</f>
        <v/>
      </c>
      <c r="R301" t="str">
        <f>O301&amp;Q301</f>
        <v>ACA</v>
      </c>
    </row>
    <row r="302" spans="1:18" x14ac:dyDescent="0.25">
      <c r="A302" s="7" t="s">
        <v>201</v>
      </c>
      <c r="B302" s="8">
        <v>2</v>
      </c>
      <c r="C302" s="11">
        <v>1.2431155079799805E-3</v>
      </c>
      <c r="D302" s="12">
        <v>0.5898583085364989</v>
      </c>
      <c r="E302" t="s">
        <v>1238</v>
      </c>
      <c r="F302" s="8">
        <v>256</v>
      </c>
      <c r="G302" s="11">
        <v>7.3191398181611078E-4</v>
      </c>
      <c r="H302" s="12">
        <v>0.86392039059467263</v>
      </c>
      <c r="I302" t="s">
        <v>1239</v>
      </c>
      <c r="J302" s="8">
        <v>5</v>
      </c>
      <c r="K302">
        <v>12</v>
      </c>
      <c r="L302" s="11">
        <v>1.2431155079799796E-3</v>
      </c>
      <c r="M302" s="12">
        <v>0.58985830853649879</v>
      </c>
      <c r="N302" t="s">
        <v>1238</v>
      </c>
      <c r="O302" t="s">
        <v>1253</v>
      </c>
      <c r="P302" s="23">
        <f>VLOOKUP(A302,вариация!A$2:G$805,2,FALSE)</f>
        <v>2.2360679774997894</v>
      </c>
      <c r="Q302" t="str">
        <f>IF(вариация!H303="Yes",IF(P305&lt;0.1,"X",IF(P305&lt;0.25,"Y","Z")),"")</f>
        <v/>
      </c>
      <c r="R302" t="str">
        <f>O302&amp;Q302</f>
        <v>ABA</v>
      </c>
    </row>
    <row r="303" spans="1:18" x14ac:dyDescent="0.25">
      <c r="A303" s="7" t="s">
        <v>1073</v>
      </c>
      <c r="B303" s="8">
        <v>1</v>
      </c>
      <c r="C303" s="11">
        <v>6.2155775398999025E-4</v>
      </c>
      <c r="D303" s="12">
        <v>0.80572531649721768</v>
      </c>
      <c r="E303" t="s">
        <v>1239</v>
      </c>
      <c r="F303" s="8">
        <v>152.96</v>
      </c>
      <c r="G303" s="11">
        <v>4.3731860413512622E-4</v>
      </c>
      <c r="H303" s="12">
        <v>0.93399497883992255</v>
      </c>
      <c r="I303" t="s">
        <v>1239</v>
      </c>
      <c r="J303" s="8">
        <v>5</v>
      </c>
      <c r="K303">
        <v>6</v>
      </c>
      <c r="L303" s="11">
        <v>6.2155775398998981E-4</v>
      </c>
      <c r="M303" s="12">
        <v>0.80572531649721757</v>
      </c>
      <c r="N303" t="s">
        <v>1239</v>
      </c>
      <c r="O303" t="s">
        <v>1256</v>
      </c>
      <c r="P303" s="23">
        <f>VLOOKUP(A303,вариация!A$2:G$805,2,FALSE)</f>
        <v>2.2360679774997894</v>
      </c>
      <c r="Q303" t="str">
        <f>IF(вариация!H304="Yes",IF(P306&lt;0.1,"X",IF(P306&lt;0.25,"Y","Z")),"")</f>
        <v/>
      </c>
      <c r="R303" t="str">
        <f>O303&amp;Q303</f>
        <v>BBB</v>
      </c>
    </row>
    <row r="304" spans="1:18" x14ac:dyDescent="0.25">
      <c r="A304" s="7" t="s">
        <v>1103</v>
      </c>
      <c r="B304" s="8">
        <v>1</v>
      </c>
      <c r="C304" s="11">
        <v>6.2155775398999025E-4</v>
      </c>
      <c r="D304" s="12">
        <v>0.80634687425120766</v>
      </c>
      <c r="E304" t="s">
        <v>1239</v>
      </c>
      <c r="F304" s="8">
        <v>123</v>
      </c>
      <c r="G304" s="11">
        <v>3.516617959507095E-4</v>
      </c>
      <c r="H304" s="12">
        <v>0.95183572523136895</v>
      </c>
      <c r="I304" t="s">
        <v>1240</v>
      </c>
      <c r="J304" s="8">
        <v>5</v>
      </c>
      <c r="K304">
        <v>6</v>
      </c>
      <c r="L304" s="11">
        <v>6.2155775398998981E-4</v>
      </c>
      <c r="M304" s="12">
        <v>0.80634687425120755</v>
      </c>
      <c r="N304" t="s">
        <v>1239</v>
      </c>
      <c r="O304" t="s">
        <v>1257</v>
      </c>
      <c r="P304" s="23">
        <f>VLOOKUP(A304,вариация!A$2:G$805,2,FALSE)</f>
        <v>2.2360679774997894</v>
      </c>
      <c r="Q304" t="str">
        <f>IF(вариация!H305="Yes",IF(P307&lt;0.1,"X",IF(P307&lt;0.25,"Y","Z")),"")</f>
        <v/>
      </c>
      <c r="R304" t="str">
        <f>O304&amp;Q304</f>
        <v>BCB</v>
      </c>
    </row>
    <row r="305" spans="1:18" x14ac:dyDescent="0.25">
      <c r="A305" s="7" t="s">
        <v>1180</v>
      </c>
      <c r="B305" s="8">
        <v>1</v>
      </c>
      <c r="C305" s="11">
        <v>6.2155775398999025E-4</v>
      </c>
      <c r="D305" s="12">
        <v>0.80696843200519763</v>
      </c>
      <c r="E305" t="s">
        <v>1239</v>
      </c>
      <c r="F305" s="8">
        <v>467</v>
      </c>
      <c r="G305" s="11">
        <v>1.3351712090161083E-3</v>
      </c>
      <c r="H305" s="12">
        <v>0.67006838553241721</v>
      </c>
      <c r="I305" t="s">
        <v>1238</v>
      </c>
      <c r="J305" s="8">
        <v>5</v>
      </c>
      <c r="K305">
        <v>6</v>
      </c>
      <c r="L305" s="11">
        <v>6.2155775398998981E-4</v>
      </c>
      <c r="M305" s="12">
        <v>0.80696843200519752</v>
      </c>
      <c r="N305" t="s">
        <v>1239</v>
      </c>
      <c r="O305" t="s">
        <v>1255</v>
      </c>
      <c r="P305" s="23">
        <f>VLOOKUP(A305,вариация!A$2:G$805,2,FALSE)</f>
        <v>2.2360679774997894</v>
      </c>
      <c r="Q305" t="str">
        <f>IF(вариация!H306="Yes",IF(P308&lt;0.1,"X",IF(P308&lt;0.25,"Y","Z")),"")</f>
        <v/>
      </c>
      <c r="R305" t="str">
        <f>O305&amp;Q305</f>
        <v>BAB</v>
      </c>
    </row>
    <row r="306" spans="1:18" x14ac:dyDescent="0.25">
      <c r="A306" s="7" t="s">
        <v>1122</v>
      </c>
      <c r="B306" s="8">
        <v>1</v>
      </c>
      <c r="C306" s="11">
        <v>6.2155775398999025E-4</v>
      </c>
      <c r="D306" s="12">
        <v>0.80758998975918761</v>
      </c>
      <c r="E306" t="s">
        <v>1239</v>
      </c>
      <c r="F306" s="8">
        <v>268</v>
      </c>
      <c r="G306" s="11">
        <v>7.6622244971374096E-4</v>
      </c>
      <c r="H306" s="12">
        <v>0.85268330951377191</v>
      </c>
      <c r="I306" t="s">
        <v>1239</v>
      </c>
      <c r="J306" s="8">
        <v>5</v>
      </c>
      <c r="K306">
        <v>6</v>
      </c>
      <c r="L306" s="11">
        <v>6.2155775398998981E-4</v>
      </c>
      <c r="M306" s="12">
        <v>0.8075899897591875</v>
      </c>
      <c r="N306" t="s">
        <v>1239</v>
      </c>
      <c r="O306" t="s">
        <v>1256</v>
      </c>
      <c r="P306" s="23">
        <f>VLOOKUP(A306,вариация!A$2:G$805,2,FALSE)</f>
        <v>2.2360679774997894</v>
      </c>
      <c r="Q306" t="str">
        <f>IF(вариация!H307="Yes",IF(P309&lt;0.1,"X",IF(P309&lt;0.25,"Y","Z")),"")</f>
        <v/>
      </c>
      <c r="R306" t="str">
        <f>O306&amp;Q306</f>
        <v>BBB</v>
      </c>
    </row>
    <row r="307" spans="1:18" x14ac:dyDescent="0.25">
      <c r="A307" s="7" t="s">
        <v>143</v>
      </c>
      <c r="B307" s="8">
        <v>12</v>
      </c>
      <c r="C307" s="11">
        <v>7.4586930478798821E-3</v>
      </c>
      <c r="D307" s="12">
        <v>0.17714395988714721</v>
      </c>
      <c r="E307" t="s">
        <v>1238</v>
      </c>
      <c r="F307" s="8">
        <v>0.11999999999999998</v>
      </c>
      <c r="G307" s="11">
        <v>3.4308467897630188E-7</v>
      </c>
      <c r="H307" s="12">
        <v>1.0000000000000016</v>
      </c>
      <c r="I307" t="s">
        <v>1240</v>
      </c>
      <c r="J307" s="8">
        <v>5</v>
      </c>
      <c r="K307">
        <v>72</v>
      </c>
      <c r="L307" s="11">
        <v>7.4586930478798786E-3</v>
      </c>
      <c r="M307" s="12">
        <v>0.17714395988714707</v>
      </c>
      <c r="N307" t="s">
        <v>1238</v>
      </c>
      <c r="O307" t="s">
        <v>1254</v>
      </c>
      <c r="P307" s="23">
        <f>VLOOKUP(A307,вариация!A$2:G$805,2,FALSE)</f>
        <v>0.37267799624996489</v>
      </c>
      <c r="Q307" t="str">
        <f>IF(вариация!H308="Yes",IF(P310&lt;0.1,"X",IF(P310&lt;0.25,"Y","Z")),"")</f>
        <v>Z</v>
      </c>
      <c r="R307" t="str">
        <f>O307&amp;Q307</f>
        <v>ACAZ</v>
      </c>
    </row>
    <row r="308" spans="1:18" x14ac:dyDescent="0.25">
      <c r="A308" s="7" t="s">
        <v>994</v>
      </c>
      <c r="B308" s="8">
        <v>2</v>
      </c>
      <c r="C308" s="11">
        <v>1.2431155079799805E-3</v>
      </c>
      <c r="D308" s="12">
        <v>0.59110142404447885</v>
      </c>
      <c r="E308" t="s">
        <v>1238</v>
      </c>
      <c r="F308" s="8">
        <v>50</v>
      </c>
      <c r="G308" s="11">
        <v>1.4295194957345914E-4</v>
      </c>
      <c r="H308" s="12">
        <v>0.9946619969425109</v>
      </c>
      <c r="I308" t="s">
        <v>1240</v>
      </c>
      <c r="J308" s="8">
        <v>5</v>
      </c>
      <c r="K308">
        <v>12</v>
      </c>
      <c r="L308" s="11">
        <v>1.2431155079799796E-3</v>
      </c>
      <c r="M308" s="12">
        <v>0.59110142404447874</v>
      </c>
      <c r="N308" t="s">
        <v>1238</v>
      </c>
      <c r="O308" t="s">
        <v>1254</v>
      </c>
      <c r="P308" s="23">
        <f>VLOOKUP(A308,вариация!A$2:G$805,2,FALSE)</f>
        <v>1.3693063937629151</v>
      </c>
      <c r="Q308" t="str">
        <f>IF(вариация!H309="Yes",IF(P311&lt;0.1,"X",IF(P311&lt;0.25,"Y","Z")),"")</f>
        <v/>
      </c>
      <c r="R308" t="str">
        <f>O308&amp;Q308</f>
        <v>ACA</v>
      </c>
    </row>
    <row r="309" spans="1:18" x14ac:dyDescent="0.25">
      <c r="A309" s="7" t="s">
        <v>461</v>
      </c>
      <c r="B309" s="8">
        <v>1</v>
      </c>
      <c r="C309" s="11">
        <v>6.2155775398999025E-4</v>
      </c>
      <c r="D309" s="12">
        <v>0.80821154751317759</v>
      </c>
      <c r="E309" t="s">
        <v>1239</v>
      </c>
      <c r="F309" s="8">
        <v>585</v>
      </c>
      <c r="G309" s="11">
        <v>1.6725378100094718E-3</v>
      </c>
      <c r="H309" s="12">
        <v>0.59839337948601579</v>
      </c>
      <c r="I309" t="s">
        <v>1238</v>
      </c>
      <c r="J309" s="8">
        <v>5</v>
      </c>
      <c r="K309">
        <v>6</v>
      </c>
      <c r="L309" s="11">
        <v>6.2155775398998981E-4</v>
      </c>
      <c r="M309" s="12">
        <v>0.80821154751317748</v>
      </c>
      <c r="N309" t="s">
        <v>1239</v>
      </c>
      <c r="O309" t="s">
        <v>1255</v>
      </c>
      <c r="P309" s="23">
        <f>VLOOKUP(A309,вариация!A$2:G$805,2,FALSE)</f>
        <v>2.2360679774997894</v>
      </c>
      <c r="Q309" t="str">
        <f>IF(вариация!H310="Yes",IF(P312&lt;0.1,"X",IF(P312&lt;0.25,"Y","Z")),"")</f>
        <v/>
      </c>
      <c r="R309" t="str">
        <f>O309&amp;Q309</f>
        <v>BAB</v>
      </c>
    </row>
    <row r="310" spans="1:18" x14ac:dyDescent="0.25">
      <c r="A310" s="7" t="s">
        <v>861</v>
      </c>
      <c r="B310" s="8">
        <v>2</v>
      </c>
      <c r="C310" s="11">
        <v>1.2431155079799805E-3</v>
      </c>
      <c r="D310" s="12">
        <v>0.5923445395524588</v>
      </c>
      <c r="E310" t="s">
        <v>1238</v>
      </c>
      <c r="F310" s="8">
        <v>379</v>
      </c>
      <c r="G310" s="11">
        <v>1.0835757777668202E-3</v>
      </c>
      <c r="H310" s="12">
        <v>0.75148237985349353</v>
      </c>
      <c r="I310" t="s">
        <v>1238</v>
      </c>
      <c r="J310" s="8">
        <v>5</v>
      </c>
      <c r="K310">
        <v>12</v>
      </c>
      <c r="L310" s="11">
        <v>1.2431155079799796E-3</v>
      </c>
      <c r="M310" s="12">
        <v>0.59234453955245869</v>
      </c>
      <c r="N310" t="s">
        <v>1238</v>
      </c>
      <c r="O310" t="s">
        <v>1252</v>
      </c>
      <c r="P310" s="23">
        <f>VLOOKUP(A310,вариация!A$2:G$805,2,FALSE)</f>
        <v>2.2360679774997894</v>
      </c>
      <c r="Q310" t="str">
        <f>IF(вариация!H311="Yes",IF(P313&lt;0.1,"X",IF(P313&lt;0.25,"Y","Z")),"")</f>
        <v/>
      </c>
      <c r="R310" t="str">
        <f>O310&amp;Q310</f>
        <v>AAA</v>
      </c>
    </row>
    <row r="311" spans="1:18" x14ac:dyDescent="0.25">
      <c r="A311" s="7" t="s">
        <v>841</v>
      </c>
      <c r="B311" s="8">
        <v>1</v>
      </c>
      <c r="C311" s="11">
        <v>6.2155775398999025E-4</v>
      </c>
      <c r="D311" s="12">
        <v>0.80883310526716756</v>
      </c>
      <c r="E311" t="s">
        <v>1239</v>
      </c>
      <c r="F311" s="8">
        <v>726</v>
      </c>
      <c r="G311" s="11">
        <v>2.0756623078066268E-3</v>
      </c>
      <c r="H311" s="12">
        <v>0.50657132049957077</v>
      </c>
      <c r="I311" t="s">
        <v>1238</v>
      </c>
      <c r="J311" s="8">
        <v>5</v>
      </c>
      <c r="K311">
        <v>6</v>
      </c>
      <c r="L311" s="11">
        <v>6.2155775398998981E-4</v>
      </c>
      <c r="M311" s="12">
        <v>0.80883310526716745</v>
      </c>
      <c r="N311" t="s">
        <v>1239</v>
      </c>
      <c r="O311" t="s">
        <v>1255</v>
      </c>
      <c r="P311" s="23">
        <f>VLOOKUP(A311,вариация!A$2:G$805,2,FALSE)</f>
        <v>2.2360679774997894</v>
      </c>
      <c r="Q311" t="str">
        <f>IF(вариация!H312="Yes",IF(P314&lt;0.1,"X",IF(P314&lt;0.25,"Y","Z")),"")</f>
        <v/>
      </c>
      <c r="R311" t="str">
        <f>O311&amp;Q311</f>
        <v>BAB</v>
      </c>
    </row>
    <row r="312" spans="1:18" x14ac:dyDescent="0.25">
      <c r="A312" s="7" t="s">
        <v>111</v>
      </c>
      <c r="B312" s="8">
        <v>1</v>
      </c>
      <c r="C312" s="11">
        <v>6.2155775398999025E-4</v>
      </c>
      <c r="D312" s="12">
        <v>0.80945466302115754</v>
      </c>
      <c r="E312" t="s">
        <v>1239</v>
      </c>
      <c r="F312" s="8">
        <v>235</v>
      </c>
      <c r="G312" s="11">
        <v>6.7187416299525795E-4</v>
      </c>
      <c r="H312" s="12">
        <v>0.88357571185322525</v>
      </c>
      <c r="I312" t="s">
        <v>1239</v>
      </c>
      <c r="J312" s="8">
        <v>5</v>
      </c>
      <c r="K312">
        <v>6</v>
      </c>
      <c r="L312" s="11">
        <v>6.2155775398998981E-4</v>
      </c>
      <c r="M312" s="12">
        <v>0.80945466302115743</v>
      </c>
      <c r="N312" t="s">
        <v>1239</v>
      </c>
      <c r="O312" t="s">
        <v>1256</v>
      </c>
      <c r="P312" s="23">
        <f>VLOOKUP(A312,вариация!A$2:G$805,2,FALSE)</f>
        <v>2.2360679774997894</v>
      </c>
      <c r="Q312" t="str">
        <f>IF(вариация!H313="Yes",IF(P315&lt;0.1,"X",IF(P315&lt;0.25,"Y","Z")),"")</f>
        <v/>
      </c>
      <c r="R312" t="str">
        <f>O312&amp;Q312</f>
        <v>BBB</v>
      </c>
    </row>
    <row r="313" spans="1:18" x14ac:dyDescent="0.25">
      <c r="A313" s="7" t="s">
        <v>414</v>
      </c>
      <c r="B313" s="8">
        <v>1</v>
      </c>
      <c r="C313" s="11">
        <v>6.2155775398999025E-4</v>
      </c>
      <c r="D313" s="12">
        <v>0.81007622077514752</v>
      </c>
      <c r="E313" t="s">
        <v>1239</v>
      </c>
      <c r="F313" s="8">
        <v>272</v>
      </c>
      <c r="G313" s="11">
        <v>7.7765860567961765E-4</v>
      </c>
      <c r="H313" s="12">
        <v>0.84728544389787819</v>
      </c>
      <c r="I313" t="s">
        <v>1239</v>
      </c>
      <c r="J313" s="8">
        <v>5</v>
      </c>
      <c r="K313">
        <v>6</v>
      </c>
      <c r="L313" s="11">
        <v>6.2155775398998981E-4</v>
      </c>
      <c r="M313" s="12">
        <v>0.8100762207751474</v>
      </c>
      <c r="N313" t="s">
        <v>1239</v>
      </c>
      <c r="O313" t="s">
        <v>1256</v>
      </c>
      <c r="P313" s="23">
        <f>VLOOKUP(A313,вариация!A$2:G$805,2,FALSE)</f>
        <v>2.2360679774997894</v>
      </c>
      <c r="Q313" t="str">
        <f>IF(вариация!H314="Yes",IF(P316&lt;0.1,"X",IF(P316&lt;0.25,"Y","Z")),"")</f>
        <v/>
      </c>
      <c r="R313" t="str">
        <f>O313&amp;Q313</f>
        <v>BBB</v>
      </c>
    </row>
    <row r="314" spans="1:18" x14ac:dyDescent="0.25">
      <c r="A314" s="7" t="s">
        <v>439</v>
      </c>
      <c r="B314" s="8">
        <v>1</v>
      </c>
      <c r="C314" s="11">
        <v>6.2155775398999025E-4</v>
      </c>
      <c r="D314" s="12">
        <v>0.81069777852913749</v>
      </c>
      <c r="E314" t="s">
        <v>1239</v>
      </c>
      <c r="F314" s="8">
        <v>131</v>
      </c>
      <c r="G314" s="11">
        <v>3.7453410788246293E-4</v>
      </c>
      <c r="H314" s="12">
        <v>0.94605154626694787</v>
      </c>
      <c r="I314" t="s">
        <v>1239</v>
      </c>
      <c r="J314" s="8">
        <v>5</v>
      </c>
      <c r="K314">
        <v>6</v>
      </c>
      <c r="L314" s="11">
        <v>6.2155775398998981E-4</v>
      </c>
      <c r="M314" s="12">
        <v>0.81069777852913738</v>
      </c>
      <c r="N314" t="s">
        <v>1239</v>
      </c>
      <c r="O314" t="s">
        <v>1256</v>
      </c>
      <c r="P314" s="23">
        <f>VLOOKUP(A314,вариация!A$2:G$805,2,FALSE)</f>
        <v>2.2360679774997894</v>
      </c>
      <c r="Q314" t="str">
        <f>IF(вариация!H315="Yes",IF(P317&lt;0.1,"X",IF(P317&lt;0.25,"Y","Z")),"")</f>
        <v/>
      </c>
      <c r="R314" t="str">
        <f>O314&amp;Q314</f>
        <v>BBB</v>
      </c>
    </row>
    <row r="315" spans="1:18" x14ac:dyDescent="0.25">
      <c r="A315" s="7" t="s">
        <v>411</v>
      </c>
      <c r="B315" s="8">
        <v>6</v>
      </c>
      <c r="C315" s="11">
        <v>3.729346523939941E-3</v>
      </c>
      <c r="D315" s="12">
        <v>0.29088902886731532</v>
      </c>
      <c r="E315" t="s">
        <v>1238</v>
      </c>
      <c r="F315" s="8">
        <v>438</v>
      </c>
      <c r="G315" s="11">
        <v>1.2522590782635019E-3</v>
      </c>
      <c r="H315" s="12">
        <v>0.7050858950999318</v>
      </c>
      <c r="I315" t="s">
        <v>1238</v>
      </c>
      <c r="J315" s="8">
        <v>5</v>
      </c>
      <c r="K315">
        <v>36</v>
      </c>
      <c r="L315" s="11">
        <v>3.7293465239399393E-3</v>
      </c>
      <c r="M315" s="12">
        <v>0.29088902886731516</v>
      </c>
      <c r="N315" t="s">
        <v>1238</v>
      </c>
      <c r="O315" t="s">
        <v>1252</v>
      </c>
      <c r="P315" s="23">
        <f>VLOOKUP(A315,вариация!A$2:G$805,2,FALSE)</f>
        <v>0.69721668877839638</v>
      </c>
      <c r="Q315" t="str">
        <f>IF(вариация!H316="Yes",IF(P318&lt;0.1,"X",IF(P318&lt;0.25,"Y","Z")),"")</f>
        <v>Z</v>
      </c>
      <c r="R315" t="str">
        <f>O315&amp;Q315</f>
        <v>AAAZ</v>
      </c>
    </row>
    <row r="316" spans="1:18" x14ac:dyDescent="0.25">
      <c r="A316" s="7" t="s">
        <v>1158</v>
      </c>
      <c r="B316" s="8">
        <v>1</v>
      </c>
      <c r="C316" s="11">
        <v>6.2155775398999025E-4</v>
      </c>
      <c r="D316" s="12">
        <v>0.81131933628312747</v>
      </c>
      <c r="E316" t="s">
        <v>1239</v>
      </c>
      <c r="F316" s="8">
        <v>39</v>
      </c>
      <c r="G316" s="11">
        <v>1.1150252066729813E-4</v>
      </c>
      <c r="H316" s="12">
        <v>0.99742452049570596</v>
      </c>
      <c r="I316" t="s">
        <v>1240</v>
      </c>
      <c r="J316" s="8">
        <v>5</v>
      </c>
      <c r="K316">
        <v>6</v>
      </c>
      <c r="L316" s="11">
        <v>6.2155775398998981E-4</v>
      </c>
      <c r="M316" s="12">
        <v>0.81131933628312736</v>
      </c>
      <c r="N316" t="s">
        <v>1239</v>
      </c>
      <c r="O316" t="s">
        <v>1257</v>
      </c>
      <c r="P316" s="23">
        <f>VLOOKUP(A316,вариация!A$2:G$805,2,FALSE)</f>
        <v>2.2360679774997894</v>
      </c>
      <c r="Q316" t="str">
        <f>IF(вариация!H317="Yes",IF(P319&lt;0.1,"X",IF(P319&lt;0.25,"Y","Z")),"")</f>
        <v/>
      </c>
      <c r="R316" t="str">
        <f>O316&amp;Q316</f>
        <v>BCB</v>
      </c>
    </row>
    <row r="317" spans="1:18" x14ac:dyDescent="0.25">
      <c r="A317" s="7" t="s">
        <v>1157</v>
      </c>
      <c r="B317" s="8">
        <v>1</v>
      </c>
      <c r="C317" s="11">
        <v>6.2155775398999025E-4</v>
      </c>
      <c r="D317" s="12">
        <v>0.81194089403711744</v>
      </c>
      <c r="E317" t="s">
        <v>1239</v>
      </c>
      <c r="F317" s="8">
        <v>74</v>
      </c>
      <c r="G317" s="11">
        <v>2.1156888536871953E-4</v>
      </c>
      <c r="H317" s="12">
        <v>0.98594014351617854</v>
      </c>
      <c r="I317" t="s">
        <v>1240</v>
      </c>
      <c r="J317" s="8">
        <v>5</v>
      </c>
      <c r="K317">
        <v>6</v>
      </c>
      <c r="L317" s="11">
        <v>6.2155775398998981E-4</v>
      </c>
      <c r="M317" s="12">
        <v>0.81194089403711733</v>
      </c>
      <c r="N317" t="s">
        <v>1239</v>
      </c>
      <c r="O317" t="s">
        <v>1257</v>
      </c>
      <c r="P317" s="23">
        <f>VLOOKUP(A317,вариация!A$2:G$805,2,FALSE)</f>
        <v>2.2360679774997894</v>
      </c>
      <c r="Q317" t="str">
        <f>IF(вариация!H318="Yes",IF(P320&lt;0.1,"X",IF(P320&lt;0.25,"Y","Z")),"")</f>
        <v/>
      </c>
      <c r="R317" t="str">
        <f>O317&amp;Q317</f>
        <v>BCB</v>
      </c>
    </row>
    <row r="318" spans="1:18" x14ac:dyDescent="0.25">
      <c r="A318" s="7" t="s">
        <v>772</v>
      </c>
      <c r="B318" s="8">
        <v>1</v>
      </c>
      <c r="C318" s="11">
        <v>6.2155775398999025E-4</v>
      </c>
      <c r="D318" s="12">
        <v>0.81256245179110742</v>
      </c>
      <c r="E318" t="s">
        <v>1239</v>
      </c>
      <c r="F318" s="8">
        <v>388</v>
      </c>
      <c r="G318" s="11">
        <v>1.1093071286900429E-3</v>
      </c>
      <c r="H318" s="12">
        <v>0.74492088536807166</v>
      </c>
      <c r="I318" t="s">
        <v>1238</v>
      </c>
      <c r="J318" s="8">
        <v>5</v>
      </c>
      <c r="K318">
        <v>6</v>
      </c>
      <c r="L318" s="11">
        <v>6.2155775398998981E-4</v>
      </c>
      <c r="M318" s="12">
        <v>0.81256245179110731</v>
      </c>
      <c r="N318" t="s">
        <v>1239</v>
      </c>
      <c r="O318" t="s">
        <v>1255</v>
      </c>
      <c r="P318" s="23">
        <f>VLOOKUP(A318,вариация!A$2:G$805,2,FALSE)</f>
        <v>2.2360679774997894</v>
      </c>
      <c r="Q318" t="str">
        <f>IF(вариация!H319="Yes",IF(P321&lt;0.1,"X",IF(P321&lt;0.25,"Y","Z")),"")</f>
        <v/>
      </c>
      <c r="R318" t="str">
        <f>O318&amp;Q318</f>
        <v>BAB</v>
      </c>
    </row>
    <row r="319" spans="1:18" x14ac:dyDescent="0.25">
      <c r="A319" s="7" t="s">
        <v>843</v>
      </c>
      <c r="B319" s="8">
        <v>1</v>
      </c>
      <c r="C319" s="11">
        <v>6.2155775398999025E-4</v>
      </c>
      <c r="D319" s="12">
        <v>0.8131840095450974</v>
      </c>
      <c r="E319" t="s">
        <v>1239</v>
      </c>
      <c r="F319" s="8">
        <v>313</v>
      </c>
      <c r="G319" s="11">
        <v>8.9487920432985415E-4</v>
      </c>
      <c r="H319" s="12">
        <v>0.81091558025798283</v>
      </c>
      <c r="I319" t="s">
        <v>1239</v>
      </c>
      <c r="J319" s="8">
        <v>5</v>
      </c>
      <c r="K319">
        <v>6</v>
      </c>
      <c r="L319" s="11">
        <v>6.2155775398998981E-4</v>
      </c>
      <c r="M319" s="12">
        <v>0.81318400954509729</v>
      </c>
      <c r="N319" t="s">
        <v>1239</v>
      </c>
      <c r="O319" t="s">
        <v>1256</v>
      </c>
      <c r="P319" s="23">
        <f>VLOOKUP(A319,вариация!A$2:G$805,2,FALSE)</f>
        <v>2.2360679774997894</v>
      </c>
      <c r="Q319" t="str">
        <f>IF(вариация!H320="Yes",IF(P322&lt;0.1,"X",IF(P322&lt;0.25,"Y","Z")),"")</f>
        <v/>
      </c>
      <c r="R319" t="str">
        <f>O319&amp;Q319</f>
        <v>BBB</v>
      </c>
    </row>
    <row r="320" spans="1:18" x14ac:dyDescent="0.25">
      <c r="A320" s="7" t="s">
        <v>692</v>
      </c>
      <c r="B320" s="8">
        <v>2</v>
      </c>
      <c r="C320" s="11">
        <v>1.2431155079799805E-3</v>
      </c>
      <c r="D320" s="12">
        <v>0.59358765506043876</v>
      </c>
      <c r="E320" t="s">
        <v>1238</v>
      </c>
      <c r="F320" s="8">
        <v>950</v>
      </c>
      <c r="G320" s="11">
        <v>2.7160870418957237E-3</v>
      </c>
      <c r="H320" s="12">
        <v>0.43381501092348718</v>
      </c>
      <c r="I320" t="s">
        <v>1238</v>
      </c>
      <c r="J320" s="8">
        <v>5</v>
      </c>
      <c r="K320">
        <v>12</v>
      </c>
      <c r="L320" s="11">
        <v>1.2431155079799796E-3</v>
      </c>
      <c r="M320" s="12">
        <v>0.59358765506043865</v>
      </c>
      <c r="N320" t="s">
        <v>1238</v>
      </c>
      <c r="O320" t="s">
        <v>1252</v>
      </c>
      <c r="P320" s="23">
        <f>VLOOKUP(A320,вариация!A$2:G$805,2,FALSE)</f>
        <v>2.2360679774997894</v>
      </c>
      <c r="Q320" t="str">
        <f>IF(вариация!H321="Yes",IF(P323&lt;0.1,"X",IF(P323&lt;0.25,"Y","Z")),"")</f>
        <v/>
      </c>
      <c r="R320" t="str">
        <f>O320&amp;Q320</f>
        <v>AAA</v>
      </c>
    </row>
    <row r="321" spans="1:18" x14ac:dyDescent="0.25">
      <c r="A321" s="7" t="s">
        <v>187</v>
      </c>
      <c r="B321" s="8">
        <v>1</v>
      </c>
      <c r="C321" s="11">
        <v>6.2155775398999025E-4</v>
      </c>
      <c r="D321" s="12">
        <v>0.81380556729908737</v>
      </c>
      <c r="E321" t="s">
        <v>1239</v>
      </c>
      <c r="F321" s="8">
        <v>115</v>
      </c>
      <c r="G321" s="11">
        <v>3.28789484018956E-4</v>
      </c>
      <c r="H321" s="12">
        <v>0.9583712024619685</v>
      </c>
      <c r="I321" t="s">
        <v>1240</v>
      </c>
      <c r="J321" s="8">
        <v>5</v>
      </c>
      <c r="K321">
        <v>6</v>
      </c>
      <c r="L321" s="11">
        <v>6.2155775398998981E-4</v>
      </c>
      <c r="M321" s="12">
        <v>0.81380556729908726</v>
      </c>
      <c r="N321" t="s">
        <v>1239</v>
      </c>
      <c r="O321" t="s">
        <v>1257</v>
      </c>
      <c r="P321" s="23">
        <f>VLOOKUP(A321,вариация!A$2:G$805,2,FALSE)</f>
        <v>2.2360679774997894</v>
      </c>
      <c r="Q321" t="str">
        <f>IF(вариация!H322="Yes",IF(P324&lt;0.1,"X",IF(P324&lt;0.25,"Y","Z")),"")</f>
        <v/>
      </c>
      <c r="R321" t="str">
        <f>O321&amp;Q321</f>
        <v>BCB</v>
      </c>
    </row>
    <row r="322" spans="1:18" x14ac:dyDescent="0.25">
      <c r="A322" s="7" t="s">
        <v>36</v>
      </c>
      <c r="B322" s="8">
        <v>4</v>
      </c>
      <c r="C322" s="11">
        <v>2.486231015959961E-3</v>
      </c>
      <c r="D322" s="12">
        <v>0.38225801870384352</v>
      </c>
      <c r="E322" t="s">
        <v>1238</v>
      </c>
      <c r="F322" s="8">
        <v>1760</v>
      </c>
      <c r="G322" s="11">
        <v>5.0319086249857618E-3</v>
      </c>
      <c r="H322" s="12">
        <v>0.21652704021898023</v>
      </c>
      <c r="I322" t="s">
        <v>1238</v>
      </c>
      <c r="J322" s="8">
        <v>5</v>
      </c>
      <c r="K322">
        <v>24</v>
      </c>
      <c r="L322" s="11">
        <v>2.4862310159599593E-3</v>
      </c>
      <c r="M322" s="12">
        <v>0.38225801870384335</v>
      </c>
      <c r="N322" t="s">
        <v>1238</v>
      </c>
      <c r="O322" t="s">
        <v>1252</v>
      </c>
      <c r="P322" s="23">
        <f>VLOOKUP(A322,вариация!A$2:G$805,2,FALSE)</f>
        <v>0.55901699437494734</v>
      </c>
      <c r="Q322" t="str">
        <f>IF(вариация!H323="Yes",IF(P325&lt;0.1,"X",IF(P325&lt;0.25,"Y","Z")),"")</f>
        <v>Z</v>
      </c>
      <c r="R322" t="str">
        <f>O322&amp;Q322</f>
        <v>AAAZ</v>
      </c>
    </row>
    <row r="323" spans="1:18" x14ac:dyDescent="0.25">
      <c r="A323" s="7" t="s">
        <v>53</v>
      </c>
      <c r="B323" s="8">
        <v>1</v>
      </c>
      <c r="C323" s="11">
        <v>6.2155775398999025E-4</v>
      </c>
      <c r="D323" s="12">
        <v>0.81442712505307735</v>
      </c>
      <c r="E323" t="s">
        <v>1239</v>
      </c>
      <c r="F323" s="8">
        <v>123</v>
      </c>
      <c r="G323" s="11">
        <v>3.516617959507095E-4</v>
      </c>
      <c r="H323" s="12">
        <v>0.95218738702731964</v>
      </c>
      <c r="I323" t="s">
        <v>1240</v>
      </c>
      <c r="J323" s="8">
        <v>5</v>
      </c>
      <c r="K323">
        <v>6</v>
      </c>
      <c r="L323" s="11">
        <v>6.2155775398998981E-4</v>
      </c>
      <c r="M323" s="12">
        <v>0.81442712505307724</v>
      </c>
      <c r="N323" t="s">
        <v>1239</v>
      </c>
      <c r="O323" t="s">
        <v>1257</v>
      </c>
      <c r="P323" s="23">
        <f>VLOOKUP(A323,вариация!A$2:G$805,2,FALSE)</f>
        <v>2.2360679774997894</v>
      </c>
      <c r="Q323" t="str">
        <f>IF(вариация!H324="Yes",IF(P326&lt;0.1,"X",IF(P326&lt;0.25,"Y","Z")),"")</f>
        <v/>
      </c>
      <c r="R323" t="str">
        <f>O323&amp;Q323</f>
        <v>BCB</v>
      </c>
    </row>
    <row r="324" spans="1:18" x14ac:dyDescent="0.25">
      <c r="A324" s="7" t="s">
        <v>38</v>
      </c>
      <c r="B324" s="8">
        <v>1</v>
      </c>
      <c r="C324" s="11">
        <v>6.2155775398999025E-4</v>
      </c>
      <c r="D324" s="12">
        <v>0.81504868280706733</v>
      </c>
      <c r="E324" t="s">
        <v>1239</v>
      </c>
      <c r="F324" s="8">
        <v>645</v>
      </c>
      <c r="G324" s="11">
        <v>1.8440801494976229E-3</v>
      </c>
      <c r="H324" s="12">
        <v>0.55498459047853921</v>
      </c>
      <c r="I324" t="s">
        <v>1238</v>
      </c>
      <c r="J324" s="8">
        <v>5</v>
      </c>
      <c r="K324">
        <v>6</v>
      </c>
      <c r="L324" s="11">
        <v>6.2155775398998981E-4</v>
      </c>
      <c r="M324" s="12">
        <v>0.81504868280706722</v>
      </c>
      <c r="N324" t="s">
        <v>1239</v>
      </c>
      <c r="O324" t="s">
        <v>1255</v>
      </c>
      <c r="P324" s="23">
        <f>VLOOKUP(A324,вариация!A$2:G$805,2,FALSE)</f>
        <v>2.2360679774997894</v>
      </c>
      <c r="Q324" t="str">
        <f>IF(вариация!H325="Yes",IF(P327&lt;0.1,"X",IF(P327&lt;0.25,"Y","Z")),"")</f>
        <v/>
      </c>
      <c r="R324" t="str">
        <f>O324&amp;Q324</f>
        <v>BAB</v>
      </c>
    </row>
    <row r="325" spans="1:18" x14ac:dyDescent="0.25">
      <c r="A325" s="7" t="s">
        <v>1198</v>
      </c>
      <c r="B325" s="8">
        <v>1</v>
      </c>
      <c r="C325" s="11">
        <v>6.2155775398999025E-4</v>
      </c>
      <c r="D325" s="12">
        <v>0.8156702405610573</v>
      </c>
      <c r="E325" t="s">
        <v>1239</v>
      </c>
      <c r="F325" s="8">
        <v>390</v>
      </c>
      <c r="G325" s="11">
        <v>1.1150252066729812E-3</v>
      </c>
      <c r="H325" s="12">
        <v>0.74269941207170009</v>
      </c>
      <c r="I325" t="s">
        <v>1238</v>
      </c>
      <c r="J325" s="8">
        <v>5</v>
      </c>
      <c r="K325">
        <v>6</v>
      </c>
      <c r="L325" s="11">
        <v>6.2155775398998981E-4</v>
      </c>
      <c r="M325" s="12">
        <v>0.81567024056105719</v>
      </c>
      <c r="N325" t="s">
        <v>1239</v>
      </c>
      <c r="O325" t="s">
        <v>1255</v>
      </c>
      <c r="P325" s="23">
        <f>VLOOKUP(A325,вариация!A$2:G$805,2,FALSE)</f>
        <v>2.2360679774997894</v>
      </c>
      <c r="Q325" t="str">
        <f>IF(вариация!H326="Yes",IF(P328&lt;0.1,"X",IF(P328&lt;0.25,"Y","Z")),"")</f>
        <v/>
      </c>
      <c r="R325" t="str">
        <f>O325&amp;Q325</f>
        <v>BAB</v>
      </c>
    </row>
    <row r="326" spans="1:18" x14ac:dyDescent="0.25">
      <c r="A326" s="7" t="s">
        <v>1149</v>
      </c>
      <c r="B326" s="8">
        <v>1</v>
      </c>
      <c r="C326" s="11">
        <v>6.2155775398999025E-4</v>
      </c>
      <c r="D326" s="12">
        <v>0.81629179831504728</v>
      </c>
      <c r="E326" t="s">
        <v>1239</v>
      </c>
      <c r="F326" s="8">
        <v>240</v>
      </c>
      <c r="G326" s="11">
        <v>6.861693579526039E-4</v>
      </c>
      <c r="H326" s="12">
        <v>0.87882398904940329</v>
      </c>
      <c r="I326" t="s">
        <v>1239</v>
      </c>
      <c r="J326" s="8">
        <v>5</v>
      </c>
      <c r="K326">
        <v>6</v>
      </c>
      <c r="L326" s="11">
        <v>6.2155775398998981E-4</v>
      </c>
      <c r="M326" s="12">
        <v>0.81629179831504717</v>
      </c>
      <c r="N326" t="s">
        <v>1239</v>
      </c>
      <c r="O326" t="s">
        <v>1256</v>
      </c>
      <c r="P326" s="23">
        <f>VLOOKUP(A326,вариация!A$2:G$805,2,FALSE)</f>
        <v>2.2360679774997894</v>
      </c>
      <c r="Q326" t="str">
        <f>IF(вариация!H327="Yes",IF(P329&lt;0.1,"X",IF(P329&lt;0.25,"Y","Z")),"")</f>
        <v/>
      </c>
      <c r="R326" t="str">
        <f>O326&amp;Q326</f>
        <v>BBB</v>
      </c>
    </row>
    <row r="327" spans="1:18" x14ac:dyDescent="0.25">
      <c r="A327" s="7" t="s">
        <v>283</v>
      </c>
      <c r="B327" s="8">
        <v>1</v>
      </c>
      <c r="C327" s="11">
        <v>6.2155775398999025E-4</v>
      </c>
      <c r="D327" s="12">
        <v>0.81691335606903726</v>
      </c>
      <c r="E327" t="s">
        <v>1239</v>
      </c>
      <c r="F327" s="8">
        <v>1260</v>
      </c>
      <c r="G327" s="11">
        <v>3.6023891292511702E-3</v>
      </c>
      <c r="H327" s="12">
        <v>0.33604597938302128</v>
      </c>
      <c r="I327" t="s">
        <v>1238</v>
      </c>
      <c r="J327" s="8">
        <v>5</v>
      </c>
      <c r="K327">
        <v>6</v>
      </c>
      <c r="L327" s="11">
        <v>6.2155775398998981E-4</v>
      </c>
      <c r="M327" s="12">
        <v>0.81691335606903714</v>
      </c>
      <c r="N327" t="s">
        <v>1239</v>
      </c>
      <c r="O327" t="s">
        <v>1255</v>
      </c>
      <c r="P327" s="23">
        <f>VLOOKUP(A327,вариация!A$2:G$805,2,FALSE)</f>
        <v>2.2360679774997894</v>
      </c>
      <c r="Q327" t="str">
        <f>IF(вариация!H328="Yes",IF(P330&lt;0.1,"X",IF(P330&lt;0.25,"Y","Z")),"")</f>
        <v/>
      </c>
      <c r="R327" t="str">
        <f>O327&amp;Q327</f>
        <v>BAB</v>
      </c>
    </row>
    <row r="328" spans="1:18" x14ac:dyDescent="0.25">
      <c r="A328" s="7" t="s">
        <v>337</v>
      </c>
      <c r="B328" s="8">
        <v>3</v>
      </c>
      <c r="C328" s="11">
        <v>1.8646732619699705E-3</v>
      </c>
      <c r="D328" s="12">
        <v>0.45311560265870271</v>
      </c>
      <c r="E328" t="s">
        <v>1238</v>
      </c>
      <c r="F328" s="8">
        <v>522</v>
      </c>
      <c r="G328" s="11">
        <v>1.4924183535469134E-3</v>
      </c>
      <c r="H328" s="12">
        <v>0.63931940762369033</v>
      </c>
      <c r="I328" t="s">
        <v>1238</v>
      </c>
      <c r="J328" s="8">
        <v>5</v>
      </c>
      <c r="K328">
        <v>18</v>
      </c>
      <c r="L328" s="11">
        <v>1.8646732619699697E-3</v>
      </c>
      <c r="M328" s="12">
        <v>0.45311560265870254</v>
      </c>
      <c r="N328" t="s">
        <v>1238</v>
      </c>
      <c r="O328" t="s">
        <v>1252</v>
      </c>
      <c r="P328" s="23">
        <f>VLOOKUP(A328,вариация!A$2:G$805,2,FALSE)</f>
        <v>2.2360679774997898</v>
      </c>
      <c r="Q328" t="str">
        <f>IF(вариация!H329="Yes",IF(P331&lt;0.1,"X",IF(P331&lt;0.25,"Y","Z")),"")</f>
        <v/>
      </c>
      <c r="R328" t="str">
        <f>O328&amp;Q328</f>
        <v>AAA</v>
      </c>
    </row>
    <row r="329" spans="1:18" x14ac:dyDescent="0.25">
      <c r="A329" s="7" t="s">
        <v>936</v>
      </c>
      <c r="B329" s="8">
        <v>1</v>
      </c>
      <c r="C329" s="11">
        <v>6.2155775398999025E-4</v>
      </c>
      <c r="D329" s="12">
        <v>0.81753491382302723</v>
      </c>
      <c r="E329" t="s">
        <v>1239</v>
      </c>
      <c r="F329" s="8">
        <v>237</v>
      </c>
      <c r="G329" s="11">
        <v>6.7759224097819625E-4</v>
      </c>
      <c r="H329" s="12">
        <v>0.88155437128625647</v>
      </c>
      <c r="I329" t="s">
        <v>1239</v>
      </c>
      <c r="J329" s="8">
        <v>5</v>
      </c>
      <c r="K329">
        <v>6</v>
      </c>
      <c r="L329" s="11">
        <v>6.2155775398998981E-4</v>
      </c>
      <c r="M329" s="12">
        <v>0.81753491382302712</v>
      </c>
      <c r="N329" t="s">
        <v>1239</v>
      </c>
      <c r="O329" t="s">
        <v>1256</v>
      </c>
      <c r="P329" s="23">
        <f>VLOOKUP(A329,вариация!A$2:G$805,2,FALSE)</f>
        <v>2.2360679774997894</v>
      </c>
      <c r="Q329" t="str">
        <f>IF(вариация!H330="Yes",IF(P332&lt;0.1,"X",IF(P332&lt;0.25,"Y","Z")),"")</f>
        <v/>
      </c>
      <c r="R329" t="str">
        <f>O329&amp;Q329</f>
        <v>BBB</v>
      </c>
    </row>
    <row r="330" spans="1:18" x14ac:dyDescent="0.25">
      <c r="A330" s="7" t="s">
        <v>1213</v>
      </c>
      <c r="B330" s="8">
        <v>1</v>
      </c>
      <c r="C330" s="11">
        <v>6.2155775398999025E-4</v>
      </c>
      <c r="D330" s="12">
        <v>0.81815647157701721</v>
      </c>
      <c r="E330" t="s">
        <v>1239</v>
      </c>
      <c r="F330" s="8">
        <v>1812</v>
      </c>
      <c r="G330" s="11">
        <v>5.1805786525421591E-3</v>
      </c>
      <c r="H330" s="12">
        <v>0.19621642722358315</v>
      </c>
      <c r="I330" t="s">
        <v>1238</v>
      </c>
      <c r="J330" s="8">
        <v>5</v>
      </c>
      <c r="K330">
        <v>6</v>
      </c>
      <c r="L330" s="11">
        <v>6.2155775398998981E-4</v>
      </c>
      <c r="M330" s="12">
        <v>0.8181564715770171</v>
      </c>
      <c r="N330" t="s">
        <v>1239</v>
      </c>
      <c r="O330" t="s">
        <v>1255</v>
      </c>
      <c r="P330" s="23">
        <f>VLOOKUP(A330,вариация!A$2:G$805,2,FALSE)</f>
        <v>2.2360679774997894</v>
      </c>
      <c r="Q330" t="str">
        <f>IF(вариация!H331="Yes",IF(P333&lt;0.1,"X",IF(P333&lt;0.25,"Y","Z")),"")</f>
        <v/>
      </c>
      <c r="R330" t="str">
        <f>O330&amp;Q330</f>
        <v>BAB</v>
      </c>
    </row>
    <row r="331" spans="1:18" x14ac:dyDescent="0.25">
      <c r="A331" s="7" t="s">
        <v>280</v>
      </c>
      <c r="B331" s="8">
        <v>2</v>
      </c>
      <c r="C331" s="11">
        <v>1.2431155079799805E-3</v>
      </c>
      <c r="D331" s="12">
        <v>0.59483077056841871</v>
      </c>
      <c r="E331" t="s">
        <v>1238</v>
      </c>
      <c r="F331" s="8">
        <v>668</v>
      </c>
      <c r="G331" s="11">
        <v>1.9098380463014139E-3</v>
      </c>
      <c r="H331" s="12">
        <v>0.54187017858367126</v>
      </c>
      <c r="I331" t="s">
        <v>1238</v>
      </c>
      <c r="J331" s="8">
        <v>5</v>
      </c>
      <c r="K331">
        <v>12</v>
      </c>
      <c r="L331" s="11">
        <v>1.2431155079799796E-3</v>
      </c>
      <c r="M331" s="12">
        <v>0.5948307705684186</v>
      </c>
      <c r="N331" t="s">
        <v>1238</v>
      </c>
      <c r="O331" t="s">
        <v>1252</v>
      </c>
      <c r="P331" s="23">
        <f>VLOOKUP(A331,вариация!A$2:G$805,2,FALSE)</f>
        <v>1.3693063937629151</v>
      </c>
      <c r="Q331" t="str">
        <f>IF(вариация!H332="Yes",IF(P334&lt;0.1,"X",IF(P334&lt;0.25,"Y","Z")),"")</f>
        <v/>
      </c>
      <c r="R331" t="str">
        <f>O331&amp;Q331</f>
        <v>AAA</v>
      </c>
    </row>
    <row r="332" spans="1:18" x14ac:dyDescent="0.25">
      <c r="A332" s="7" t="s">
        <v>196</v>
      </c>
      <c r="B332" s="8">
        <v>1</v>
      </c>
      <c r="C332" s="11">
        <v>6.2155775398999025E-4</v>
      </c>
      <c r="D332" s="12">
        <v>0.81877802933100718</v>
      </c>
      <c r="E332" t="s">
        <v>1239</v>
      </c>
      <c r="F332" s="8">
        <v>578</v>
      </c>
      <c r="G332" s="11">
        <v>1.6525245370691876E-3</v>
      </c>
      <c r="H332" s="12">
        <v>0.60504922225815594</v>
      </c>
      <c r="I332" t="s">
        <v>1238</v>
      </c>
      <c r="J332" s="8">
        <v>5</v>
      </c>
      <c r="K332">
        <v>6</v>
      </c>
      <c r="L332" s="11">
        <v>6.2155775398998981E-4</v>
      </c>
      <c r="M332" s="12">
        <v>0.81877802933100707</v>
      </c>
      <c r="N332" t="s">
        <v>1239</v>
      </c>
      <c r="O332" t="s">
        <v>1255</v>
      </c>
      <c r="P332" s="23">
        <f>VLOOKUP(A332,вариация!A$2:G$805,2,FALSE)</f>
        <v>2.2360679774997894</v>
      </c>
      <c r="Q332" t="str">
        <f>IF(вариация!H333="Yes",IF(P335&lt;0.1,"X",IF(P335&lt;0.25,"Y","Z")),"")</f>
        <v/>
      </c>
      <c r="R332" t="str">
        <f>O332&amp;Q332</f>
        <v>BAB</v>
      </c>
    </row>
    <row r="333" spans="1:18" x14ac:dyDescent="0.25">
      <c r="A333" s="7" t="s">
        <v>924</v>
      </c>
      <c r="B333" s="8">
        <v>1</v>
      </c>
      <c r="C333" s="11">
        <v>6.2155775398999025E-4</v>
      </c>
      <c r="D333" s="12">
        <v>0.81939958708499716</v>
      </c>
      <c r="E333" t="s">
        <v>1239</v>
      </c>
      <c r="F333" s="8">
        <v>214.44</v>
      </c>
      <c r="G333" s="11">
        <v>6.1309232133065152E-4</v>
      </c>
      <c r="H333" s="12">
        <v>0.89503305329802885</v>
      </c>
      <c r="I333" t="s">
        <v>1239</v>
      </c>
      <c r="J333" s="8">
        <v>5</v>
      </c>
      <c r="K333">
        <v>6</v>
      </c>
      <c r="L333" s="11">
        <v>6.2155775398998981E-4</v>
      </c>
      <c r="M333" s="12">
        <v>0.81939958708499705</v>
      </c>
      <c r="N333" t="s">
        <v>1239</v>
      </c>
      <c r="O333" t="s">
        <v>1256</v>
      </c>
      <c r="P333" s="23">
        <f>VLOOKUP(A333,вариация!A$2:G$805,2,FALSE)</f>
        <v>2.2360679774997894</v>
      </c>
      <c r="Q333" t="str">
        <f>IF(вариация!H334="Yes",IF(P336&lt;0.1,"X",IF(P336&lt;0.25,"Y","Z")),"")</f>
        <v/>
      </c>
      <c r="R333" t="str">
        <f>O333&amp;Q333</f>
        <v>BBB</v>
      </c>
    </row>
    <row r="334" spans="1:18" x14ac:dyDescent="0.25">
      <c r="A334" s="7" t="s">
        <v>557</v>
      </c>
      <c r="B334" s="8">
        <v>1</v>
      </c>
      <c r="C334" s="11">
        <v>6.2155775398999025E-4</v>
      </c>
      <c r="D334" s="12">
        <v>0.82002114483898714</v>
      </c>
      <c r="E334" t="s">
        <v>1239</v>
      </c>
      <c r="F334" s="8">
        <v>214</v>
      </c>
      <c r="G334" s="11">
        <v>6.1183434417440513E-4</v>
      </c>
      <c r="H334" s="12">
        <v>0.89564488764220329</v>
      </c>
      <c r="I334" t="s">
        <v>1239</v>
      </c>
      <c r="J334" s="8">
        <v>5</v>
      </c>
      <c r="K334">
        <v>6</v>
      </c>
      <c r="L334" s="11">
        <v>6.2155775398998981E-4</v>
      </c>
      <c r="M334" s="12">
        <v>0.82002114483898703</v>
      </c>
      <c r="N334" t="s">
        <v>1239</v>
      </c>
      <c r="O334" t="s">
        <v>1256</v>
      </c>
      <c r="P334" s="23">
        <f>VLOOKUP(A334,вариация!A$2:G$805,2,FALSE)</f>
        <v>2.2360679774997894</v>
      </c>
      <c r="Q334" t="str">
        <f>IF(вариация!H335="Yes",IF(P337&lt;0.1,"X",IF(P337&lt;0.25,"Y","Z")),"")</f>
        <v/>
      </c>
      <c r="R334" t="str">
        <f>O334&amp;Q334</f>
        <v>BBB</v>
      </c>
    </row>
    <row r="335" spans="1:18" x14ac:dyDescent="0.25">
      <c r="A335" s="7" t="s">
        <v>1156</v>
      </c>
      <c r="B335" s="8">
        <v>1</v>
      </c>
      <c r="C335" s="11">
        <v>6.2155775398999025E-4</v>
      </c>
      <c r="D335" s="12">
        <v>0.82064270259297711</v>
      </c>
      <c r="E335" t="s">
        <v>1239</v>
      </c>
      <c r="F335" s="8">
        <v>310.5</v>
      </c>
      <c r="G335" s="11">
        <v>8.8773160685118118E-4</v>
      </c>
      <c r="H335" s="12">
        <v>0.81269341647404814</v>
      </c>
      <c r="I335" t="s">
        <v>1239</v>
      </c>
      <c r="J335" s="8">
        <v>5</v>
      </c>
      <c r="K335">
        <v>6</v>
      </c>
      <c r="L335" s="11">
        <v>6.2155775398998981E-4</v>
      </c>
      <c r="M335" s="12">
        <v>0.820642702592977</v>
      </c>
      <c r="N335" t="s">
        <v>1239</v>
      </c>
      <c r="O335" t="s">
        <v>1256</v>
      </c>
      <c r="P335" s="23">
        <f>VLOOKUP(A335,вариация!A$2:G$805,2,FALSE)</f>
        <v>2.2360679774997894</v>
      </c>
      <c r="Q335" t="str">
        <f>IF(вариация!H336="Yes",IF(P338&lt;0.1,"X",IF(P338&lt;0.25,"Y","Z")),"")</f>
        <v/>
      </c>
      <c r="R335" t="str">
        <f>O335&amp;Q335</f>
        <v>BBB</v>
      </c>
    </row>
    <row r="336" spans="1:18" x14ac:dyDescent="0.25">
      <c r="A336" s="7" t="s">
        <v>365</v>
      </c>
      <c r="B336" s="8">
        <v>1</v>
      </c>
      <c r="C336" s="11">
        <v>6.2155775398999025E-4</v>
      </c>
      <c r="D336" s="12">
        <v>0.82126426034696709</v>
      </c>
      <c r="E336" t="s">
        <v>1239</v>
      </c>
      <c r="F336" s="8">
        <v>197</v>
      </c>
      <c r="G336" s="11">
        <v>5.63230681319429E-4</v>
      </c>
      <c r="H336" s="12">
        <v>0.90795445142958386</v>
      </c>
      <c r="I336" t="s">
        <v>1239</v>
      </c>
      <c r="J336" s="8">
        <v>5</v>
      </c>
      <c r="K336">
        <v>6</v>
      </c>
      <c r="L336" s="11">
        <v>6.2155775398998981E-4</v>
      </c>
      <c r="M336" s="12">
        <v>0.82126426034696698</v>
      </c>
      <c r="N336" t="s">
        <v>1239</v>
      </c>
      <c r="O336" t="s">
        <v>1256</v>
      </c>
      <c r="P336" s="23">
        <f>VLOOKUP(A336,вариация!A$2:G$805,2,FALSE)</f>
        <v>2.2360679774997894</v>
      </c>
      <c r="Q336" t="str">
        <f>IF(вариация!H337="Yes",IF(P339&lt;0.1,"X",IF(P339&lt;0.25,"Y","Z")),"")</f>
        <v/>
      </c>
      <c r="R336" t="str">
        <f>O336&amp;Q336</f>
        <v>BBB</v>
      </c>
    </row>
    <row r="337" spans="1:18" x14ac:dyDescent="0.25">
      <c r="A337" s="7" t="s">
        <v>156</v>
      </c>
      <c r="B337" s="8">
        <v>9</v>
      </c>
      <c r="C337" s="11">
        <v>5.5940197859099122E-3</v>
      </c>
      <c r="D337" s="12">
        <v>0.22189611817442645</v>
      </c>
      <c r="E337" t="s">
        <v>1238</v>
      </c>
      <c r="F337" s="8">
        <v>1370</v>
      </c>
      <c r="G337" s="11">
        <v>3.9168834183127806E-3</v>
      </c>
      <c r="H337" s="12">
        <v>0.30996945668235854</v>
      </c>
      <c r="I337" t="s">
        <v>1238</v>
      </c>
      <c r="J337" s="8">
        <v>5</v>
      </c>
      <c r="K337">
        <v>54</v>
      </c>
      <c r="L337" s="11">
        <v>5.5940197859099088E-3</v>
      </c>
      <c r="M337" s="12">
        <v>0.22189611817442631</v>
      </c>
      <c r="N337" t="s">
        <v>1238</v>
      </c>
      <c r="O337" t="s">
        <v>1252</v>
      </c>
      <c r="P337" s="23">
        <f>VLOOKUP(A337,вариация!A$2:G$805,2,FALSE)</f>
        <v>0.99380798999990649</v>
      </c>
      <c r="Q337" t="str">
        <f>IF(вариация!H338="Yes",IF(P340&lt;0.1,"X",IF(P340&lt;0.25,"Y","Z")),"")</f>
        <v>Z</v>
      </c>
      <c r="R337" t="str">
        <f>O337&amp;Q337</f>
        <v>AAAZ</v>
      </c>
    </row>
    <row r="338" spans="1:18" x14ac:dyDescent="0.25">
      <c r="A338" s="7" t="s">
        <v>225</v>
      </c>
      <c r="B338" s="8">
        <v>11</v>
      </c>
      <c r="C338" s="11">
        <v>6.8371352938898919E-3</v>
      </c>
      <c r="D338" s="12">
        <v>0.18398109518103709</v>
      </c>
      <c r="E338" t="s">
        <v>1238</v>
      </c>
      <c r="F338" s="8">
        <v>141</v>
      </c>
      <c r="G338" s="11">
        <v>4.0312449779715477E-4</v>
      </c>
      <c r="H338" s="12">
        <v>0.93983027742151115</v>
      </c>
      <c r="I338" t="s">
        <v>1239</v>
      </c>
      <c r="J338" s="8">
        <v>5</v>
      </c>
      <c r="K338">
        <v>66</v>
      </c>
      <c r="L338" s="11">
        <v>6.8371352938898884E-3</v>
      </c>
      <c r="M338" s="12">
        <v>0.18398109518103695</v>
      </c>
      <c r="N338" t="s">
        <v>1238</v>
      </c>
      <c r="O338" t="s">
        <v>1253</v>
      </c>
      <c r="P338" s="23">
        <f>VLOOKUP(A338,вариация!A$2:G$805,2,FALSE)</f>
        <v>1.036523113726489</v>
      </c>
      <c r="Q338" t="str">
        <f>IF(вариация!H339="Yes",IF(P341&lt;0.1,"X",IF(P341&lt;0.25,"Y","Z")),"")</f>
        <v>Z</v>
      </c>
      <c r="R338" t="str">
        <f>O338&amp;Q338</f>
        <v>ABAZ</v>
      </c>
    </row>
    <row r="339" spans="1:18" x14ac:dyDescent="0.25">
      <c r="A339" s="7" t="s">
        <v>440</v>
      </c>
      <c r="B339" s="8">
        <v>2</v>
      </c>
      <c r="C339" s="11">
        <v>1.2431155079799805E-3</v>
      </c>
      <c r="D339" s="12">
        <v>0.59607388607639866</v>
      </c>
      <c r="E339" t="s">
        <v>1238</v>
      </c>
      <c r="F339" s="8">
        <v>26</v>
      </c>
      <c r="G339" s="11">
        <v>7.4335013778198755E-5</v>
      </c>
      <c r="H339" s="12">
        <v>0.99944557515877586</v>
      </c>
      <c r="I339" t="s">
        <v>1240</v>
      </c>
      <c r="J339" s="8">
        <v>5</v>
      </c>
      <c r="K339">
        <v>12</v>
      </c>
      <c r="L339" s="11">
        <v>1.2431155079799796E-3</v>
      </c>
      <c r="M339" s="12">
        <v>0.59607388607639855</v>
      </c>
      <c r="N339" t="s">
        <v>1238</v>
      </c>
      <c r="O339" t="s">
        <v>1254</v>
      </c>
      <c r="P339" s="23">
        <f>VLOOKUP(A339,вариация!A$2:G$805,2,FALSE)</f>
        <v>1.3693063937629151</v>
      </c>
      <c r="Q339" t="str">
        <f>IF(вариация!H340="Yes",IF(P342&lt;0.1,"X",IF(P342&lt;0.25,"Y","Z")),"")</f>
        <v/>
      </c>
      <c r="R339" t="str">
        <f>O339&amp;Q339</f>
        <v>ACA</v>
      </c>
    </row>
    <row r="340" spans="1:18" x14ac:dyDescent="0.25">
      <c r="A340" s="7" t="s">
        <v>223</v>
      </c>
      <c r="B340" s="8">
        <v>3</v>
      </c>
      <c r="C340" s="11">
        <v>1.8646732619699705E-3</v>
      </c>
      <c r="D340" s="12">
        <v>0.45498027592067269</v>
      </c>
      <c r="E340" t="s">
        <v>1238</v>
      </c>
      <c r="F340" s="8">
        <v>33</v>
      </c>
      <c r="G340" s="11">
        <v>9.4348286718483034E-5</v>
      </c>
      <c r="H340" s="12">
        <v>0.99854526378036212</v>
      </c>
      <c r="I340" t="s">
        <v>1240</v>
      </c>
      <c r="J340" s="8">
        <v>5</v>
      </c>
      <c r="K340">
        <v>18</v>
      </c>
      <c r="L340" s="11">
        <v>1.8646732619699697E-3</v>
      </c>
      <c r="M340" s="12">
        <v>0.45498027592067253</v>
      </c>
      <c r="N340" t="s">
        <v>1238</v>
      </c>
      <c r="O340" t="s">
        <v>1254</v>
      </c>
      <c r="P340" s="23">
        <f>VLOOKUP(A340,вариация!A$2:G$805,2,FALSE)</f>
        <v>2.2360679774997898</v>
      </c>
      <c r="Q340" t="str">
        <f>IF(вариация!H341="Yes",IF(P343&lt;0.1,"X",IF(P343&lt;0.25,"Y","Z")),"")</f>
        <v/>
      </c>
      <c r="R340" t="str">
        <f>O340&amp;Q340</f>
        <v>ACA</v>
      </c>
    </row>
    <row r="341" spans="1:18" x14ac:dyDescent="0.25">
      <c r="A341" s="7" t="s">
        <v>663</v>
      </c>
      <c r="B341" s="8">
        <v>1</v>
      </c>
      <c r="C341" s="11">
        <v>6.2155775398999025E-4</v>
      </c>
      <c r="D341" s="12">
        <v>0.82188581810095707</v>
      </c>
      <c r="E341" t="s">
        <v>1239</v>
      </c>
      <c r="F341" s="8">
        <v>614</v>
      </c>
      <c r="G341" s="11">
        <v>1.7554499407620781E-3</v>
      </c>
      <c r="H341" s="12">
        <v>0.5692855035138682</v>
      </c>
      <c r="I341" t="s">
        <v>1238</v>
      </c>
      <c r="J341" s="8">
        <v>5</v>
      </c>
      <c r="K341">
        <v>6</v>
      </c>
      <c r="L341" s="11">
        <v>6.2155775398998981E-4</v>
      </c>
      <c r="M341" s="12">
        <v>0.82188581810095696</v>
      </c>
      <c r="N341" t="s">
        <v>1239</v>
      </c>
      <c r="O341" t="s">
        <v>1255</v>
      </c>
      <c r="P341" s="23">
        <f>VLOOKUP(A341,вариация!A$2:G$805,2,FALSE)</f>
        <v>2.2360679774997894</v>
      </c>
      <c r="Q341" t="str">
        <f>IF(вариация!H342="Yes",IF(P344&lt;0.1,"X",IF(P344&lt;0.25,"Y","Z")),"")</f>
        <v/>
      </c>
      <c r="R341" t="str">
        <f>O341&amp;Q341</f>
        <v>BAB</v>
      </c>
    </row>
    <row r="342" spans="1:18" x14ac:dyDescent="0.25">
      <c r="A342" s="7" t="s">
        <v>334</v>
      </c>
      <c r="B342" s="8">
        <v>14</v>
      </c>
      <c r="C342" s="11">
        <v>8.7018085558598635E-3</v>
      </c>
      <c r="D342" s="12">
        <v>0.128662455075928</v>
      </c>
      <c r="E342" t="s">
        <v>1238</v>
      </c>
      <c r="F342" s="8">
        <v>353</v>
      </c>
      <c r="G342" s="11">
        <v>1.0092407639886215E-3</v>
      </c>
      <c r="H342" s="12">
        <v>0.77654469953916871</v>
      </c>
      <c r="I342" t="s">
        <v>1238</v>
      </c>
      <c r="J342" s="8">
        <v>5</v>
      </c>
      <c r="K342">
        <v>84</v>
      </c>
      <c r="L342" s="11">
        <v>8.7018085558598583E-3</v>
      </c>
      <c r="M342" s="12">
        <v>0.12866245507592788</v>
      </c>
      <c r="N342" t="s">
        <v>1238</v>
      </c>
      <c r="O342" t="s">
        <v>1252</v>
      </c>
      <c r="P342" s="23">
        <f>VLOOKUP(A342,вариация!A$2:G$805,2,FALSE)</f>
        <v>0.85266688473666585</v>
      </c>
      <c r="Q342" t="str">
        <f>IF(вариация!H343="Yes",IF(P345&lt;0.1,"X",IF(P345&lt;0.25,"Y","Z")),"")</f>
        <v>Z</v>
      </c>
      <c r="R342" t="str">
        <f>O342&amp;Q342</f>
        <v>AAAZ</v>
      </c>
    </row>
    <row r="343" spans="1:18" x14ac:dyDescent="0.25">
      <c r="A343" s="7" t="s">
        <v>724</v>
      </c>
      <c r="B343" s="8">
        <v>2</v>
      </c>
      <c r="C343" s="11">
        <v>1.2431155079799805E-3</v>
      </c>
      <c r="D343" s="12">
        <v>0.59731700158437862</v>
      </c>
      <c r="E343" t="s">
        <v>1238</v>
      </c>
      <c r="F343" s="8">
        <v>292</v>
      </c>
      <c r="G343" s="11">
        <v>8.3483938550900133E-4</v>
      </c>
      <c r="H343" s="12">
        <v>0.82814357741277789</v>
      </c>
      <c r="I343" t="s">
        <v>1239</v>
      </c>
      <c r="J343" s="8">
        <v>5</v>
      </c>
      <c r="K343">
        <v>12</v>
      </c>
      <c r="L343" s="11">
        <v>1.2431155079799796E-3</v>
      </c>
      <c r="M343" s="12">
        <v>0.5973170015843785</v>
      </c>
      <c r="N343" t="s">
        <v>1238</v>
      </c>
      <c r="O343" t="s">
        <v>1253</v>
      </c>
      <c r="P343" s="23">
        <f>VLOOKUP(A343,вариация!A$2:G$805,2,FALSE)</f>
        <v>2.2360679774997894</v>
      </c>
      <c r="Q343" t="str">
        <f>IF(вариация!H344="Yes",IF(P346&lt;0.1,"X",IF(P346&lt;0.25,"Y","Z")),"")</f>
        <v/>
      </c>
      <c r="R343" t="str">
        <f>O343&amp;Q343</f>
        <v>ABA</v>
      </c>
    </row>
    <row r="344" spans="1:18" x14ac:dyDescent="0.25">
      <c r="A344" s="7" t="s">
        <v>976</v>
      </c>
      <c r="B344" s="8">
        <v>1</v>
      </c>
      <c r="C344" s="11">
        <v>6.2155775398999025E-4</v>
      </c>
      <c r="D344" s="12">
        <v>0.82250737585494704</v>
      </c>
      <c r="E344" t="s">
        <v>1239</v>
      </c>
      <c r="F344" s="8">
        <v>94</v>
      </c>
      <c r="G344" s="11">
        <v>2.6874966519810318E-4</v>
      </c>
      <c r="H344" s="12">
        <v>0.97337844108013993</v>
      </c>
      <c r="I344" t="s">
        <v>1240</v>
      </c>
      <c r="J344" s="8">
        <v>5</v>
      </c>
      <c r="K344">
        <v>6</v>
      </c>
      <c r="L344" s="11">
        <v>6.2155775398998981E-4</v>
      </c>
      <c r="M344" s="12">
        <v>0.82250737585494693</v>
      </c>
      <c r="N344" t="s">
        <v>1239</v>
      </c>
      <c r="O344" t="s">
        <v>1257</v>
      </c>
      <c r="P344" s="23">
        <f>VLOOKUP(A344,вариация!A$2:G$805,2,FALSE)</f>
        <v>2.2360679774997894</v>
      </c>
      <c r="Q344" t="str">
        <f>IF(вариация!H345="Yes",IF(P347&lt;0.1,"X",IF(P347&lt;0.25,"Y","Z")),"")</f>
        <v/>
      </c>
      <c r="R344" t="str">
        <f>O344&amp;Q344</f>
        <v>BCB</v>
      </c>
    </row>
    <row r="345" spans="1:18" x14ac:dyDescent="0.25">
      <c r="A345" s="7" t="s">
        <v>873</v>
      </c>
      <c r="B345" s="8">
        <v>1</v>
      </c>
      <c r="C345" s="11">
        <v>6.2155775398999025E-4</v>
      </c>
      <c r="D345" s="12">
        <v>0.82312893360893702</v>
      </c>
      <c r="E345" t="s">
        <v>1239</v>
      </c>
      <c r="F345" s="8">
        <v>398</v>
      </c>
      <c r="G345" s="11">
        <v>1.1378975186047348E-3</v>
      </c>
      <c r="H345" s="12">
        <v>0.73595779812981588</v>
      </c>
      <c r="I345" t="s">
        <v>1238</v>
      </c>
      <c r="J345" s="8">
        <v>5</v>
      </c>
      <c r="K345">
        <v>6</v>
      </c>
      <c r="L345" s="11">
        <v>6.2155775398998981E-4</v>
      </c>
      <c r="M345" s="12">
        <v>0.82312893360893691</v>
      </c>
      <c r="N345" t="s">
        <v>1239</v>
      </c>
      <c r="O345" t="s">
        <v>1255</v>
      </c>
      <c r="P345" s="23">
        <f>VLOOKUP(A345,вариация!A$2:G$805,2,FALSE)</f>
        <v>2.2360679774997894</v>
      </c>
      <c r="Q345" t="str">
        <f>IF(вариация!H346="Yes",IF(P348&lt;0.1,"X",IF(P348&lt;0.25,"Y","Z")),"")</f>
        <v/>
      </c>
      <c r="R345" t="str">
        <f>O345&amp;Q345</f>
        <v>BAB</v>
      </c>
    </row>
    <row r="346" spans="1:18" x14ac:dyDescent="0.25">
      <c r="A346" s="7" t="s">
        <v>342</v>
      </c>
      <c r="B346" s="8">
        <v>2</v>
      </c>
      <c r="C346" s="11">
        <v>1.2431155079799805E-3</v>
      </c>
      <c r="D346" s="12">
        <v>0.59856011709235857</v>
      </c>
      <c r="E346" t="s">
        <v>1238</v>
      </c>
      <c r="F346" s="8">
        <v>1625</v>
      </c>
      <c r="G346" s="11">
        <v>4.6459383611374217E-3</v>
      </c>
      <c r="H346" s="12">
        <v>0.23556823990216497</v>
      </c>
      <c r="I346" t="s">
        <v>1238</v>
      </c>
      <c r="J346" s="8">
        <v>5</v>
      </c>
      <c r="K346">
        <v>12</v>
      </c>
      <c r="L346" s="11">
        <v>1.2431155079799796E-3</v>
      </c>
      <c r="M346" s="12">
        <v>0.59856011709235846</v>
      </c>
      <c r="N346" t="s">
        <v>1238</v>
      </c>
      <c r="O346" t="s">
        <v>1252</v>
      </c>
      <c r="P346" s="23">
        <f>VLOOKUP(A346,вариация!A$2:G$805,2,FALSE)</f>
        <v>1.3693063937629151</v>
      </c>
      <c r="Q346" t="str">
        <f>IF(вариация!H347="Yes",IF(P349&lt;0.1,"X",IF(P349&lt;0.25,"Y","Z")),"")</f>
        <v/>
      </c>
      <c r="R346" t="str">
        <f>O346&amp;Q346</f>
        <v>AAA</v>
      </c>
    </row>
    <row r="347" spans="1:18" x14ac:dyDescent="0.25">
      <c r="A347" s="7" t="s">
        <v>1032</v>
      </c>
      <c r="B347" s="8">
        <v>1</v>
      </c>
      <c r="C347" s="11">
        <v>6.2155775398999025E-4</v>
      </c>
      <c r="D347" s="12">
        <v>0.823750491362927</v>
      </c>
      <c r="E347" t="s">
        <v>1239</v>
      </c>
      <c r="F347" s="8">
        <v>245</v>
      </c>
      <c r="G347" s="11">
        <v>7.0046455290994974E-4</v>
      </c>
      <c r="H347" s="12">
        <v>0.87328031244494442</v>
      </c>
      <c r="I347" t="s">
        <v>1239</v>
      </c>
      <c r="J347" s="8">
        <v>5</v>
      </c>
      <c r="K347">
        <v>6</v>
      </c>
      <c r="L347" s="11">
        <v>6.2155775398998981E-4</v>
      </c>
      <c r="M347" s="12">
        <v>0.82375049136292688</v>
      </c>
      <c r="N347" t="s">
        <v>1239</v>
      </c>
      <c r="O347" t="s">
        <v>1256</v>
      </c>
      <c r="P347" s="23">
        <f>VLOOKUP(A347,вариация!A$2:G$805,2,FALSE)</f>
        <v>2.2360679774997894</v>
      </c>
      <c r="Q347" t="str">
        <f>IF(вариация!H348="Yes",IF(P350&lt;0.1,"X",IF(P350&lt;0.25,"Y","Z")),"")</f>
        <v/>
      </c>
      <c r="R347" t="str">
        <f>O347&amp;Q347</f>
        <v>BBB</v>
      </c>
    </row>
    <row r="348" spans="1:18" x14ac:dyDescent="0.25">
      <c r="A348" s="7" t="s">
        <v>324</v>
      </c>
      <c r="B348" s="8">
        <v>3</v>
      </c>
      <c r="C348" s="11">
        <v>1.8646732619699705E-3</v>
      </c>
      <c r="D348" s="12">
        <v>0.45684494918264268</v>
      </c>
      <c r="E348" t="s">
        <v>1238</v>
      </c>
      <c r="F348" s="8">
        <v>168</v>
      </c>
      <c r="G348" s="11">
        <v>4.8031855056682269E-4</v>
      </c>
      <c r="H348" s="12">
        <v>0.92396092418585241</v>
      </c>
      <c r="I348" t="s">
        <v>1239</v>
      </c>
      <c r="J348" s="8">
        <v>5</v>
      </c>
      <c r="K348">
        <v>18</v>
      </c>
      <c r="L348" s="11">
        <v>1.8646732619699697E-3</v>
      </c>
      <c r="M348" s="12">
        <v>0.45684494918264251</v>
      </c>
      <c r="N348" t="s">
        <v>1238</v>
      </c>
      <c r="O348" t="s">
        <v>1253</v>
      </c>
      <c r="P348" s="23">
        <f>VLOOKUP(A348,вариация!A$2:G$805,2,FALSE)</f>
        <v>1.4907119849998598</v>
      </c>
      <c r="Q348" t="str">
        <f>IF(вариация!H349="Yes",IF(P351&lt;0.1,"X",IF(P351&lt;0.25,"Y","Z")),"")</f>
        <v/>
      </c>
      <c r="R348" t="str">
        <f>O348&amp;Q348</f>
        <v>ABA</v>
      </c>
    </row>
    <row r="349" spans="1:18" x14ac:dyDescent="0.25">
      <c r="A349" s="7" t="s">
        <v>1056</v>
      </c>
      <c r="B349" s="8">
        <v>1</v>
      </c>
      <c r="C349" s="11">
        <v>6.2155775398999025E-4</v>
      </c>
      <c r="D349" s="12">
        <v>0.82437204911691697</v>
      </c>
      <c r="E349" t="s">
        <v>1239</v>
      </c>
      <c r="F349" s="8">
        <v>304</v>
      </c>
      <c r="G349" s="11">
        <v>8.6914785340663151E-4</v>
      </c>
      <c r="H349" s="12">
        <v>0.81882245272162024</v>
      </c>
      <c r="I349" t="s">
        <v>1239</v>
      </c>
      <c r="J349" s="8">
        <v>5</v>
      </c>
      <c r="K349">
        <v>6</v>
      </c>
      <c r="L349" s="11">
        <v>6.2155775398998981E-4</v>
      </c>
      <c r="M349" s="12">
        <v>0.82437204911691686</v>
      </c>
      <c r="N349" t="s">
        <v>1239</v>
      </c>
      <c r="O349" t="s">
        <v>1256</v>
      </c>
      <c r="P349" s="23">
        <f>VLOOKUP(A349,вариация!A$2:G$805,2,FALSE)</f>
        <v>2.2360679774997894</v>
      </c>
      <c r="Q349" t="str">
        <f>IF(вариация!H350="Yes",IF(P352&lt;0.1,"X",IF(P352&lt;0.25,"Y","Z")),"")</f>
        <v/>
      </c>
      <c r="R349" t="str">
        <f>O349&amp;Q349</f>
        <v>BBB</v>
      </c>
    </row>
    <row r="350" spans="1:18" x14ac:dyDescent="0.25">
      <c r="A350" s="7" t="s">
        <v>808</v>
      </c>
      <c r="B350" s="8">
        <v>1</v>
      </c>
      <c r="C350" s="11">
        <v>6.2155775398999025E-4</v>
      </c>
      <c r="D350" s="12">
        <v>0.82499360687090695</v>
      </c>
      <c r="E350" t="s">
        <v>1239</v>
      </c>
      <c r="F350" s="8">
        <v>592</v>
      </c>
      <c r="G350" s="11">
        <v>1.6925510829497563E-3</v>
      </c>
      <c r="H350" s="12">
        <v>0.59169465112900355</v>
      </c>
      <c r="I350" t="s">
        <v>1238</v>
      </c>
      <c r="J350" s="8">
        <v>5</v>
      </c>
      <c r="K350">
        <v>6</v>
      </c>
      <c r="L350" s="11">
        <v>6.2155775398998981E-4</v>
      </c>
      <c r="M350" s="12">
        <v>0.82499360687090684</v>
      </c>
      <c r="N350" t="s">
        <v>1239</v>
      </c>
      <c r="O350" t="s">
        <v>1255</v>
      </c>
      <c r="P350" s="23">
        <f>VLOOKUP(A350,вариация!A$2:G$805,2,FALSE)</f>
        <v>2.2360679774997894</v>
      </c>
      <c r="Q350" t="str">
        <f>IF(вариация!H351="Yes",IF(P353&lt;0.1,"X",IF(P353&lt;0.25,"Y","Z")),"")</f>
        <v/>
      </c>
      <c r="R350" t="str">
        <f>O350&amp;Q350</f>
        <v>BAB</v>
      </c>
    </row>
    <row r="351" spans="1:18" x14ac:dyDescent="0.25">
      <c r="A351" s="7" t="s">
        <v>644</v>
      </c>
      <c r="B351" s="8">
        <v>1</v>
      </c>
      <c r="C351" s="11">
        <v>6.2155775398999025E-4</v>
      </c>
      <c r="D351" s="12">
        <v>0.82561516462489692</v>
      </c>
      <c r="E351" t="s">
        <v>1239</v>
      </c>
      <c r="F351" s="8">
        <v>837</v>
      </c>
      <c r="G351" s="11">
        <v>2.3930156358597061E-3</v>
      </c>
      <c r="H351" s="12">
        <v>0.46917131658227157</v>
      </c>
      <c r="I351" t="s">
        <v>1238</v>
      </c>
      <c r="J351" s="8">
        <v>5</v>
      </c>
      <c r="K351">
        <v>6</v>
      </c>
      <c r="L351" s="11">
        <v>6.2155775398998981E-4</v>
      </c>
      <c r="M351" s="12">
        <v>0.82561516462489681</v>
      </c>
      <c r="N351" t="s">
        <v>1239</v>
      </c>
      <c r="O351" t="s">
        <v>1255</v>
      </c>
      <c r="P351" s="23">
        <f>VLOOKUP(A351,вариация!A$2:G$805,2,FALSE)</f>
        <v>2.2360679774997894</v>
      </c>
      <c r="Q351" t="str">
        <f>IF(вариация!H352="Yes",IF(P354&lt;0.1,"X",IF(P354&lt;0.25,"Y","Z")),"")</f>
        <v/>
      </c>
      <c r="R351" t="str">
        <f>O351&amp;Q351</f>
        <v>BAB</v>
      </c>
    </row>
    <row r="352" spans="1:18" x14ac:dyDescent="0.25">
      <c r="A352" s="7" t="s">
        <v>376</v>
      </c>
      <c r="B352" s="8">
        <v>0.33333333999999998</v>
      </c>
      <c r="C352" s="11">
        <v>2.0718592214038174E-4</v>
      </c>
      <c r="D352" s="12">
        <v>0.99625496665739477</v>
      </c>
      <c r="E352" t="s">
        <v>1240</v>
      </c>
      <c r="F352" s="8">
        <v>667.00001434000001</v>
      </c>
      <c r="G352" s="11">
        <v>1.906979048308564E-3</v>
      </c>
      <c r="H352" s="12">
        <v>0.54377715763197987</v>
      </c>
      <c r="I352" t="s">
        <v>1238</v>
      </c>
      <c r="J352" s="8">
        <v>5</v>
      </c>
      <c r="K352">
        <v>2.0000000399999998</v>
      </c>
      <c r="L352" s="11">
        <v>2.0718592214038161E-4</v>
      </c>
      <c r="M352" s="12">
        <v>0.99625496665739466</v>
      </c>
      <c r="N352" t="s">
        <v>1240</v>
      </c>
      <c r="O352" t="s">
        <v>1258</v>
      </c>
      <c r="P352" s="23">
        <f>VLOOKUP(A352,вариация!A$2:G$805,2,FALSE)</f>
        <v>2.2360679774997894</v>
      </c>
      <c r="Q352" t="str">
        <f>IF(вариация!H353="Yes",IF(P355&lt;0.1,"X",IF(P355&lt;0.25,"Y","Z")),"")</f>
        <v/>
      </c>
      <c r="R352" t="str">
        <f>O352&amp;Q352</f>
        <v>CAC</v>
      </c>
    </row>
    <row r="353" spans="1:18" x14ac:dyDescent="0.25">
      <c r="A353" s="7" t="s">
        <v>317</v>
      </c>
      <c r="B353" s="8">
        <v>0.14285713999999999</v>
      </c>
      <c r="C353" s="11">
        <v>8.879396307983359E-5</v>
      </c>
      <c r="D353" s="12">
        <v>0.99941070415771138</v>
      </c>
      <c r="E353" t="s">
        <v>1240</v>
      </c>
      <c r="F353" s="8">
        <v>1385.9956834979998</v>
      </c>
      <c r="G353" s="11">
        <v>3.9626157011287619E-3</v>
      </c>
      <c r="H353" s="12">
        <v>0.29026781899214443</v>
      </c>
      <c r="I353" t="s">
        <v>1238</v>
      </c>
      <c r="J353" s="8">
        <v>5</v>
      </c>
      <c r="K353">
        <v>0.85714283999999996</v>
      </c>
      <c r="L353" s="11">
        <v>8.8793963079833536E-5</v>
      </c>
      <c r="M353" s="12">
        <v>0.99941070415771127</v>
      </c>
      <c r="N353" t="s">
        <v>1240</v>
      </c>
      <c r="O353" t="s">
        <v>1258</v>
      </c>
      <c r="P353" s="23">
        <f>VLOOKUP(A353,вариация!A$2:G$805,2,FALSE)</f>
        <v>2.2360679774997894</v>
      </c>
      <c r="Q353" t="str">
        <f>IF(вариация!H354="Yes",IF(P356&lt;0.1,"X",IF(P356&lt;0.25,"Y","Z")),"")</f>
        <v/>
      </c>
      <c r="R353" t="str">
        <f>O353&amp;Q353</f>
        <v>CAC</v>
      </c>
    </row>
    <row r="354" spans="1:18" x14ac:dyDescent="0.25">
      <c r="A354" s="7" t="s">
        <v>1222</v>
      </c>
      <c r="B354" s="8">
        <v>1</v>
      </c>
      <c r="C354" s="11">
        <v>6.2155775398999025E-4</v>
      </c>
      <c r="D354" s="12">
        <v>0.8262367223788869</v>
      </c>
      <c r="E354" t="s">
        <v>1239</v>
      </c>
      <c r="F354" s="8">
        <v>29.9</v>
      </c>
      <c r="G354" s="11">
        <v>8.5485265844928562E-5</v>
      </c>
      <c r="H354" s="12">
        <v>0.9988137275416612</v>
      </c>
      <c r="I354" t="s">
        <v>1240</v>
      </c>
      <c r="J354" s="8">
        <v>5</v>
      </c>
      <c r="K354">
        <v>6</v>
      </c>
      <c r="L354" s="11">
        <v>6.2155775398998981E-4</v>
      </c>
      <c r="M354" s="12">
        <v>0.82623672237888679</v>
      </c>
      <c r="N354" t="s">
        <v>1239</v>
      </c>
      <c r="O354" t="s">
        <v>1257</v>
      </c>
      <c r="P354" s="23">
        <f>VLOOKUP(A354,вариация!A$2:G$805,2,FALSE)</f>
        <v>2.2360679774997894</v>
      </c>
      <c r="Q354" t="str">
        <f>IF(вариация!H355="Yes",IF(P357&lt;0.1,"X",IF(P357&lt;0.25,"Y","Z")),"")</f>
        <v/>
      </c>
      <c r="R354" t="str">
        <f>O354&amp;Q354</f>
        <v>BCB</v>
      </c>
    </row>
    <row r="355" spans="1:18" x14ac:dyDescent="0.25">
      <c r="A355" s="7" t="s">
        <v>211</v>
      </c>
      <c r="B355" s="8">
        <v>1</v>
      </c>
      <c r="C355" s="11">
        <v>6.2155775398999025E-4</v>
      </c>
      <c r="D355" s="12">
        <v>0.82685828013287688</v>
      </c>
      <c r="E355" t="s">
        <v>1239</v>
      </c>
      <c r="F355" s="8">
        <v>57</v>
      </c>
      <c r="G355" s="11">
        <v>1.629652225137434E-4</v>
      </c>
      <c r="H355" s="12">
        <v>0.99238401713749125</v>
      </c>
      <c r="I355" t="s">
        <v>1240</v>
      </c>
      <c r="J355" s="8">
        <v>5</v>
      </c>
      <c r="K355">
        <v>6</v>
      </c>
      <c r="L355" s="11">
        <v>6.2155775398998981E-4</v>
      </c>
      <c r="M355" s="12">
        <v>0.82685828013287677</v>
      </c>
      <c r="N355" t="s">
        <v>1239</v>
      </c>
      <c r="O355" t="s">
        <v>1257</v>
      </c>
      <c r="P355" s="23">
        <f>VLOOKUP(A355,вариация!A$2:G$805,2,FALSE)</f>
        <v>2.2360679774997894</v>
      </c>
      <c r="Q355" t="str">
        <f>IF(вариация!H356="Yes",IF(P358&lt;0.1,"X",IF(P358&lt;0.25,"Y","Z")),"")</f>
        <v/>
      </c>
      <c r="R355" t="str">
        <f>O355&amp;Q355</f>
        <v>BCB</v>
      </c>
    </row>
    <row r="356" spans="1:18" x14ac:dyDescent="0.25">
      <c r="A356" s="7" t="s">
        <v>42</v>
      </c>
      <c r="B356" s="8">
        <v>1</v>
      </c>
      <c r="C356" s="11">
        <v>6.2155775398999025E-4</v>
      </c>
      <c r="D356" s="12">
        <v>0.82747983788686685</v>
      </c>
      <c r="E356" t="s">
        <v>1239</v>
      </c>
      <c r="F356" s="8">
        <v>284</v>
      </c>
      <c r="G356" s="11">
        <v>8.1196707357724784E-4</v>
      </c>
      <c r="H356" s="12">
        <v>0.83223546260775849</v>
      </c>
      <c r="I356" t="s">
        <v>1239</v>
      </c>
      <c r="J356" s="8">
        <v>5</v>
      </c>
      <c r="K356">
        <v>6</v>
      </c>
      <c r="L356" s="11">
        <v>6.2155775398998981E-4</v>
      </c>
      <c r="M356" s="12">
        <v>0.82747983788686674</v>
      </c>
      <c r="N356" t="s">
        <v>1239</v>
      </c>
      <c r="O356" t="s">
        <v>1256</v>
      </c>
      <c r="P356" s="23">
        <f>VLOOKUP(A356,вариация!A$2:G$805,2,FALSE)</f>
        <v>2.2360679774997894</v>
      </c>
      <c r="Q356" t="str">
        <f>IF(вариация!H357="Yes",IF(P359&lt;0.1,"X",IF(P359&lt;0.25,"Y","Z")),"")</f>
        <v/>
      </c>
      <c r="R356" t="str">
        <f>O356&amp;Q356</f>
        <v>BBB</v>
      </c>
    </row>
    <row r="357" spans="1:18" x14ac:dyDescent="0.25">
      <c r="A357" s="7" t="s">
        <v>79</v>
      </c>
      <c r="B357" s="8">
        <v>2</v>
      </c>
      <c r="C357" s="11">
        <v>1.2431155079799805E-3</v>
      </c>
      <c r="D357" s="12">
        <v>0.59980323260033852</v>
      </c>
      <c r="E357" t="s">
        <v>1238</v>
      </c>
      <c r="F357" s="8">
        <v>109.59</v>
      </c>
      <c r="G357" s="11">
        <v>3.1332208307510777E-4</v>
      </c>
      <c r="H357" s="12">
        <v>0.96187807109851464</v>
      </c>
      <c r="I357" t="s">
        <v>1240</v>
      </c>
      <c r="J357" s="8">
        <v>5</v>
      </c>
      <c r="K357">
        <v>12</v>
      </c>
      <c r="L357" s="11">
        <v>1.2431155079799796E-3</v>
      </c>
      <c r="M357" s="12">
        <v>0.59980323260033841</v>
      </c>
      <c r="N357" t="s">
        <v>1238</v>
      </c>
      <c r="O357" t="s">
        <v>1254</v>
      </c>
      <c r="P357" s="23">
        <f>VLOOKUP(A357,вариация!A$2:G$805,2,FALSE)</f>
        <v>1.3693063937629151</v>
      </c>
      <c r="Q357" t="str">
        <f>IF(вариация!H358="Yes",IF(P360&lt;0.1,"X",IF(P360&lt;0.25,"Y","Z")),"")</f>
        <v/>
      </c>
      <c r="R357" t="str">
        <f>O357&amp;Q357</f>
        <v>ACA</v>
      </c>
    </row>
    <row r="358" spans="1:18" x14ac:dyDescent="0.25">
      <c r="A358" s="7" t="s">
        <v>907</v>
      </c>
      <c r="B358" s="8">
        <v>1</v>
      </c>
      <c r="C358" s="11">
        <v>6.2155775398999025E-4</v>
      </c>
      <c r="D358" s="12">
        <v>0.82810139564085683</v>
      </c>
      <c r="E358" t="s">
        <v>1239</v>
      </c>
      <c r="F358" s="8">
        <v>418</v>
      </c>
      <c r="G358" s="11">
        <v>1.1950782984341184E-3</v>
      </c>
      <c r="H358" s="12">
        <v>0.71728541447653082</v>
      </c>
      <c r="I358" t="s">
        <v>1238</v>
      </c>
      <c r="J358" s="8">
        <v>5</v>
      </c>
      <c r="K358">
        <v>6</v>
      </c>
      <c r="L358" s="11">
        <v>6.2155775398998981E-4</v>
      </c>
      <c r="M358" s="12">
        <v>0.82810139564085672</v>
      </c>
      <c r="N358" t="s">
        <v>1239</v>
      </c>
      <c r="O358" t="s">
        <v>1255</v>
      </c>
      <c r="P358" s="23">
        <f>VLOOKUP(A358,вариация!A$2:G$805,2,FALSE)</f>
        <v>2.2360679774997894</v>
      </c>
      <c r="Q358" t="str">
        <f>IF(вариация!H359="Yes",IF(P361&lt;0.1,"X",IF(P361&lt;0.25,"Y","Z")),"")</f>
        <v/>
      </c>
      <c r="R358" t="str">
        <f>O358&amp;Q358</f>
        <v>BAB</v>
      </c>
    </row>
    <row r="359" spans="1:18" x14ac:dyDescent="0.25">
      <c r="A359" s="7" t="s">
        <v>323</v>
      </c>
      <c r="B359" s="8">
        <v>1</v>
      </c>
      <c r="C359" s="11">
        <v>6.2155775398999025E-4</v>
      </c>
      <c r="D359" s="12">
        <v>0.82872295339484681</v>
      </c>
      <c r="E359" t="s">
        <v>1239</v>
      </c>
      <c r="F359" s="8">
        <v>154</v>
      </c>
      <c r="G359" s="11">
        <v>4.4029200468625416E-4</v>
      </c>
      <c r="H359" s="12">
        <v>0.93224250229971173</v>
      </c>
      <c r="I359" t="s">
        <v>1239</v>
      </c>
      <c r="J359" s="8">
        <v>5</v>
      </c>
      <c r="K359">
        <v>6</v>
      </c>
      <c r="L359" s="11">
        <v>6.2155775398998981E-4</v>
      </c>
      <c r="M359" s="12">
        <v>0.8287229533948467</v>
      </c>
      <c r="N359" t="s">
        <v>1239</v>
      </c>
      <c r="O359" t="s">
        <v>1256</v>
      </c>
      <c r="P359" s="23">
        <f>VLOOKUP(A359,вариация!A$2:G$805,2,FALSE)</f>
        <v>2.2360679774997894</v>
      </c>
      <c r="Q359" t="str">
        <f>IF(вариация!H360="Yes",IF(P362&lt;0.1,"X",IF(P362&lt;0.25,"Y","Z")),"")</f>
        <v/>
      </c>
      <c r="R359" t="str">
        <f>O359&amp;Q359</f>
        <v>BBB</v>
      </c>
    </row>
    <row r="360" spans="1:18" x14ac:dyDescent="0.25">
      <c r="A360" s="7" t="s">
        <v>321</v>
      </c>
      <c r="B360" s="8">
        <v>2</v>
      </c>
      <c r="C360" s="11">
        <v>1.2431155079799805E-3</v>
      </c>
      <c r="D360" s="12">
        <v>0.60104634810831847</v>
      </c>
      <c r="E360" t="s">
        <v>1238</v>
      </c>
      <c r="F360" s="8">
        <v>264</v>
      </c>
      <c r="G360" s="11">
        <v>7.5478629374786427E-4</v>
      </c>
      <c r="H360" s="12">
        <v>0.85723775862718221</v>
      </c>
      <c r="I360" t="s">
        <v>1239</v>
      </c>
      <c r="J360" s="8">
        <v>5</v>
      </c>
      <c r="K360">
        <v>12</v>
      </c>
      <c r="L360" s="11">
        <v>1.2431155079799796E-3</v>
      </c>
      <c r="M360" s="12">
        <v>0.60104634810831836</v>
      </c>
      <c r="N360" t="s">
        <v>1238</v>
      </c>
      <c r="O360" t="s">
        <v>1253</v>
      </c>
      <c r="P360" s="23">
        <f>VLOOKUP(A360,вариация!A$2:G$805,2,FALSE)</f>
        <v>2.2360679774997894</v>
      </c>
      <c r="Q360" t="str">
        <f>IF(вариация!H361="Yes",IF(P363&lt;0.1,"X",IF(P363&lt;0.25,"Y","Z")),"")</f>
        <v/>
      </c>
      <c r="R360" t="str">
        <f>O360&amp;Q360</f>
        <v>ABA</v>
      </c>
    </row>
    <row r="361" spans="1:18" x14ac:dyDescent="0.25">
      <c r="A361" s="7" t="s">
        <v>1123</v>
      </c>
      <c r="B361" s="8">
        <v>1</v>
      </c>
      <c r="C361" s="11">
        <v>6.2155775398999025E-4</v>
      </c>
      <c r="D361" s="12">
        <v>0.82934451114883678</v>
      </c>
      <c r="E361" t="s">
        <v>1239</v>
      </c>
      <c r="F361" s="8">
        <v>281</v>
      </c>
      <c r="G361" s="11">
        <v>8.0338995660284029E-4</v>
      </c>
      <c r="H361" s="12">
        <v>0.83384510155995573</v>
      </c>
      <c r="I361" t="s">
        <v>1239</v>
      </c>
      <c r="J361" s="8">
        <v>5</v>
      </c>
      <c r="K361">
        <v>6</v>
      </c>
      <c r="L361" s="11">
        <v>6.2155775398998981E-4</v>
      </c>
      <c r="M361" s="12">
        <v>0.82934451114883667</v>
      </c>
      <c r="N361" t="s">
        <v>1239</v>
      </c>
      <c r="O361" t="s">
        <v>1256</v>
      </c>
      <c r="P361" s="23">
        <f>VLOOKUP(A361,вариация!A$2:G$805,2,FALSE)</f>
        <v>2.2360679774997894</v>
      </c>
      <c r="Q361" t="str">
        <f>IF(вариация!H362="Yes",IF(P364&lt;0.1,"X",IF(P364&lt;0.25,"Y","Z")),"")</f>
        <v/>
      </c>
      <c r="R361" t="str">
        <f>O361&amp;Q361</f>
        <v>BBB</v>
      </c>
    </row>
    <row r="362" spans="1:18" x14ac:dyDescent="0.25">
      <c r="A362" s="7" t="s">
        <v>395</v>
      </c>
      <c r="B362" s="8">
        <v>3</v>
      </c>
      <c r="C362" s="11">
        <v>1.8646732619699705E-3</v>
      </c>
      <c r="D362" s="12">
        <v>0.45870962244461266</v>
      </c>
      <c r="E362" t="s">
        <v>1238</v>
      </c>
      <c r="F362" s="8">
        <v>593</v>
      </c>
      <c r="G362" s="11">
        <v>1.6954101219412254E-3</v>
      </c>
      <c r="H362" s="12">
        <v>0.5900021000460538</v>
      </c>
      <c r="I362" t="s">
        <v>1238</v>
      </c>
      <c r="J362" s="8">
        <v>5</v>
      </c>
      <c r="K362">
        <v>18</v>
      </c>
      <c r="L362" s="11">
        <v>1.8646732619699697E-3</v>
      </c>
      <c r="M362" s="12">
        <v>0.4587096224446125</v>
      </c>
      <c r="N362" t="s">
        <v>1238</v>
      </c>
      <c r="O362" t="s">
        <v>1252</v>
      </c>
      <c r="P362" s="23">
        <f>VLOOKUP(A362,вариация!A$2:G$805,2,FALSE)</f>
        <v>1.4907119849998598</v>
      </c>
      <c r="Q362" t="str">
        <f>IF(вариация!H363="Yes",IF(P365&lt;0.1,"X",IF(P365&lt;0.25,"Y","Z")),"")</f>
        <v/>
      </c>
      <c r="R362" t="str">
        <f>O362&amp;Q362</f>
        <v>AAA</v>
      </c>
    </row>
    <row r="363" spans="1:18" x14ac:dyDescent="0.25">
      <c r="A363" s="7" t="s">
        <v>1053</v>
      </c>
      <c r="B363" s="8">
        <v>2</v>
      </c>
      <c r="C363" s="11">
        <v>1.2431155079799805E-3</v>
      </c>
      <c r="D363" s="12">
        <v>0.60228946361629843</v>
      </c>
      <c r="E363" t="s">
        <v>1238</v>
      </c>
      <c r="F363" s="8">
        <v>37</v>
      </c>
      <c r="G363" s="11">
        <v>1.0578444268435977E-4</v>
      </c>
      <c r="H363" s="12">
        <v>0.99774473286275056</v>
      </c>
      <c r="I363" t="s">
        <v>1240</v>
      </c>
      <c r="J363" s="8">
        <v>5</v>
      </c>
      <c r="K363">
        <v>12</v>
      </c>
      <c r="L363" s="11">
        <v>1.2431155079799796E-3</v>
      </c>
      <c r="M363" s="12">
        <v>0.60228946361629832</v>
      </c>
      <c r="N363" t="s">
        <v>1238</v>
      </c>
      <c r="O363" t="s">
        <v>1254</v>
      </c>
      <c r="P363" s="23">
        <f>VLOOKUP(A363,вариация!A$2:G$805,2,FALSE)</f>
        <v>1.3693063937629151</v>
      </c>
      <c r="Q363" t="str">
        <f>IF(вариация!H364="Yes",IF(P366&lt;0.1,"X",IF(P366&lt;0.25,"Y","Z")),"")</f>
        <v/>
      </c>
      <c r="R363" t="str">
        <f>O363&amp;Q363</f>
        <v>ACA</v>
      </c>
    </row>
    <row r="364" spans="1:18" x14ac:dyDescent="0.25">
      <c r="A364" s="7" t="s">
        <v>1166</v>
      </c>
      <c r="B364" s="8">
        <v>2</v>
      </c>
      <c r="C364" s="11">
        <v>1.2431155079799805E-3</v>
      </c>
      <c r="D364" s="12">
        <v>0.60353257912427838</v>
      </c>
      <c r="E364" t="s">
        <v>1238</v>
      </c>
      <c r="F364" s="8">
        <v>82</v>
      </c>
      <c r="G364" s="11">
        <v>2.3444119730047297E-4</v>
      </c>
      <c r="H364" s="12">
        <v>0.97971344249665793</v>
      </c>
      <c r="I364" t="s">
        <v>1240</v>
      </c>
      <c r="J364" s="8">
        <v>5</v>
      </c>
      <c r="K364">
        <v>12</v>
      </c>
      <c r="L364" s="11">
        <v>1.2431155079799796E-3</v>
      </c>
      <c r="M364" s="12">
        <v>0.60353257912427827</v>
      </c>
      <c r="N364" t="s">
        <v>1238</v>
      </c>
      <c r="O364" t="s">
        <v>1254</v>
      </c>
      <c r="P364" s="23">
        <f>VLOOKUP(A364,вариация!A$2:G$805,2,FALSE)</f>
        <v>2.2360679774997894</v>
      </c>
      <c r="Q364" t="str">
        <f>IF(вариация!H365="Yes",IF(P367&lt;0.1,"X",IF(P367&lt;0.25,"Y","Z")),"")</f>
        <v/>
      </c>
      <c r="R364" t="str">
        <f>O364&amp;Q364</f>
        <v>ACA</v>
      </c>
    </row>
    <row r="365" spans="1:18" x14ac:dyDescent="0.25">
      <c r="A365" s="7" t="s">
        <v>307</v>
      </c>
      <c r="B365" s="8">
        <v>3</v>
      </c>
      <c r="C365" s="11">
        <v>1.8646732619699705E-3</v>
      </c>
      <c r="D365" s="12">
        <v>0.46057429570658265</v>
      </c>
      <c r="E365" t="s">
        <v>1238</v>
      </c>
      <c r="F365" s="8">
        <v>1295</v>
      </c>
      <c r="G365" s="11">
        <v>3.7024554939525914E-3</v>
      </c>
      <c r="H365" s="12">
        <v>0.32513605813391439</v>
      </c>
      <c r="I365" t="s">
        <v>1238</v>
      </c>
      <c r="J365" s="8">
        <v>5</v>
      </c>
      <c r="K365">
        <v>18</v>
      </c>
      <c r="L365" s="11">
        <v>1.8646732619699697E-3</v>
      </c>
      <c r="M365" s="12">
        <v>0.46057429570658248</v>
      </c>
      <c r="N365" t="s">
        <v>1238</v>
      </c>
      <c r="O365" t="s">
        <v>1252</v>
      </c>
      <c r="P365" s="23">
        <f>VLOOKUP(A365,вариация!A$2:G$805,2,FALSE)</f>
        <v>1.4907119849998598</v>
      </c>
      <c r="Q365" t="str">
        <f>IF(вариация!H366="Yes",IF(P368&lt;0.1,"X",IF(P368&lt;0.25,"Y","Z")),"")</f>
        <v/>
      </c>
      <c r="R365" t="str">
        <f>O365&amp;Q365</f>
        <v>AAA</v>
      </c>
    </row>
    <row r="366" spans="1:18" x14ac:dyDescent="0.25">
      <c r="A366" s="7" t="s">
        <v>1115</v>
      </c>
      <c r="B366" s="8">
        <v>1</v>
      </c>
      <c r="C366" s="11">
        <v>6.2155775398999025E-4</v>
      </c>
      <c r="D366" s="12">
        <v>0.82996606890282676</v>
      </c>
      <c r="E366" t="s">
        <v>1239</v>
      </c>
      <c r="F366" s="8">
        <v>97</v>
      </c>
      <c r="G366" s="11">
        <v>2.7732678217251073E-4</v>
      </c>
      <c r="H366" s="12">
        <v>0.97092538562545938</v>
      </c>
      <c r="I366" t="s">
        <v>1240</v>
      </c>
      <c r="J366" s="8">
        <v>5</v>
      </c>
      <c r="K366">
        <v>6</v>
      </c>
      <c r="L366" s="11">
        <v>6.2155775398998981E-4</v>
      </c>
      <c r="M366" s="12">
        <v>0.82996606890282665</v>
      </c>
      <c r="N366" t="s">
        <v>1239</v>
      </c>
      <c r="O366" t="s">
        <v>1257</v>
      </c>
      <c r="P366" s="23">
        <f>VLOOKUP(A366,вариация!A$2:G$805,2,FALSE)</f>
        <v>2.2360679774997894</v>
      </c>
      <c r="Q366" t="str">
        <f>IF(вариация!H367="Yes",IF(P369&lt;0.1,"X",IF(P369&lt;0.25,"Y","Z")),"")</f>
        <v/>
      </c>
      <c r="R366" t="str">
        <f>O366&amp;Q366</f>
        <v>BCB</v>
      </c>
    </row>
    <row r="367" spans="1:18" x14ac:dyDescent="0.25">
      <c r="A367" s="7" t="s">
        <v>1097</v>
      </c>
      <c r="B367" s="8">
        <v>2</v>
      </c>
      <c r="C367" s="11">
        <v>1.2431155079799805E-3</v>
      </c>
      <c r="D367" s="12">
        <v>0.60477569463225833</v>
      </c>
      <c r="E367" t="s">
        <v>1238</v>
      </c>
      <c r="F367" s="8">
        <v>276</v>
      </c>
      <c r="G367" s="11">
        <v>7.8909476164549445E-4</v>
      </c>
      <c r="H367" s="12">
        <v>0.84180180707321439</v>
      </c>
      <c r="I367" t="s">
        <v>1239</v>
      </c>
      <c r="J367" s="8">
        <v>5</v>
      </c>
      <c r="K367">
        <v>12</v>
      </c>
      <c r="L367" s="11">
        <v>1.2431155079799796E-3</v>
      </c>
      <c r="M367" s="12">
        <v>0.60477569463225822</v>
      </c>
      <c r="N367" t="s">
        <v>1238</v>
      </c>
      <c r="O367" t="s">
        <v>1253</v>
      </c>
      <c r="P367" s="23">
        <f>VLOOKUP(A367,вариация!A$2:G$805,2,FALSE)</f>
        <v>2.2360679774997894</v>
      </c>
      <c r="Q367" t="str">
        <f>IF(вариация!H368="Yes",IF(P370&lt;0.1,"X",IF(P370&lt;0.25,"Y","Z")),"")</f>
        <v/>
      </c>
      <c r="R367" t="str">
        <f>O367&amp;Q367</f>
        <v>ABA</v>
      </c>
    </row>
    <row r="368" spans="1:18" x14ac:dyDescent="0.25">
      <c r="A368" s="7" t="s">
        <v>675</v>
      </c>
      <c r="B368" s="8">
        <v>2</v>
      </c>
      <c r="C368" s="11">
        <v>1.2431155079799805E-3</v>
      </c>
      <c r="D368" s="12">
        <v>0.60601881014023828</v>
      </c>
      <c r="E368" t="s">
        <v>1238</v>
      </c>
      <c r="F368" s="8">
        <v>54</v>
      </c>
      <c r="G368" s="11">
        <v>1.5438810553933586E-4</v>
      </c>
      <c r="H368" s="12">
        <v>0.99317325485108632</v>
      </c>
      <c r="I368" t="s">
        <v>1240</v>
      </c>
      <c r="J368" s="8">
        <v>5</v>
      </c>
      <c r="K368">
        <v>12</v>
      </c>
      <c r="L368" s="11">
        <v>1.2431155079799796E-3</v>
      </c>
      <c r="M368" s="12">
        <v>0.60601881014023817</v>
      </c>
      <c r="N368" t="s">
        <v>1238</v>
      </c>
      <c r="O368" t="s">
        <v>1254</v>
      </c>
      <c r="P368" s="23">
        <f>VLOOKUP(A368,вариация!A$2:G$805,2,FALSE)</f>
        <v>1.3693063937629151</v>
      </c>
      <c r="Q368" t="str">
        <f>IF(вариация!H369="Yes",IF(P371&lt;0.1,"X",IF(P371&lt;0.25,"Y","Z")),"")</f>
        <v/>
      </c>
      <c r="R368" t="str">
        <f>O368&amp;Q368</f>
        <v>ACA</v>
      </c>
    </row>
    <row r="369" spans="1:18" x14ac:dyDescent="0.25">
      <c r="A369" s="7" t="s">
        <v>268</v>
      </c>
      <c r="B369" s="8">
        <v>4</v>
      </c>
      <c r="C369" s="11">
        <v>2.486231015959961E-3</v>
      </c>
      <c r="D369" s="12">
        <v>0.38474424971980348</v>
      </c>
      <c r="E369" t="s">
        <v>1238</v>
      </c>
      <c r="F369" s="8">
        <v>176</v>
      </c>
      <c r="G369" s="11">
        <v>5.0319086249857618E-4</v>
      </c>
      <c r="H369" s="12">
        <v>0.91704919741339719</v>
      </c>
      <c r="I369" t="s">
        <v>1239</v>
      </c>
      <c r="J369" s="8">
        <v>5</v>
      </c>
      <c r="K369">
        <v>24</v>
      </c>
      <c r="L369" s="11">
        <v>2.4862310159599593E-3</v>
      </c>
      <c r="M369" s="12">
        <v>0.38474424971980331</v>
      </c>
      <c r="N369" t="s">
        <v>1238</v>
      </c>
      <c r="O369" t="s">
        <v>1253</v>
      </c>
      <c r="P369" s="23">
        <f>VLOOKUP(A369,вариация!A$2:G$805,2,FALSE)</f>
        <v>0.55901699437494734</v>
      </c>
      <c r="Q369" t="str">
        <f>IF(вариация!H370="Yes",IF(P372&lt;0.1,"X",IF(P372&lt;0.25,"Y","Z")),"")</f>
        <v>Z</v>
      </c>
      <c r="R369" t="str">
        <f>O369&amp;Q369</f>
        <v>ABAZ</v>
      </c>
    </row>
    <row r="370" spans="1:18" x14ac:dyDescent="0.25">
      <c r="A370" s="7" t="s">
        <v>736</v>
      </c>
      <c r="B370" s="8">
        <v>1</v>
      </c>
      <c r="C370" s="11">
        <v>6.2155775398999025E-4</v>
      </c>
      <c r="D370" s="12">
        <v>0.83058762665681674</v>
      </c>
      <c r="E370" t="s">
        <v>1239</v>
      </c>
      <c r="F370" s="8">
        <v>73</v>
      </c>
      <c r="G370" s="11">
        <v>2.0870984637725033E-4</v>
      </c>
      <c r="H370" s="12">
        <v>0.9865719911332933</v>
      </c>
      <c r="I370" t="s">
        <v>1240</v>
      </c>
      <c r="J370" s="8">
        <v>5</v>
      </c>
      <c r="K370">
        <v>6</v>
      </c>
      <c r="L370" s="11">
        <v>6.2155775398998981E-4</v>
      </c>
      <c r="M370" s="12">
        <v>0.83058762665681662</v>
      </c>
      <c r="N370" t="s">
        <v>1239</v>
      </c>
      <c r="O370" t="s">
        <v>1257</v>
      </c>
      <c r="P370" s="23">
        <f>VLOOKUP(A370,вариация!A$2:G$805,2,FALSE)</f>
        <v>2.2360679774997894</v>
      </c>
      <c r="Q370" t="str">
        <f>IF(вариация!H371="Yes",IF(P373&lt;0.1,"X",IF(P373&lt;0.25,"Y","Z")),"")</f>
        <v/>
      </c>
      <c r="R370" t="str">
        <f>O370&amp;Q370</f>
        <v>BCB</v>
      </c>
    </row>
    <row r="371" spans="1:18" x14ac:dyDescent="0.25">
      <c r="A371" s="7" t="s">
        <v>454</v>
      </c>
      <c r="B371" s="8">
        <v>2</v>
      </c>
      <c r="C371" s="11">
        <v>1.2431155079799805E-3</v>
      </c>
      <c r="D371" s="12">
        <v>0.60726192564821824</v>
      </c>
      <c r="E371" t="s">
        <v>1238</v>
      </c>
      <c r="F371" s="8">
        <v>186</v>
      </c>
      <c r="G371" s="11">
        <v>5.3178125241326796E-4</v>
      </c>
      <c r="H371" s="12">
        <v>0.91449607559401502</v>
      </c>
      <c r="I371" t="s">
        <v>1239</v>
      </c>
      <c r="J371" s="8">
        <v>5</v>
      </c>
      <c r="K371">
        <v>12</v>
      </c>
      <c r="L371" s="11">
        <v>1.2431155079799796E-3</v>
      </c>
      <c r="M371" s="12">
        <v>0.60726192564821813</v>
      </c>
      <c r="N371" t="s">
        <v>1238</v>
      </c>
      <c r="O371" t="s">
        <v>1253</v>
      </c>
      <c r="P371" s="23">
        <f>VLOOKUP(A371,вариация!A$2:G$805,2,FALSE)</f>
        <v>2.2360679774997894</v>
      </c>
      <c r="Q371" t="str">
        <f>IF(вариация!H372="Yes",IF(P374&lt;0.1,"X",IF(P374&lt;0.25,"Y","Z")),"")</f>
        <v/>
      </c>
      <c r="R371" t="str">
        <f>O371&amp;Q371</f>
        <v>ABA</v>
      </c>
    </row>
    <row r="372" spans="1:18" x14ac:dyDescent="0.25">
      <c r="A372" s="7" t="s">
        <v>378</v>
      </c>
      <c r="B372" s="8">
        <v>68</v>
      </c>
      <c r="C372" s="11">
        <v>4.2265927271319337E-2</v>
      </c>
      <c r="D372" s="12">
        <v>4.2265927271319337E-2</v>
      </c>
      <c r="E372" t="s">
        <v>1238</v>
      </c>
      <c r="F372" s="8">
        <v>256</v>
      </c>
      <c r="G372" s="11">
        <v>7.3191398181611078E-4</v>
      </c>
      <c r="H372" s="12">
        <v>0.86465230457648878</v>
      </c>
      <c r="I372" t="s">
        <v>1239</v>
      </c>
      <c r="J372" s="8">
        <v>5</v>
      </c>
      <c r="K372">
        <v>408</v>
      </c>
      <c r="L372" s="11">
        <v>4.2265927271319309E-2</v>
      </c>
      <c r="M372" s="12">
        <v>4.2265927271319309E-2</v>
      </c>
      <c r="N372" t="s">
        <v>1238</v>
      </c>
      <c r="O372" t="s">
        <v>1253</v>
      </c>
      <c r="P372" s="23">
        <f>VLOOKUP(A372,вариация!A$2:G$805,2,FALSE)</f>
        <v>0.89693827541040638</v>
      </c>
      <c r="Q372" t="str">
        <f>IF(вариация!H373="Yes",IF(P375&lt;0.1,"X",IF(P375&lt;0.25,"Y","Z")),"")</f>
        <v>Z</v>
      </c>
      <c r="R372" t="str">
        <f>O372&amp;Q372</f>
        <v>ABAZ</v>
      </c>
    </row>
    <row r="373" spans="1:18" x14ac:dyDescent="0.25">
      <c r="A373" s="7" t="s">
        <v>1046</v>
      </c>
      <c r="B373" s="8">
        <v>14</v>
      </c>
      <c r="C373" s="11">
        <v>8.7018085558598635E-3</v>
      </c>
      <c r="D373" s="12">
        <v>0.13736426363178786</v>
      </c>
      <c r="E373" t="s">
        <v>1238</v>
      </c>
      <c r="F373" s="8">
        <v>126</v>
      </c>
      <c r="G373" s="11">
        <v>3.6023891292511704E-4</v>
      </c>
      <c r="H373" s="12">
        <v>0.95042050093059183</v>
      </c>
      <c r="I373" t="s">
        <v>1240</v>
      </c>
      <c r="J373" s="8">
        <v>5</v>
      </c>
      <c r="K373">
        <v>84</v>
      </c>
      <c r="L373" s="11">
        <v>8.7018085558598583E-3</v>
      </c>
      <c r="M373" s="12">
        <v>0.13736426363178775</v>
      </c>
      <c r="N373" t="s">
        <v>1238</v>
      </c>
      <c r="O373" t="s">
        <v>1254</v>
      </c>
      <c r="P373" s="23">
        <f>VLOOKUP(A373,вариация!A$2:G$805,2,FALSE)</f>
        <v>1.5649215928719031</v>
      </c>
      <c r="Q373" t="str">
        <f>IF(вариация!H374="Yes",IF(P376&lt;0.1,"X",IF(P376&lt;0.25,"Y","Z")),"")</f>
        <v/>
      </c>
      <c r="R373" t="str">
        <f>O373&amp;Q373</f>
        <v>ACA</v>
      </c>
    </row>
    <row r="374" spans="1:18" x14ac:dyDescent="0.25">
      <c r="A374" s="7" t="s">
        <v>451</v>
      </c>
      <c r="B374" s="8">
        <v>13</v>
      </c>
      <c r="C374" s="11">
        <v>8.0802508018698732E-3</v>
      </c>
      <c r="D374" s="12">
        <v>0.14544451443365775</v>
      </c>
      <c r="E374" t="s">
        <v>1238</v>
      </c>
      <c r="F374" s="8">
        <v>104</v>
      </c>
      <c r="G374" s="11">
        <v>2.9734005511279502E-4</v>
      </c>
      <c r="H374" s="12">
        <v>0.96462406368826148</v>
      </c>
      <c r="I374" t="s">
        <v>1240</v>
      </c>
      <c r="J374" s="8">
        <v>5</v>
      </c>
      <c r="K374">
        <v>78</v>
      </c>
      <c r="L374" s="11">
        <v>8.080250801869868E-3</v>
      </c>
      <c r="M374" s="12">
        <v>0.14544451443365761</v>
      </c>
      <c r="N374" t="s">
        <v>1238</v>
      </c>
      <c r="O374" t="s">
        <v>1254</v>
      </c>
      <c r="P374" s="23">
        <f>VLOOKUP(A374,вариация!A$2:G$805,2,FALSE)</f>
        <v>1.6676525683599077</v>
      </c>
      <c r="Q374" t="str">
        <f>IF(вариация!H375="Yes",IF(P377&lt;0.1,"X",IF(P377&lt;0.25,"Y","Z")),"")</f>
        <v/>
      </c>
      <c r="R374" t="str">
        <f>O374&amp;Q374</f>
        <v>ACA</v>
      </c>
    </row>
    <row r="375" spans="1:18" x14ac:dyDescent="0.25">
      <c r="A375" s="7" t="s">
        <v>650</v>
      </c>
      <c r="B375" s="8">
        <v>1</v>
      </c>
      <c r="C375" s="11">
        <v>6.2155775398999025E-4</v>
      </c>
      <c r="D375" s="12">
        <v>0.83120918441080671</v>
      </c>
      <c r="E375" t="s">
        <v>1239</v>
      </c>
      <c r="F375" s="8">
        <v>94</v>
      </c>
      <c r="G375" s="11">
        <v>2.6874966519810318E-4</v>
      </c>
      <c r="H375" s="12">
        <v>0.97364719074533801</v>
      </c>
      <c r="I375" t="s">
        <v>1240</v>
      </c>
      <c r="J375" s="8">
        <v>5</v>
      </c>
      <c r="K375">
        <v>6</v>
      </c>
      <c r="L375" s="11">
        <v>6.2155775398998981E-4</v>
      </c>
      <c r="M375" s="12">
        <v>0.8312091844108066</v>
      </c>
      <c r="N375" t="s">
        <v>1239</v>
      </c>
      <c r="O375" t="s">
        <v>1257</v>
      </c>
      <c r="P375" s="23">
        <f>VLOOKUP(A375,вариация!A$2:G$805,2,FALSE)</f>
        <v>2.2360679774997894</v>
      </c>
      <c r="Q375" t="str">
        <f>IF(вариация!H376="Yes",IF(P378&lt;0.1,"X",IF(P378&lt;0.25,"Y","Z")),"")</f>
        <v/>
      </c>
      <c r="R375" t="str">
        <f>O375&amp;Q375</f>
        <v>BCB</v>
      </c>
    </row>
    <row r="376" spans="1:18" x14ac:dyDescent="0.25">
      <c r="A376" s="7" t="s">
        <v>952</v>
      </c>
      <c r="B376" s="8">
        <v>1</v>
      </c>
      <c r="C376" s="11">
        <v>6.2155775398999025E-4</v>
      </c>
      <c r="D376" s="12">
        <v>0.83183074216479669</v>
      </c>
      <c r="E376" t="s">
        <v>1239</v>
      </c>
      <c r="F376" s="8">
        <v>110</v>
      </c>
      <c r="G376" s="11">
        <v>3.1449428906161011E-4</v>
      </c>
      <c r="H376" s="12">
        <v>0.96125025472637793</v>
      </c>
      <c r="I376" t="s">
        <v>1240</v>
      </c>
      <c r="J376" s="8">
        <v>5</v>
      </c>
      <c r="K376">
        <v>6</v>
      </c>
      <c r="L376" s="11">
        <v>6.2155775398998981E-4</v>
      </c>
      <c r="M376" s="12">
        <v>0.83183074216479658</v>
      </c>
      <c r="N376" t="s">
        <v>1239</v>
      </c>
      <c r="O376" t="s">
        <v>1257</v>
      </c>
      <c r="P376" s="23">
        <f>VLOOKUP(A376,вариация!A$2:G$805,2,FALSE)</f>
        <v>2.2360679774997894</v>
      </c>
      <c r="Q376" t="str">
        <f>IF(вариация!H377="Yes",IF(P379&lt;0.1,"X",IF(P379&lt;0.25,"Y","Z")),"")</f>
        <v/>
      </c>
      <c r="R376" t="str">
        <f>O376&amp;Q376</f>
        <v>BCB</v>
      </c>
    </row>
    <row r="377" spans="1:18" x14ac:dyDescent="0.25">
      <c r="A377" s="7" t="s">
        <v>398</v>
      </c>
      <c r="B377" s="8">
        <v>2</v>
      </c>
      <c r="C377" s="11">
        <v>1.2431155079799805E-3</v>
      </c>
      <c r="D377" s="12">
        <v>0.60850504115619819</v>
      </c>
      <c r="E377" t="s">
        <v>1238</v>
      </c>
      <c r="F377" s="8">
        <v>197.49</v>
      </c>
      <c r="G377" s="11">
        <v>5.6463161042524888E-4</v>
      </c>
      <c r="H377" s="12">
        <v>0.90739122074826439</v>
      </c>
      <c r="I377" t="s">
        <v>1239</v>
      </c>
      <c r="J377" s="8">
        <v>5</v>
      </c>
      <c r="K377">
        <v>12</v>
      </c>
      <c r="L377" s="11">
        <v>1.2431155079799796E-3</v>
      </c>
      <c r="M377" s="12">
        <v>0.60850504115619808</v>
      </c>
      <c r="N377" t="s">
        <v>1238</v>
      </c>
      <c r="O377" t="s">
        <v>1253</v>
      </c>
      <c r="P377" s="23">
        <f>VLOOKUP(A377,вариация!A$2:G$805,2,FALSE)</f>
        <v>1.3693063937629151</v>
      </c>
      <c r="Q377" t="str">
        <f>IF(вариация!H378="Yes",IF(P380&lt;0.1,"X",IF(P380&lt;0.25,"Y","Z")),"")</f>
        <v/>
      </c>
      <c r="R377" t="str">
        <f>O377&amp;Q377</f>
        <v>ABA</v>
      </c>
    </row>
    <row r="378" spans="1:18" x14ac:dyDescent="0.25">
      <c r="A378" s="7" t="s">
        <v>1035</v>
      </c>
      <c r="B378" s="8">
        <v>1</v>
      </c>
      <c r="C378" s="11">
        <v>6.2155775398999025E-4</v>
      </c>
      <c r="D378" s="12">
        <v>0.83245229991878666</v>
      </c>
      <c r="E378" t="s">
        <v>1239</v>
      </c>
      <c r="F378" s="8">
        <v>330</v>
      </c>
      <c r="G378" s="11">
        <v>9.4348286718483028E-4</v>
      </c>
      <c r="H378" s="12">
        <v>0.79712717855226478</v>
      </c>
      <c r="I378" t="s">
        <v>1238</v>
      </c>
      <c r="J378" s="8">
        <v>5</v>
      </c>
      <c r="K378">
        <v>6</v>
      </c>
      <c r="L378" s="11">
        <v>6.2155775398998981E-4</v>
      </c>
      <c r="M378" s="12">
        <v>0.83245229991878655</v>
      </c>
      <c r="N378" t="s">
        <v>1239</v>
      </c>
      <c r="O378" t="s">
        <v>1255</v>
      </c>
      <c r="P378" s="23">
        <f>VLOOKUP(A378,вариация!A$2:G$805,2,FALSE)</f>
        <v>2.2360679774997894</v>
      </c>
      <c r="Q378" t="str">
        <f>IF(вариация!H379="Yes",IF(P381&lt;0.1,"X",IF(P381&lt;0.25,"Y","Z")),"")</f>
        <v/>
      </c>
      <c r="R378" t="str">
        <f>O378&amp;Q378</f>
        <v>BAB</v>
      </c>
    </row>
    <row r="379" spans="1:18" x14ac:dyDescent="0.25">
      <c r="A379" s="7" t="s">
        <v>954</v>
      </c>
      <c r="B379" s="8">
        <v>1</v>
      </c>
      <c r="C379" s="11">
        <v>6.2155775398999025E-4</v>
      </c>
      <c r="D379" s="12">
        <v>0.83307385767277664</v>
      </c>
      <c r="E379" t="s">
        <v>1239</v>
      </c>
      <c r="F379" s="8">
        <v>189</v>
      </c>
      <c r="G379" s="11">
        <v>5.4035836938767551E-4</v>
      </c>
      <c r="H379" s="12">
        <v>0.91342679501120561</v>
      </c>
      <c r="I379" t="s">
        <v>1239</v>
      </c>
      <c r="J379" s="8">
        <v>5</v>
      </c>
      <c r="K379">
        <v>6</v>
      </c>
      <c r="L379" s="11">
        <v>6.2155775398998981E-4</v>
      </c>
      <c r="M379" s="12">
        <v>0.83307385767277653</v>
      </c>
      <c r="N379" t="s">
        <v>1239</v>
      </c>
      <c r="O379" t="s">
        <v>1256</v>
      </c>
      <c r="P379" s="23">
        <f>VLOOKUP(A379,вариация!A$2:G$805,2,FALSE)</f>
        <v>2.2360679774997894</v>
      </c>
      <c r="Q379" t="str">
        <f>IF(вариация!H380="Yes",IF(P382&lt;0.1,"X",IF(P382&lt;0.25,"Y","Z")),"")</f>
        <v/>
      </c>
      <c r="R379" t="str">
        <f>O379&amp;Q379</f>
        <v>BBB</v>
      </c>
    </row>
    <row r="380" spans="1:18" x14ac:dyDescent="0.25">
      <c r="A380" s="7" t="s">
        <v>1197</v>
      </c>
      <c r="B380" s="8">
        <v>1</v>
      </c>
      <c r="C380" s="11">
        <v>6.2155775398999025E-4</v>
      </c>
      <c r="D380" s="12">
        <v>0.83369541542676662</v>
      </c>
      <c r="E380" t="s">
        <v>1239</v>
      </c>
      <c r="F380" s="8">
        <v>235</v>
      </c>
      <c r="G380" s="11">
        <v>6.7187416299525795E-4</v>
      </c>
      <c r="H380" s="12">
        <v>0.88424758601622055</v>
      </c>
      <c r="I380" t="s">
        <v>1239</v>
      </c>
      <c r="J380" s="8">
        <v>5</v>
      </c>
      <c r="K380">
        <v>6</v>
      </c>
      <c r="L380" s="11">
        <v>6.2155775398998981E-4</v>
      </c>
      <c r="M380" s="12">
        <v>0.83369541542676651</v>
      </c>
      <c r="N380" t="s">
        <v>1239</v>
      </c>
      <c r="O380" t="s">
        <v>1256</v>
      </c>
      <c r="P380" s="23">
        <f>VLOOKUP(A380,вариация!A$2:G$805,2,FALSE)</f>
        <v>2.2360679774997894</v>
      </c>
      <c r="Q380" t="str">
        <f>IF(вариация!H381="Yes",IF(P383&lt;0.1,"X",IF(P383&lt;0.25,"Y","Z")),"")</f>
        <v/>
      </c>
      <c r="R380" t="str">
        <f>O380&amp;Q380</f>
        <v>BBB</v>
      </c>
    </row>
    <row r="381" spans="1:18" x14ac:dyDescent="0.25">
      <c r="A381" s="7" t="s">
        <v>747</v>
      </c>
      <c r="B381" s="8">
        <v>1</v>
      </c>
      <c r="C381" s="11">
        <v>6.2155775398999025E-4</v>
      </c>
      <c r="D381" s="12">
        <v>0.83431697318075659</v>
      </c>
      <c r="E381" t="s">
        <v>1239</v>
      </c>
      <c r="F381" s="8">
        <v>440</v>
      </c>
      <c r="G381" s="11">
        <v>1.2579771562464404E-3</v>
      </c>
      <c r="H381" s="12">
        <v>0.70383363602166826</v>
      </c>
      <c r="I381" t="s">
        <v>1238</v>
      </c>
      <c r="J381" s="8">
        <v>5</v>
      </c>
      <c r="K381">
        <v>6</v>
      </c>
      <c r="L381" s="11">
        <v>6.2155775398998981E-4</v>
      </c>
      <c r="M381" s="12">
        <v>0.83431697318075648</v>
      </c>
      <c r="N381" t="s">
        <v>1239</v>
      </c>
      <c r="O381" t="s">
        <v>1255</v>
      </c>
      <c r="P381" s="23">
        <f>VLOOKUP(A381,вариация!A$2:G$805,2,FALSE)</f>
        <v>2.2360679774997894</v>
      </c>
      <c r="Q381" t="str">
        <f>IF(вариация!H382="Yes",IF(P384&lt;0.1,"X",IF(P384&lt;0.25,"Y","Z")),"")</f>
        <v/>
      </c>
      <c r="R381" t="str">
        <f>O381&amp;Q381</f>
        <v>BAB</v>
      </c>
    </row>
    <row r="382" spans="1:18" x14ac:dyDescent="0.25">
      <c r="A382" s="7" t="s">
        <v>712</v>
      </c>
      <c r="B382" s="8">
        <v>2</v>
      </c>
      <c r="C382" s="11">
        <v>1.2431155079799805E-3</v>
      </c>
      <c r="D382" s="12">
        <v>0.60974815666417814</v>
      </c>
      <c r="E382" t="s">
        <v>1238</v>
      </c>
      <c r="F382" s="8">
        <v>85.5</v>
      </c>
      <c r="G382" s="11">
        <v>2.4444783377061512E-4</v>
      </c>
      <c r="H382" s="12">
        <v>0.97804267729082306</v>
      </c>
      <c r="I382" t="s">
        <v>1240</v>
      </c>
      <c r="J382" s="8">
        <v>5</v>
      </c>
      <c r="K382">
        <v>12</v>
      </c>
      <c r="L382" s="11">
        <v>1.2431155079799796E-3</v>
      </c>
      <c r="M382" s="12">
        <v>0.60974815666417803</v>
      </c>
      <c r="N382" t="s">
        <v>1238</v>
      </c>
      <c r="O382" t="s">
        <v>1254</v>
      </c>
      <c r="P382" s="23">
        <f>VLOOKUP(A382,вариация!A$2:G$805,2,FALSE)</f>
        <v>2.2360679774997894</v>
      </c>
      <c r="Q382" t="str">
        <f>IF(вариация!H383="Yes",IF(P385&lt;0.1,"X",IF(P385&lt;0.25,"Y","Z")),"")</f>
        <v/>
      </c>
      <c r="R382" t="str">
        <f>O382&amp;Q382</f>
        <v>ACA</v>
      </c>
    </row>
    <row r="383" spans="1:18" x14ac:dyDescent="0.25">
      <c r="A383" s="7" t="s">
        <v>853</v>
      </c>
      <c r="B383" s="8">
        <v>1</v>
      </c>
      <c r="C383" s="11">
        <v>6.2155775398999025E-4</v>
      </c>
      <c r="D383" s="12">
        <v>0.83493853093474657</v>
      </c>
      <c r="E383" t="s">
        <v>1239</v>
      </c>
      <c r="F383" s="8">
        <v>35</v>
      </c>
      <c r="G383" s="11">
        <v>1.0006636470142139E-4</v>
      </c>
      <c r="H383" s="12">
        <v>0.99825935988121517</v>
      </c>
      <c r="I383" t="s">
        <v>1240</v>
      </c>
      <c r="J383" s="8">
        <v>5</v>
      </c>
      <c r="K383">
        <v>6</v>
      </c>
      <c r="L383" s="11">
        <v>6.2155775398998981E-4</v>
      </c>
      <c r="M383" s="12">
        <v>0.83493853093474646</v>
      </c>
      <c r="N383" t="s">
        <v>1239</v>
      </c>
      <c r="O383" t="s">
        <v>1257</v>
      </c>
      <c r="P383" s="23">
        <f>VLOOKUP(A383,вариация!A$2:G$805,2,FALSE)</f>
        <v>2.2360679774997894</v>
      </c>
      <c r="Q383" t="str">
        <f>IF(вариация!H384="Yes",IF(P386&lt;0.1,"X",IF(P386&lt;0.25,"Y","Z")),"")</f>
        <v/>
      </c>
      <c r="R383" t="str">
        <f>O383&amp;Q383</f>
        <v>BCB</v>
      </c>
    </row>
    <row r="384" spans="1:18" x14ac:dyDescent="0.25">
      <c r="A384" s="7" t="s">
        <v>945</v>
      </c>
      <c r="B384" s="8">
        <v>1</v>
      </c>
      <c r="C384" s="11">
        <v>6.2155775398999025E-4</v>
      </c>
      <c r="D384" s="12">
        <v>0.83556008868873655</v>
      </c>
      <c r="E384" t="s">
        <v>1239</v>
      </c>
      <c r="F384" s="8">
        <v>121</v>
      </c>
      <c r="G384" s="11">
        <v>3.459437179677711E-4</v>
      </c>
      <c r="H384" s="12">
        <v>0.95532661183995293</v>
      </c>
      <c r="I384" t="s">
        <v>1240</v>
      </c>
      <c r="J384" s="8">
        <v>5</v>
      </c>
      <c r="K384">
        <v>6</v>
      </c>
      <c r="L384" s="11">
        <v>6.2155775398998981E-4</v>
      </c>
      <c r="M384" s="12">
        <v>0.83556008868873644</v>
      </c>
      <c r="N384" t="s">
        <v>1239</v>
      </c>
      <c r="O384" t="s">
        <v>1257</v>
      </c>
      <c r="P384" s="23">
        <f>VLOOKUP(A384,вариация!A$2:G$805,2,FALSE)</f>
        <v>2.2360679774997894</v>
      </c>
      <c r="Q384" t="str">
        <f>IF(вариация!H385="Yes",IF(P387&lt;0.1,"X",IF(P387&lt;0.25,"Y","Z")),"")</f>
        <v/>
      </c>
      <c r="R384" t="str">
        <f>O384&amp;Q384</f>
        <v>BCB</v>
      </c>
    </row>
    <row r="385" spans="1:18" x14ac:dyDescent="0.25">
      <c r="A385" s="7" t="s">
        <v>433</v>
      </c>
      <c r="B385" s="8">
        <v>3</v>
      </c>
      <c r="C385" s="11">
        <v>1.8646732619699705E-3</v>
      </c>
      <c r="D385" s="12">
        <v>0.46243896896855263</v>
      </c>
      <c r="E385" t="s">
        <v>1238</v>
      </c>
      <c r="F385" s="8">
        <v>684</v>
      </c>
      <c r="G385" s="11">
        <v>1.9555826701649209E-3</v>
      </c>
      <c r="H385" s="12">
        <v>0.52256118222872017</v>
      </c>
      <c r="I385" t="s">
        <v>1238</v>
      </c>
      <c r="J385" s="8">
        <v>5</v>
      </c>
      <c r="K385">
        <v>18</v>
      </c>
      <c r="L385" s="11">
        <v>1.8646732619699697E-3</v>
      </c>
      <c r="M385" s="12">
        <v>0.46243896896855247</v>
      </c>
      <c r="N385" t="s">
        <v>1238</v>
      </c>
      <c r="O385" t="s">
        <v>1252</v>
      </c>
      <c r="P385" s="23">
        <f>VLOOKUP(A385,вариация!A$2:G$805,2,FALSE)</f>
        <v>1.4907119849998598</v>
      </c>
      <c r="Q385" t="str">
        <f>IF(вариация!H386="Yes",IF(P388&lt;0.1,"X",IF(P388&lt;0.25,"Y","Z")),"")</f>
        <v/>
      </c>
      <c r="R385" t="str">
        <f>O385&amp;Q385</f>
        <v>AAA</v>
      </c>
    </row>
    <row r="386" spans="1:18" x14ac:dyDescent="0.25">
      <c r="A386" s="7" t="s">
        <v>560</v>
      </c>
      <c r="B386" s="8">
        <v>1</v>
      </c>
      <c r="C386" s="11">
        <v>6.2155775398999025E-4</v>
      </c>
      <c r="D386" s="12">
        <v>0.83618164644272652</v>
      </c>
      <c r="E386" t="s">
        <v>1239</v>
      </c>
      <c r="F386" s="8">
        <v>95</v>
      </c>
      <c r="G386" s="11">
        <v>2.7160870418957238E-4</v>
      </c>
      <c r="H386" s="12">
        <v>0.97284094174974378</v>
      </c>
      <c r="I386" t="s">
        <v>1240</v>
      </c>
      <c r="J386" s="8">
        <v>5</v>
      </c>
      <c r="K386">
        <v>6</v>
      </c>
      <c r="L386" s="11">
        <v>6.2155775398998981E-4</v>
      </c>
      <c r="M386" s="12">
        <v>0.83618164644272641</v>
      </c>
      <c r="N386" t="s">
        <v>1239</v>
      </c>
      <c r="O386" t="s">
        <v>1257</v>
      </c>
      <c r="P386" s="23">
        <f>VLOOKUP(A386,вариация!A$2:G$805,2,FALSE)</f>
        <v>2.2360679774997894</v>
      </c>
      <c r="Q386" t="str">
        <f>IF(вариация!H387="Yes",IF(P389&lt;0.1,"X",IF(P389&lt;0.25,"Y","Z")),"")</f>
        <v/>
      </c>
      <c r="R386" t="str">
        <f>O386&amp;Q386</f>
        <v>BCB</v>
      </c>
    </row>
    <row r="387" spans="1:18" x14ac:dyDescent="0.25">
      <c r="A387" s="7" t="s">
        <v>1148</v>
      </c>
      <c r="B387" s="8">
        <v>1</v>
      </c>
      <c r="C387" s="11">
        <v>6.2155775398999025E-4</v>
      </c>
      <c r="D387" s="12">
        <v>0.8368032041967165</v>
      </c>
      <c r="E387" t="s">
        <v>1239</v>
      </c>
      <c r="F387" s="8">
        <v>431</v>
      </c>
      <c r="G387" s="11">
        <v>1.2322458053232177E-3</v>
      </c>
      <c r="H387" s="12">
        <v>0.70756468190553556</v>
      </c>
      <c r="I387" t="s">
        <v>1238</v>
      </c>
      <c r="J387" s="8">
        <v>5</v>
      </c>
      <c r="K387">
        <v>6</v>
      </c>
      <c r="L387" s="11">
        <v>6.2155775398998981E-4</v>
      </c>
      <c r="M387" s="12">
        <v>0.83680320419671639</v>
      </c>
      <c r="N387" t="s">
        <v>1239</v>
      </c>
      <c r="O387" t="s">
        <v>1255</v>
      </c>
      <c r="P387" s="23">
        <f>VLOOKUP(A387,вариация!A$2:G$805,2,FALSE)</f>
        <v>2.2360679774997894</v>
      </c>
      <c r="Q387" t="str">
        <f>IF(вариация!H388="Yes",IF(P390&lt;0.1,"X",IF(P390&lt;0.25,"Y","Z")),"")</f>
        <v/>
      </c>
      <c r="R387" t="str">
        <f>O387&amp;Q387</f>
        <v>BAB</v>
      </c>
    </row>
    <row r="388" spans="1:18" x14ac:dyDescent="0.25">
      <c r="A388" s="7" t="s">
        <v>683</v>
      </c>
      <c r="B388" s="8">
        <v>1</v>
      </c>
      <c r="C388" s="11">
        <v>6.2155775398999025E-4</v>
      </c>
      <c r="D388" s="12">
        <v>0.83742476195070648</v>
      </c>
      <c r="E388" t="s">
        <v>1239</v>
      </c>
      <c r="F388" s="8">
        <v>213</v>
      </c>
      <c r="G388" s="11">
        <v>6.0897530518293588E-4</v>
      </c>
      <c r="H388" s="12">
        <v>0.89808364790192641</v>
      </c>
      <c r="I388" t="s">
        <v>1239</v>
      </c>
      <c r="J388" s="8">
        <v>5</v>
      </c>
      <c r="K388">
        <v>6</v>
      </c>
      <c r="L388" s="11">
        <v>6.2155775398998981E-4</v>
      </c>
      <c r="M388" s="12">
        <v>0.83742476195070636</v>
      </c>
      <c r="N388" t="s">
        <v>1239</v>
      </c>
      <c r="O388" t="s">
        <v>1256</v>
      </c>
      <c r="P388" s="23">
        <f>VLOOKUP(A388,вариация!A$2:G$805,2,FALSE)</f>
        <v>2.2360679774997894</v>
      </c>
      <c r="Q388" t="str">
        <f>IF(вариация!H389="Yes",IF(P391&lt;0.1,"X",IF(P391&lt;0.25,"Y","Z")),"")</f>
        <v/>
      </c>
      <c r="R388" t="str">
        <f>O388&amp;Q388</f>
        <v>BBB</v>
      </c>
    </row>
    <row r="389" spans="1:18" x14ac:dyDescent="0.25">
      <c r="A389" s="7" t="s">
        <v>535</v>
      </c>
      <c r="B389" s="8">
        <v>1</v>
      </c>
      <c r="C389" s="11">
        <v>6.2155775398999025E-4</v>
      </c>
      <c r="D389" s="12">
        <v>0.83804631970469645</v>
      </c>
      <c r="E389" t="s">
        <v>1239</v>
      </c>
      <c r="F389" s="8">
        <v>3148</v>
      </c>
      <c r="G389" s="11">
        <v>9.0002547451449866E-3</v>
      </c>
      <c r="H389" s="12">
        <v>0.10772002151283927</v>
      </c>
      <c r="I389" t="s">
        <v>1238</v>
      </c>
      <c r="J389" s="8">
        <v>5</v>
      </c>
      <c r="K389">
        <v>6</v>
      </c>
      <c r="L389" s="11">
        <v>6.2155775398998981E-4</v>
      </c>
      <c r="M389" s="12">
        <v>0.83804631970469634</v>
      </c>
      <c r="N389" t="s">
        <v>1239</v>
      </c>
      <c r="O389" t="s">
        <v>1255</v>
      </c>
      <c r="P389" s="23">
        <f>VLOOKUP(A389,вариация!A$2:G$805,2,FALSE)</f>
        <v>2.2360679774997894</v>
      </c>
      <c r="Q389" t="str">
        <f>IF(вариация!H390="Yes",IF(P392&lt;0.1,"X",IF(P392&lt;0.25,"Y","Z")),"")</f>
        <v/>
      </c>
      <c r="R389" t="str">
        <f>O389&amp;Q389</f>
        <v>BAB</v>
      </c>
    </row>
    <row r="390" spans="1:18" x14ac:dyDescent="0.25">
      <c r="A390" s="7" t="s">
        <v>661</v>
      </c>
      <c r="B390" s="8">
        <v>1</v>
      </c>
      <c r="C390" s="11">
        <v>6.2155775398999025E-4</v>
      </c>
      <c r="D390" s="12">
        <v>0.83866787745868643</v>
      </c>
      <c r="E390" t="s">
        <v>1239</v>
      </c>
      <c r="F390" s="8">
        <v>1018</v>
      </c>
      <c r="G390" s="11">
        <v>2.9105016933156278E-3</v>
      </c>
      <c r="H390" s="12">
        <v>0.40852044494776057</v>
      </c>
      <c r="I390" t="s">
        <v>1238</v>
      </c>
      <c r="J390" s="8">
        <v>5</v>
      </c>
      <c r="K390">
        <v>6</v>
      </c>
      <c r="L390" s="11">
        <v>6.2155775398998981E-4</v>
      </c>
      <c r="M390" s="12">
        <v>0.83866787745868632</v>
      </c>
      <c r="N390" t="s">
        <v>1239</v>
      </c>
      <c r="O390" t="s">
        <v>1255</v>
      </c>
      <c r="P390" s="23">
        <f>VLOOKUP(A390,вариация!A$2:G$805,2,FALSE)</f>
        <v>2.2360679774997894</v>
      </c>
      <c r="Q390" t="str">
        <f>IF(вариация!H391="Yes",IF(P393&lt;0.1,"X",IF(P393&lt;0.25,"Y","Z")),"")</f>
        <v/>
      </c>
      <c r="R390" t="str">
        <f>O390&amp;Q390</f>
        <v>BAB</v>
      </c>
    </row>
    <row r="391" spans="1:18" x14ac:dyDescent="0.25">
      <c r="A391" s="7" t="s">
        <v>753</v>
      </c>
      <c r="B391" s="8">
        <v>1</v>
      </c>
      <c r="C391" s="11">
        <v>6.2155775398999025E-4</v>
      </c>
      <c r="D391" s="12">
        <v>0.8392894352126764</v>
      </c>
      <c r="E391" t="s">
        <v>1239</v>
      </c>
      <c r="F391" s="8">
        <v>307.74</v>
      </c>
      <c r="G391" s="11">
        <v>8.7984065923472628E-4</v>
      </c>
      <c r="H391" s="12">
        <v>0.81445670018164684</v>
      </c>
      <c r="I391" t="s">
        <v>1239</v>
      </c>
      <c r="J391" s="8">
        <v>5</v>
      </c>
      <c r="K391">
        <v>6</v>
      </c>
      <c r="L391" s="11">
        <v>6.2155775398998981E-4</v>
      </c>
      <c r="M391" s="12">
        <v>0.83928943521267629</v>
      </c>
      <c r="N391" t="s">
        <v>1239</v>
      </c>
      <c r="O391" t="s">
        <v>1256</v>
      </c>
      <c r="P391" s="23">
        <f>VLOOKUP(A391,вариация!A$2:G$805,2,FALSE)</f>
        <v>2.2360679774997894</v>
      </c>
      <c r="Q391" t="str">
        <f>IF(вариация!H392="Yes",IF(P394&lt;0.1,"X",IF(P394&lt;0.25,"Y","Z")),"")</f>
        <v/>
      </c>
      <c r="R391" t="str">
        <f>O391&amp;Q391</f>
        <v>BBB</v>
      </c>
    </row>
    <row r="392" spans="1:18" x14ac:dyDescent="0.25">
      <c r="A392" s="7" t="s">
        <v>946</v>
      </c>
      <c r="B392" s="8">
        <v>1</v>
      </c>
      <c r="C392" s="11">
        <v>6.2155775398999025E-4</v>
      </c>
      <c r="D392" s="12">
        <v>0.83991099296666638</v>
      </c>
      <c r="E392" t="s">
        <v>1239</v>
      </c>
      <c r="F392" s="8">
        <v>2458</v>
      </c>
      <c r="G392" s="11">
        <v>7.0275178410312512E-3</v>
      </c>
      <c r="H392" s="12">
        <v>0.12240087223974447</v>
      </c>
      <c r="I392" t="s">
        <v>1238</v>
      </c>
      <c r="J392" s="8">
        <v>5</v>
      </c>
      <c r="K392">
        <v>6</v>
      </c>
      <c r="L392" s="11">
        <v>6.2155775398998981E-4</v>
      </c>
      <c r="M392" s="12">
        <v>0.83991099296666627</v>
      </c>
      <c r="N392" t="s">
        <v>1239</v>
      </c>
      <c r="O392" t="s">
        <v>1255</v>
      </c>
      <c r="P392" s="23">
        <f>VLOOKUP(A392,вариация!A$2:G$805,2,FALSE)</f>
        <v>2.2360679774997894</v>
      </c>
      <c r="Q392" t="str">
        <f>IF(вариация!H393="Yes",IF(P395&lt;0.1,"X",IF(P395&lt;0.25,"Y","Z")),"")</f>
        <v/>
      </c>
      <c r="R392" t="str">
        <f>O392&amp;Q392</f>
        <v>BAB</v>
      </c>
    </row>
    <row r="393" spans="1:18" x14ac:dyDescent="0.25">
      <c r="A393" s="7" t="s">
        <v>432</v>
      </c>
      <c r="B393" s="8">
        <v>1</v>
      </c>
      <c r="C393" s="11">
        <v>6.2155775398999025E-4</v>
      </c>
      <c r="D393" s="12">
        <v>0.84053255072065636</v>
      </c>
      <c r="E393" t="s">
        <v>1239</v>
      </c>
      <c r="F393" s="8">
        <v>54</v>
      </c>
      <c r="G393" s="11">
        <v>1.5438810553933586E-4</v>
      </c>
      <c r="H393" s="12">
        <v>0.99332764295662568</v>
      </c>
      <c r="I393" t="s">
        <v>1240</v>
      </c>
      <c r="J393" s="8">
        <v>5</v>
      </c>
      <c r="K393">
        <v>6</v>
      </c>
      <c r="L393" s="11">
        <v>6.2155775398998981E-4</v>
      </c>
      <c r="M393" s="12">
        <v>0.84053255072065625</v>
      </c>
      <c r="N393" t="s">
        <v>1239</v>
      </c>
      <c r="O393" t="s">
        <v>1257</v>
      </c>
      <c r="P393" s="23">
        <f>VLOOKUP(A393,вариация!A$2:G$805,2,FALSE)</f>
        <v>2.2360679774997894</v>
      </c>
      <c r="Q393" t="str">
        <f>IF(вариация!H394="Yes",IF(P396&lt;0.1,"X",IF(P396&lt;0.25,"Y","Z")),"")</f>
        <v/>
      </c>
      <c r="R393" t="str">
        <f>O393&amp;Q393</f>
        <v>BCB</v>
      </c>
    </row>
    <row r="394" spans="1:18" x14ac:dyDescent="0.25">
      <c r="A394" s="7" t="s">
        <v>254</v>
      </c>
      <c r="B394" s="8">
        <v>9</v>
      </c>
      <c r="C394" s="11">
        <v>5.5940197859099122E-3</v>
      </c>
      <c r="D394" s="12">
        <v>0.22749013796033635</v>
      </c>
      <c r="E394" t="s">
        <v>1238</v>
      </c>
      <c r="F394" s="8">
        <v>465</v>
      </c>
      <c r="G394" s="11">
        <v>1.32945313103317E-3</v>
      </c>
      <c r="H394" s="12">
        <v>0.67406246300349959</v>
      </c>
      <c r="I394" t="s">
        <v>1238</v>
      </c>
      <c r="J394" s="8">
        <v>5</v>
      </c>
      <c r="K394">
        <v>54</v>
      </c>
      <c r="L394" s="11">
        <v>5.5940197859099088E-3</v>
      </c>
      <c r="M394" s="12">
        <v>0.22749013796033621</v>
      </c>
      <c r="N394" t="s">
        <v>1238</v>
      </c>
      <c r="O394" t="s">
        <v>1252</v>
      </c>
      <c r="P394" s="23">
        <f>VLOOKUP(A394,вариация!A$2:G$805,2,FALSE)</f>
        <v>0.72435582280029431</v>
      </c>
      <c r="Q394" t="str">
        <f>IF(вариация!H395="Yes",IF(P397&lt;0.1,"X",IF(P397&lt;0.25,"Y","Z")),"")</f>
        <v>Z</v>
      </c>
      <c r="R394" t="str">
        <f>O394&amp;Q394</f>
        <v>AAAZ</v>
      </c>
    </row>
    <row r="395" spans="1:18" x14ac:dyDescent="0.25">
      <c r="A395" s="7" t="s">
        <v>327</v>
      </c>
      <c r="B395" s="8">
        <v>1</v>
      </c>
      <c r="C395" s="11">
        <v>6.2155775398999025E-4</v>
      </c>
      <c r="D395" s="12">
        <v>0.84115410847464633</v>
      </c>
      <c r="E395" t="s">
        <v>1239</v>
      </c>
      <c r="F395" s="8">
        <v>44</v>
      </c>
      <c r="G395" s="11">
        <v>1.2579771562464404E-4</v>
      </c>
      <c r="H395" s="12">
        <v>0.99575197696761875</v>
      </c>
      <c r="I395" t="s">
        <v>1240</v>
      </c>
      <c r="J395" s="8">
        <v>5</v>
      </c>
      <c r="K395">
        <v>6</v>
      </c>
      <c r="L395" s="11">
        <v>6.2155775398998981E-4</v>
      </c>
      <c r="M395" s="12">
        <v>0.84115410847464622</v>
      </c>
      <c r="N395" t="s">
        <v>1239</v>
      </c>
      <c r="O395" t="s">
        <v>1257</v>
      </c>
      <c r="P395" s="23">
        <f>VLOOKUP(A395,вариация!A$2:G$805,2,FALSE)</f>
        <v>2.2360679774997894</v>
      </c>
      <c r="Q395" t="str">
        <f>IF(вариация!H396="Yes",IF(P398&lt;0.1,"X",IF(P398&lt;0.25,"Y","Z")),"")</f>
        <v/>
      </c>
      <c r="R395" t="str">
        <f>O395&amp;Q395</f>
        <v>BCB</v>
      </c>
    </row>
    <row r="396" spans="1:18" x14ac:dyDescent="0.25">
      <c r="A396" s="7" t="s">
        <v>193</v>
      </c>
      <c r="B396" s="8">
        <v>1</v>
      </c>
      <c r="C396" s="11">
        <v>6.2155775398999025E-4</v>
      </c>
      <c r="D396" s="12">
        <v>0.84177566622863631</v>
      </c>
      <c r="E396" t="s">
        <v>1239</v>
      </c>
      <c r="F396" s="8">
        <v>92</v>
      </c>
      <c r="G396" s="11">
        <v>2.6303158721516478E-4</v>
      </c>
      <c r="H396" s="12">
        <v>0.97576871203856785</v>
      </c>
      <c r="I396" t="s">
        <v>1240</v>
      </c>
      <c r="J396" s="8">
        <v>5</v>
      </c>
      <c r="K396">
        <v>6</v>
      </c>
      <c r="L396" s="11">
        <v>6.2155775398998981E-4</v>
      </c>
      <c r="M396" s="12">
        <v>0.8417756662286362</v>
      </c>
      <c r="N396" t="s">
        <v>1239</v>
      </c>
      <c r="O396" t="s">
        <v>1257</v>
      </c>
      <c r="P396" s="23">
        <f>VLOOKUP(A396,вариация!A$2:G$805,2,FALSE)</f>
        <v>2.2360679774997894</v>
      </c>
      <c r="Q396" t="str">
        <f>IF(вариация!H397="Yes",IF(P399&lt;0.1,"X",IF(P399&lt;0.25,"Y","Z")),"")</f>
        <v/>
      </c>
      <c r="R396" t="str">
        <f>O396&amp;Q396</f>
        <v>BCB</v>
      </c>
    </row>
    <row r="397" spans="1:18" x14ac:dyDescent="0.25">
      <c r="A397" s="7" t="s">
        <v>502</v>
      </c>
      <c r="B397" s="8">
        <v>1</v>
      </c>
      <c r="C397" s="11">
        <v>6.2155775398999025E-4</v>
      </c>
      <c r="D397" s="12">
        <v>0.84239722398262629</v>
      </c>
      <c r="E397" t="s">
        <v>1239</v>
      </c>
      <c r="F397" s="8">
        <v>91</v>
      </c>
      <c r="G397" s="11">
        <v>2.6017254822369564E-4</v>
      </c>
      <c r="H397" s="12">
        <v>0.97629191617400679</v>
      </c>
      <c r="I397" t="s">
        <v>1240</v>
      </c>
      <c r="J397" s="8">
        <v>5</v>
      </c>
      <c r="K397">
        <v>6</v>
      </c>
      <c r="L397" s="11">
        <v>6.2155775398998981E-4</v>
      </c>
      <c r="M397" s="12">
        <v>0.84239722398262618</v>
      </c>
      <c r="N397" t="s">
        <v>1239</v>
      </c>
      <c r="O397" t="s">
        <v>1257</v>
      </c>
      <c r="P397" s="23">
        <f>VLOOKUP(A397,вариация!A$2:G$805,2,FALSE)</f>
        <v>2.2360679774997894</v>
      </c>
      <c r="Q397" t="str">
        <f>IF(вариация!H398="Yes",IF(P400&lt;0.1,"X",IF(P400&lt;0.25,"Y","Z")),"")</f>
        <v/>
      </c>
      <c r="R397" t="str">
        <f>O397&amp;Q397</f>
        <v>BCB</v>
      </c>
    </row>
    <row r="398" spans="1:18" x14ac:dyDescent="0.25">
      <c r="A398" s="7" t="s">
        <v>876</v>
      </c>
      <c r="B398" s="8">
        <v>1</v>
      </c>
      <c r="C398" s="11">
        <v>6.2155775398999025E-4</v>
      </c>
      <c r="D398" s="12">
        <v>0.84301878173661626</v>
      </c>
      <c r="E398" t="s">
        <v>1239</v>
      </c>
      <c r="F398" s="8">
        <v>53</v>
      </c>
      <c r="G398" s="11">
        <v>1.5152906654786668E-4</v>
      </c>
      <c r="H398" s="12">
        <v>0.99363356012871296</v>
      </c>
      <c r="I398" t="s">
        <v>1240</v>
      </c>
      <c r="J398" s="8">
        <v>5</v>
      </c>
      <c r="K398">
        <v>6</v>
      </c>
      <c r="L398" s="11">
        <v>6.2155775398998981E-4</v>
      </c>
      <c r="M398" s="12">
        <v>0.84301878173661615</v>
      </c>
      <c r="N398" t="s">
        <v>1239</v>
      </c>
      <c r="O398" t="s">
        <v>1257</v>
      </c>
      <c r="P398" s="23">
        <f>VLOOKUP(A398,вариация!A$2:G$805,2,FALSE)</f>
        <v>2.2360679774997894</v>
      </c>
      <c r="Q398" t="str">
        <f>IF(вариация!H399="Yes",IF(P401&lt;0.1,"X",IF(P401&lt;0.25,"Y","Z")),"")</f>
        <v/>
      </c>
      <c r="R398" t="str">
        <f>O398&amp;Q398</f>
        <v>BCB</v>
      </c>
    </row>
    <row r="399" spans="1:18" x14ac:dyDescent="0.25">
      <c r="A399" s="7" t="s">
        <v>1047</v>
      </c>
      <c r="B399" s="8">
        <v>1</v>
      </c>
      <c r="C399" s="11">
        <v>6.2155775398999025E-4</v>
      </c>
      <c r="D399" s="12">
        <v>0.84364033949060624</v>
      </c>
      <c r="E399" t="s">
        <v>1239</v>
      </c>
      <c r="F399" s="8">
        <v>98</v>
      </c>
      <c r="G399" s="11">
        <v>2.8018582116397993E-4</v>
      </c>
      <c r="H399" s="12">
        <v>0.96981036041878643</v>
      </c>
      <c r="I399" t="s">
        <v>1240</v>
      </c>
      <c r="J399" s="8">
        <v>5</v>
      </c>
      <c r="K399">
        <v>6</v>
      </c>
      <c r="L399" s="11">
        <v>6.2155775398998981E-4</v>
      </c>
      <c r="M399" s="12">
        <v>0.84364033949060613</v>
      </c>
      <c r="N399" t="s">
        <v>1239</v>
      </c>
      <c r="O399" t="s">
        <v>1257</v>
      </c>
      <c r="P399" s="23">
        <f>VLOOKUP(A399,вариация!A$2:G$805,2,FALSE)</f>
        <v>2.2360679774997894</v>
      </c>
      <c r="Q399" t="str">
        <f>IF(вариация!H400="Yes",IF(P402&lt;0.1,"X",IF(P402&lt;0.25,"Y","Z")),"")</f>
        <v/>
      </c>
      <c r="R399" t="str">
        <f>O399&amp;Q399</f>
        <v>BCB</v>
      </c>
    </row>
    <row r="400" spans="1:18" x14ac:dyDescent="0.25">
      <c r="A400" s="7" t="s">
        <v>555</v>
      </c>
      <c r="B400" s="8">
        <v>5</v>
      </c>
      <c r="C400" s="11">
        <v>3.1077887699499512E-3</v>
      </c>
      <c r="D400" s="12">
        <v>0.34496455346444416</v>
      </c>
      <c r="E400" t="s">
        <v>1238</v>
      </c>
      <c r="F400" s="8">
        <v>275</v>
      </c>
      <c r="G400" s="11">
        <v>7.862357226540252E-4</v>
      </c>
      <c r="H400" s="12">
        <v>0.84337713755751387</v>
      </c>
      <c r="I400" t="s">
        <v>1239</v>
      </c>
      <c r="J400" s="8">
        <v>5</v>
      </c>
      <c r="K400">
        <v>30</v>
      </c>
      <c r="L400" s="11">
        <v>3.1077887699499491E-3</v>
      </c>
      <c r="M400" s="12">
        <v>0.34496455346444399</v>
      </c>
      <c r="N400" t="s">
        <v>1238</v>
      </c>
      <c r="O400" t="s">
        <v>1253</v>
      </c>
      <c r="P400" s="23">
        <f>VLOOKUP(A400,вариация!A$2:G$805,2,FALSE)</f>
        <v>1.4142135623730951</v>
      </c>
      <c r="Q400" t="str">
        <f>IF(вариация!H401="Yes",IF(P403&lt;0.1,"X",IF(P403&lt;0.25,"Y","Z")),"")</f>
        <v/>
      </c>
      <c r="R400" t="str">
        <f>O400&amp;Q400</f>
        <v>ABA</v>
      </c>
    </row>
    <row r="401" spans="1:18" x14ac:dyDescent="0.25">
      <c r="A401" s="7" t="s">
        <v>943</v>
      </c>
      <c r="B401" s="8">
        <v>2</v>
      </c>
      <c r="C401" s="11">
        <v>1.2431155079799805E-3</v>
      </c>
      <c r="D401" s="12">
        <v>0.6109912721721581</v>
      </c>
      <c r="E401" t="s">
        <v>1238</v>
      </c>
      <c r="F401" s="8">
        <v>130</v>
      </c>
      <c r="G401" s="11">
        <v>3.7167506889099373E-4</v>
      </c>
      <c r="H401" s="12">
        <v>0.94642322133583889</v>
      </c>
      <c r="I401" t="s">
        <v>1239</v>
      </c>
      <c r="J401" s="8">
        <v>5</v>
      </c>
      <c r="K401">
        <v>12</v>
      </c>
      <c r="L401" s="11">
        <v>1.2431155079799796E-3</v>
      </c>
      <c r="M401" s="12">
        <v>0.61099127217215798</v>
      </c>
      <c r="N401" t="s">
        <v>1238</v>
      </c>
      <c r="O401" t="s">
        <v>1253</v>
      </c>
      <c r="P401" s="23">
        <f>VLOOKUP(A401,вариация!A$2:G$805,2,FALSE)</f>
        <v>2.2360679774997894</v>
      </c>
      <c r="Q401" t="str">
        <f>IF(вариация!H402="Yes",IF(P404&lt;0.1,"X",IF(P404&lt;0.25,"Y","Z")),"")</f>
        <v/>
      </c>
      <c r="R401" t="str">
        <f>O401&amp;Q401</f>
        <v>ABA</v>
      </c>
    </row>
    <row r="402" spans="1:18" x14ac:dyDescent="0.25">
      <c r="A402" s="7" t="s">
        <v>606</v>
      </c>
      <c r="B402" s="8">
        <v>1</v>
      </c>
      <c r="C402" s="11">
        <v>6.2155775398999025E-4</v>
      </c>
      <c r="D402" s="12">
        <v>0.84426189724459622</v>
      </c>
      <c r="E402" t="s">
        <v>1239</v>
      </c>
      <c r="F402" s="8">
        <v>835</v>
      </c>
      <c r="G402" s="11">
        <v>2.3872975578767674E-3</v>
      </c>
      <c r="H402" s="12">
        <v>0.47155861414014832</v>
      </c>
      <c r="I402" t="s">
        <v>1238</v>
      </c>
      <c r="J402" s="8">
        <v>5</v>
      </c>
      <c r="K402">
        <v>6</v>
      </c>
      <c r="L402" s="11">
        <v>6.2155775398998981E-4</v>
      </c>
      <c r="M402" s="12">
        <v>0.8442618972445961</v>
      </c>
      <c r="N402" t="s">
        <v>1239</v>
      </c>
      <c r="O402" t="s">
        <v>1255</v>
      </c>
      <c r="P402" s="23">
        <f>VLOOKUP(A402,вариация!A$2:G$805,2,FALSE)</f>
        <v>2.2360679774997894</v>
      </c>
      <c r="Q402" t="str">
        <f>IF(вариация!H403="Yes",IF(P405&lt;0.1,"X",IF(P405&lt;0.25,"Y","Z")),"")</f>
        <v/>
      </c>
      <c r="R402" t="str">
        <f>O402&amp;Q402</f>
        <v>BAB</v>
      </c>
    </row>
    <row r="403" spans="1:18" x14ac:dyDescent="0.25">
      <c r="A403" s="7" t="s">
        <v>66</v>
      </c>
      <c r="B403" s="8">
        <v>2</v>
      </c>
      <c r="C403" s="11">
        <v>1.2431155079799805E-3</v>
      </c>
      <c r="D403" s="12">
        <v>0.61223438768013805</v>
      </c>
      <c r="E403" t="s">
        <v>1238</v>
      </c>
      <c r="F403" s="8">
        <v>1461</v>
      </c>
      <c r="G403" s="11">
        <v>4.1770559665364757E-3</v>
      </c>
      <c r="H403" s="12">
        <v>0.25765505946140221</v>
      </c>
      <c r="I403" t="s">
        <v>1238</v>
      </c>
      <c r="J403" s="8">
        <v>5</v>
      </c>
      <c r="K403">
        <v>12</v>
      </c>
      <c r="L403" s="11">
        <v>1.2431155079799796E-3</v>
      </c>
      <c r="M403" s="12">
        <v>0.61223438768013794</v>
      </c>
      <c r="N403" t="s">
        <v>1238</v>
      </c>
      <c r="O403" t="s">
        <v>1252</v>
      </c>
      <c r="P403" s="23">
        <f>VLOOKUP(A403,вариация!A$2:G$805,2,FALSE)</f>
        <v>1.3693063937629151</v>
      </c>
      <c r="Q403" t="str">
        <f>IF(вариация!H404="Yes",IF(P406&lt;0.1,"X",IF(P406&lt;0.25,"Y","Z")),"")</f>
        <v/>
      </c>
      <c r="R403" t="str">
        <f>O403&amp;Q403</f>
        <v>AAA</v>
      </c>
    </row>
    <row r="404" spans="1:18" x14ac:dyDescent="0.25">
      <c r="A404" s="7" t="s">
        <v>940</v>
      </c>
      <c r="B404" s="8">
        <v>1</v>
      </c>
      <c r="C404" s="11">
        <v>6.2155775398999025E-4</v>
      </c>
      <c r="D404" s="12">
        <v>0.84488345499858619</v>
      </c>
      <c r="E404" t="s">
        <v>1239</v>
      </c>
      <c r="F404" s="8">
        <v>613</v>
      </c>
      <c r="G404" s="11">
        <v>1.752590901770609E-3</v>
      </c>
      <c r="H404" s="12">
        <v>0.5727906853174094</v>
      </c>
      <c r="I404" t="s">
        <v>1238</v>
      </c>
      <c r="J404" s="8">
        <v>5</v>
      </c>
      <c r="K404">
        <v>6</v>
      </c>
      <c r="L404" s="11">
        <v>6.2155775398998981E-4</v>
      </c>
      <c r="M404" s="12">
        <v>0.84488345499858608</v>
      </c>
      <c r="N404" t="s">
        <v>1239</v>
      </c>
      <c r="O404" t="s">
        <v>1255</v>
      </c>
      <c r="P404" s="23">
        <f>VLOOKUP(A404,вариация!A$2:G$805,2,FALSE)</f>
        <v>2.2360679774997894</v>
      </c>
      <c r="Q404" t="str">
        <f>IF(вариация!H405="Yes",IF(P407&lt;0.1,"X",IF(P407&lt;0.25,"Y","Z")),"")</f>
        <v/>
      </c>
      <c r="R404" t="str">
        <f>O404&amp;Q404</f>
        <v>BAB</v>
      </c>
    </row>
    <row r="405" spans="1:18" x14ac:dyDescent="0.25">
      <c r="A405" s="7" t="s">
        <v>1095</v>
      </c>
      <c r="B405" s="8">
        <v>1</v>
      </c>
      <c r="C405" s="11">
        <v>6.2155775398999025E-4</v>
      </c>
      <c r="D405" s="12">
        <v>0.84550501275257617</v>
      </c>
      <c r="E405" t="s">
        <v>1239</v>
      </c>
      <c r="F405" s="8">
        <v>278</v>
      </c>
      <c r="G405" s="11">
        <v>7.9481283962843275E-4</v>
      </c>
      <c r="H405" s="12">
        <v>0.84022361754992347</v>
      </c>
      <c r="I405" t="s">
        <v>1239</v>
      </c>
      <c r="J405" s="8">
        <v>5</v>
      </c>
      <c r="K405">
        <v>6</v>
      </c>
      <c r="L405" s="11">
        <v>6.2155775398998981E-4</v>
      </c>
      <c r="M405" s="12">
        <v>0.84550501275257606</v>
      </c>
      <c r="N405" t="s">
        <v>1239</v>
      </c>
      <c r="O405" t="s">
        <v>1256</v>
      </c>
      <c r="P405" s="23">
        <f>VLOOKUP(A405,вариация!A$2:G$805,2,FALSE)</f>
        <v>2.2360679774997894</v>
      </c>
      <c r="Q405" t="str">
        <f>IF(вариация!H406="Yes",IF(P408&lt;0.1,"X",IF(P408&lt;0.25,"Y","Z")),"")</f>
        <v/>
      </c>
      <c r="R405" t="str">
        <f>O405&amp;Q405</f>
        <v>BBB</v>
      </c>
    </row>
    <row r="406" spans="1:18" x14ac:dyDescent="0.25">
      <c r="A406" s="7" t="s">
        <v>693</v>
      </c>
      <c r="B406" s="8">
        <v>1</v>
      </c>
      <c r="C406" s="11">
        <v>6.2155775398999025E-4</v>
      </c>
      <c r="D406" s="12">
        <v>0.84612657050656614</v>
      </c>
      <c r="E406" t="s">
        <v>1239</v>
      </c>
      <c r="F406" s="8">
        <v>629</v>
      </c>
      <c r="G406" s="11">
        <v>1.798335525634116E-3</v>
      </c>
      <c r="H406" s="12">
        <v>0.56225512663384536</v>
      </c>
      <c r="I406" t="s">
        <v>1238</v>
      </c>
      <c r="J406" s="8">
        <v>5</v>
      </c>
      <c r="K406">
        <v>6</v>
      </c>
      <c r="L406" s="11">
        <v>6.2155775398998981E-4</v>
      </c>
      <c r="M406" s="12">
        <v>0.84612657050656603</v>
      </c>
      <c r="N406" t="s">
        <v>1239</v>
      </c>
      <c r="O406" t="s">
        <v>1255</v>
      </c>
      <c r="P406" s="23">
        <f>VLOOKUP(A406,вариация!A$2:G$805,2,FALSE)</f>
        <v>2.2360679774997894</v>
      </c>
      <c r="Q406" t="str">
        <f>IF(вариация!H407="Yes",IF(P409&lt;0.1,"X",IF(P409&lt;0.25,"Y","Z")),"")</f>
        <v/>
      </c>
      <c r="R406" t="str">
        <f>O406&amp;Q406</f>
        <v>BAB</v>
      </c>
    </row>
    <row r="407" spans="1:18" x14ac:dyDescent="0.25">
      <c r="A407" s="7" t="s">
        <v>356</v>
      </c>
      <c r="B407" s="8">
        <v>0.7</v>
      </c>
      <c r="C407" s="11">
        <v>4.350904277929931E-4</v>
      </c>
      <c r="D407" s="12">
        <v>0.99436809483317556</v>
      </c>
      <c r="E407" t="s">
        <v>1240</v>
      </c>
      <c r="F407" s="8">
        <v>254.79999999999998</v>
      </c>
      <c r="G407" s="11">
        <v>7.2848313502634767E-4</v>
      </c>
      <c r="H407" s="12">
        <v>0.86757081157898053</v>
      </c>
      <c r="I407" t="s">
        <v>1239</v>
      </c>
      <c r="J407" s="8">
        <v>5</v>
      </c>
      <c r="K407">
        <v>4.1999999999999993</v>
      </c>
      <c r="L407" s="11">
        <v>4.3509042779299283E-4</v>
      </c>
      <c r="M407" s="12">
        <v>0.99436809483317545</v>
      </c>
      <c r="N407" t="s">
        <v>1240</v>
      </c>
      <c r="O407" t="s">
        <v>1259</v>
      </c>
      <c r="P407" s="23">
        <f>VLOOKUP(A407,вариация!A$2:G$805,2,FALSE)</f>
        <v>2.2360679774997898</v>
      </c>
      <c r="Q407" t="str">
        <f>IF(вариация!H408="Yes",IF(P410&lt;0.1,"X",IF(P410&lt;0.25,"Y","Z")),"")</f>
        <v/>
      </c>
      <c r="R407" t="str">
        <f>O407&amp;Q407</f>
        <v>CBC</v>
      </c>
    </row>
    <row r="408" spans="1:18" x14ac:dyDescent="0.25">
      <c r="A408" s="7" t="s">
        <v>469</v>
      </c>
      <c r="B408" s="8">
        <v>8</v>
      </c>
      <c r="C408" s="11">
        <v>4.972462031919922E-3</v>
      </c>
      <c r="D408" s="12">
        <v>0.25359556362791591</v>
      </c>
      <c r="E408" t="s">
        <v>1238</v>
      </c>
      <c r="F408" s="8">
        <v>219</v>
      </c>
      <c r="G408" s="11">
        <v>6.2612953913175097E-4</v>
      </c>
      <c r="H408" s="12">
        <v>0.89070043701996648</v>
      </c>
      <c r="I408" t="s">
        <v>1239</v>
      </c>
      <c r="J408" s="8">
        <v>5</v>
      </c>
      <c r="K408">
        <v>48</v>
      </c>
      <c r="L408" s="11">
        <v>4.9724620319199185E-3</v>
      </c>
      <c r="M408" s="12">
        <v>0.25359556362791574</v>
      </c>
      <c r="N408" t="s">
        <v>1238</v>
      </c>
      <c r="O408" t="s">
        <v>1253</v>
      </c>
      <c r="P408" s="23">
        <f>VLOOKUP(A408,вариация!A$2:G$805,2,FALSE)</f>
        <v>1.5687375497513916</v>
      </c>
      <c r="Q408" t="str">
        <f>IF(вариация!H409="Yes",IF(P411&lt;0.1,"X",IF(P411&lt;0.25,"Y","Z")),"")</f>
        <v>Z</v>
      </c>
      <c r="R408" t="str">
        <f>O408&amp;Q408</f>
        <v>ABAZ</v>
      </c>
    </row>
    <row r="409" spans="1:18" x14ac:dyDescent="0.25">
      <c r="A409" s="7" t="s">
        <v>977</v>
      </c>
      <c r="B409" s="8">
        <v>1</v>
      </c>
      <c r="C409" s="11">
        <v>6.2155775398999025E-4</v>
      </c>
      <c r="D409" s="12">
        <v>0.84674812826055612</v>
      </c>
      <c r="E409" t="s">
        <v>1239</v>
      </c>
      <c r="F409" s="8">
        <v>74</v>
      </c>
      <c r="G409" s="11">
        <v>2.1156888536871953E-4</v>
      </c>
      <c r="H409" s="12">
        <v>0.98615171240154731</v>
      </c>
      <c r="I409" t="s">
        <v>1240</v>
      </c>
      <c r="J409" s="8">
        <v>5</v>
      </c>
      <c r="K409">
        <v>6</v>
      </c>
      <c r="L409" s="11">
        <v>6.2155775398998981E-4</v>
      </c>
      <c r="M409" s="12">
        <v>0.84674812826055601</v>
      </c>
      <c r="N409" t="s">
        <v>1239</v>
      </c>
      <c r="O409" t="s">
        <v>1257</v>
      </c>
      <c r="P409" s="23">
        <f>VLOOKUP(A409,вариация!A$2:G$805,2,FALSE)</f>
        <v>2.2360679774997894</v>
      </c>
      <c r="Q409" t="str">
        <f>IF(вариация!H410="Yes",IF(P412&lt;0.1,"X",IF(P412&lt;0.25,"Y","Z")),"")</f>
        <v/>
      </c>
      <c r="R409" t="str">
        <f>O409&amp;Q409</f>
        <v>BCB</v>
      </c>
    </row>
    <row r="410" spans="1:18" x14ac:dyDescent="0.25">
      <c r="A410" s="7" t="s">
        <v>738</v>
      </c>
      <c r="B410" s="8">
        <v>2</v>
      </c>
      <c r="C410" s="11">
        <v>1.2431155079799805E-3</v>
      </c>
      <c r="D410" s="12">
        <v>0.613477503188118</v>
      </c>
      <c r="E410" t="s">
        <v>1238</v>
      </c>
      <c r="F410" s="8">
        <v>258</v>
      </c>
      <c r="G410" s="11">
        <v>7.3763205979904918E-4</v>
      </c>
      <c r="H410" s="12">
        <v>0.86171893057124127</v>
      </c>
      <c r="I410" t="s">
        <v>1239</v>
      </c>
      <c r="J410" s="8">
        <v>5</v>
      </c>
      <c r="K410">
        <v>12</v>
      </c>
      <c r="L410" s="11">
        <v>1.2431155079799796E-3</v>
      </c>
      <c r="M410" s="12">
        <v>0.61347750318811789</v>
      </c>
      <c r="N410" t="s">
        <v>1238</v>
      </c>
      <c r="O410" t="s">
        <v>1253</v>
      </c>
      <c r="P410" s="23">
        <f>VLOOKUP(A410,вариация!A$2:G$805,2,FALSE)</f>
        <v>2.2360679774997894</v>
      </c>
      <c r="Q410" t="str">
        <f>IF(вариация!H411="Yes",IF(P413&lt;0.1,"X",IF(P413&lt;0.25,"Y","Z")),"")</f>
        <v/>
      </c>
      <c r="R410" t="str">
        <f>O410&amp;Q410</f>
        <v>ABA</v>
      </c>
    </row>
    <row r="411" spans="1:18" x14ac:dyDescent="0.25">
      <c r="A411" s="7" t="s">
        <v>529</v>
      </c>
      <c r="B411" s="8">
        <v>3</v>
      </c>
      <c r="C411" s="11">
        <v>1.8646732619699705E-3</v>
      </c>
      <c r="D411" s="12">
        <v>0.46430364223052262</v>
      </c>
      <c r="E411" t="s">
        <v>1238</v>
      </c>
      <c r="F411" s="8">
        <v>225</v>
      </c>
      <c r="G411" s="11">
        <v>6.4328377308056606E-4</v>
      </c>
      <c r="H411" s="12">
        <v>0.8881644694345332</v>
      </c>
      <c r="I411" t="s">
        <v>1239</v>
      </c>
      <c r="J411" s="8">
        <v>5</v>
      </c>
      <c r="K411">
        <v>18</v>
      </c>
      <c r="L411" s="11">
        <v>1.8646732619699697E-3</v>
      </c>
      <c r="M411" s="12">
        <v>0.46430364223052245</v>
      </c>
      <c r="N411" t="s">
        <v>1238</v>
      </c>
      <c r="O411" t="s">
        <v>1253</v>
      </c>
      <c r="P411" s="23">
        <f>VLOOKUP(A411,вариация!A$2:G$805,2,FALSE)</f>
        <v>0.91287092917527679</v>
      </c>
      <c r="Q411" t="str">
        <f>IF(вариация!H412="Yes",IF(P414&lt;0.1,"X",IF(P414&lt;0.25,"Y","Z")),"")</f>
        <v>Z</v>
      </c>
      <c r="R411" t="str">
        <f>O411&amp;Q411</f>
        <v>ABAZ</v>
      </c>
    </row>
    <row r="412" spans="1:18" x14ac:dyDescent="0.25">
      <c r="A412" s="7" t="s">
        <v>68</v>
      </c>
      <c r="B412" s="8">
        <v>4</v>
      </c>
      <c r="C412" s="11">
        <v>2.486231015959961E-3</v>
      </c>
      <c r="D412" s="12">
        <v>0.38723048073576344</v>
      </c>
      <c r="E412" t="s">
        <v>1238</v>
      </c>
      <c r="F412" s="8">
        <v>1142.6399999999999</v>
      </c>
      <c r="G412" s="11">
        <v>3.2668523132123465E-3</v>
      </c>
      <c r="H412" s="12">
        <v>0.35982929549901649</v>
      </c>
      <c r="I412" t="s">
        <v>1238</v>
      </c>
      <c r="J412" s="8">
        <v>5</v>
      </c>
      <c r="K412">
        <v>24</v>
      </c>
      <c r="L412" s="11">
        <v>2.4862310159599593E-3</v>
      </c>
      <c r="M412" s="12">
        <v>0.38723048073576327</v>
      </c>
      <c r="N412" t="s">
        <v>1238</v>
      </c>
      <c r="O412" t="s">
        <v>1252</v>
      </c>
      <c r="P412" s="23">
        <f>VLOOKUP(A412,вариация!A$2:G$805,2,FALSE)</f>
        <v>1.0458250331675945</v>
      </c>
      <c r="Q412" t="str">
        <f>IF(вариация!H413="Yes",IF(P415&lt;0.1,"X",IF(P415&lt;0.25,"Y","Z")),"")</f>
        <v>Z</v>
      </c>
      <c r="R412" t="str">
        <f>O412&amp;Q412</f>
        <v>AAAZ</v>
      </c>
    </row>
    <row r="413" spans="1:18" x14ac:dyDescent="0.25">
      <c r="A413" s="7" t="s">
        <v>829</v>
      </c>
      <c r="B413" s="8">
        <v>3</v>
      </c>
      <c r="C413" s="11">
        <v>1.8646732619699705E-3</v>
      </c>
      <c r="D413" s="12">
        <v>0.4661683154924926</v>
      </c>
      <c r="E413" t="s">
        <v>1238</v>
      </c>
      <c r="F413" s="8">
        <v>1444</v>
      </c>
      <c r="G413" s="11">
        <v>4.1284523036814996E-3</v>
      </c>
      <c r="H413" s="12">
        <v>0.27007729797543661</v>
      </c>
      <c r="I413" t="s">
        <v>1238</v>
      </c>
      <c r="J413" s="8">
        <v>5</v>
      </c>
      <c r="K413">
        <v>18</v>
      </c>
      <c r="L413" s="11">
        <v>1.8646732619699697E-3</v>
      </c>
      <c r="M413" s="12">
        <v>0.46616831549249244</v>
      </c>
      <c r="N413" t="s">
        <v>1238</v>
      </c>
      <c r="O413" t="s">
        <v>1252</v>
      </c>
      <c r="P413" s="23">
        <f>VLOOKUP(A413,вариация!A$2:G$805,2,FALSE)</f>
        <v>1.4907119849998598</v>
      </c>
      <c r="Q413" t="str">
        <f>IF(вариация!H414="Yes",IF(P416&lt;0.1,"X",IF(P416&lt;0.25,"Y","Z")),"")</f>
        <v/>
      </c>
      <c r="R413" t="str">
        <f>O413&amp;Q413</f>
        <v>AAA</v>
      </c>
    </row>
    <row r="414" spans="1:18" x14ac:dyDescent="0.25">
      <c r="A414" s="7" t="s">
        <v>525</v>
      </c>
      <c r="B414" s="8">
        <v>2</v>
      </c>
      <c r="C414" s="11">
        <v>1.2431155079799805E-3</v>
      </c>
      <c r="D414" s="12">
        <v>0.61472061869609795</v>
      </c>
      <c r="E414" t="s">
        <v>1238</v>
      </c>
      <c r="F414" s="8">
        <v>428</v>
      </c>
      <c r="G414" s="11">
        <v>1.2236686883488103E-3</v>
      </c>
      <c r="H414" s="12">
        <v>0.71124426508755645</v>
      </c>
      <c r="I414" t="s">
        <v>1238</v>
      </c>
      <c r="J414" s="8">
        <v>5</v>
      </c>
      <c r="K414">
        <v>12</v>
      </c>
      <c r="L414" s="11">
        <v>1.2431155079799796E-3</v>
      </c>
      <c r="M414" s="12">
        <v>0.61472061869609784</v>
      </c>
      <c r="N414" t="s">
        <v>1238</v>
      </c>
      <c r="O414" t="s">
        <v>1252</v>
      </c>
      <c r="P414" s="23">
        <f>VLOOKUP(A414,вариация!A$2:G$805,2,FALSE)</f>
        <v>2.2360679774997894</v>
      </c>
      <c r="Q414" t="str">
        <f>IF(вариация!H415="Yes",IF(P417&lt;0.1,"X",IF(P417&lt;0.25,"Y","Z")),"")</f>
        <v/>
      </c>
      <c r="R414" t="str">
        <f>O414&amp;Q414</f>
        <v>AAA</v>
      </c>
    </row>
    <row r="415" spans="1:18" x14ac:dyDescent="0.25">
      <c r="A415" s="7" t="s">
        <v>991</v>
      </c>
      <c r="B415" s="8">
        <v>1</v>
      </c>
      <c r="C415" s="11">
        <v>6.2155775398999025E-4</v>
      </c>
      <c r="D415" s="12">
        <v>0.8473696860145461</v>
      </c>
      <c r="E415" t="s">
        <v>1239</v>
      </c>
      <c r="F415" s="8">
        <v>357</v>
      </c>
      <c r="G415" s="11">
        <v>1.0206769199544983E-3</v>
      </c>
      <c r="H415" s="12">
        <v>0.77249058224926537</v>
      </c>
      <c r="I415" t="s">
        <v>1238</v>
      </c>
      <c r="J415" s="8">
        <v>5</v>
      </c>
      <c r="K415">
        <v>6</v>
      </c>
      <c r="L415" s="11">
        <v>6.2155775398998981E-4</v>
      </c>
      <c r="M415" s="12">
        <v>0.84736968601454599</v>
      </c>
      <c r="N415" t="s">
        <v>1239</v>
      </c>
      <c r="O415" t="s">
        <v>1255</v>
      </c>
      <c r="P415" s="23">
        <f>VLOOKUP(A415,вариация!A$2:G$805,2,FALSE)</f>
        <v>2.2360679774997894</v>
      </c>
      <c r="Q415" t="str">
        <f>IF(вариация!H416="Yes",IF(P418&lt;0.1,"X",IF(P418&lt;0.25,"Y","Z")),"")</f>
        <v/>
      </c>
      <c r="R415" t="str">
        <f>O415&amp;Q415</f>
        <v>BAB</v>
      </c>
    </row>
    <row r="416" spans="1:18" x14ac:dyDescent="0.25">
      <c r="A416" s="7" t="s">
        <v>1054</v>
      </c>
      <c r="B416" s="8">
        <v>1</v>
      </c>
      <c r="C416" s="11">
        <v>6.2155775398999025E-4</v>
      </c>
      <c r="D416" s="12">
        <v>0.84799124376853607</v>
      </c>
      <c r="E416" t="s">
        <v>1239</v>
      </c>
      <c r="F416" s="8">
        <v>500</v>
      </c>
      <c r="G416" s="11">
        <v>1.4295194957345914E-3</v>
      </c>
      <c r="H416" s="12">
        <v>0.6509109046791034</v>
      </c>
      <c r="I416" t="s">
        <v>1238</v>
      </c>
      <c r="J416" s="8">
        <v>5</v>
      </c>
      <c r="K416">
        <v>6</v>
      </c>
      <c r="L416" s="11">
        <v>6.2155775398998981E-4</v>
      </c>
      <c r="M416" s="12">
        <v>0.84799124376853596</v>
      </c>
      <c r="N416" t="s">
        <v>1239</v>
      </c>
      <c r="O416" t="s">
        <v>1255</v>
      </c>
      <c r="P416" s="23">
        <f>VLOOKUP(A416,вариация!A$2:G$805,2,FALSE)</f>
        <v>2.2360679774997894</v>
      </c>
      <c r="Q416" t="str">
        <f>IF(вариация!H417="Yes",IF(P419&lt;0.1,"X",IF(P419&lt;0.25,"Y","Z")),"")</f>
        <v/>
      </c>
      <c r="R416" t="str">
        <f>O416&amp;Q416</f>
        <v>BAB</v>
      </c>
    </row>
    <row r="417" spans="1:18" x14ac:dyDescent="0.25">
      <c r="A417" s="7" t="s">
        <v>450</v>
      </c>
      <c r="B417" s="8">
        <v>1</v>
      </c>
      <c r="C417" s="11">
        <v>6.2155775398999025E-4</v>
      </c>
      <c r="D417" s="12">
        <v>0.84861280152252605</v>
      </c>
      <c r="E417" t="s">
        <v>1239</v>
      </c>
      <c r="F417" s="8">
        <v>596</v>
      </c>
      <c r="G417" s="11">
        <v>1.7039872389156328E-3</v>
      </c>
      <c r="H417" s="12">
        <v>0.58491301064123868</v>
      </c>
      <c r="I417" t="s">
        <v>1238</v>
      </c>
      <c r="J417" s="8">
        <v>5</v>
      </c>
      <c r="K417">
        <v>6</v>
      </c>
      <c r="L417" s="11">
        <v>6.2155775398998981E-4</v>
      </c>
      <c r="M417" s="12">
        <v>0.84861280152252594</v>
      </c>
      <c r="N417" t="s">
        <v>1239</v>
      </c>
      <c r="O417" t="s">
        <v>1255</v>
      </c>
      <c r="P417" s="23">
        <f>VLOOKUP(A417,вариация!A$2:G$805,2,FALSE)</f>
        <v>2.2360679774997894</v>
      </c>
      <c r="Q417" t="str">
        <f>IF(вариация!H418="Yes",IF(P420&lt;0.1,"X",IF(P420&lt;0.25,"Y","Z")),"")</f>
        <v/>
      </c>
      <c r="R417" t="str">
        <f>O417&amp;Q417</f>
        <v>BAB</v>
      </c>
    </row>
    <row r="418" spans="1:18" x14ac:dyDescent="0.25">
      <c r="A418" s="7" t="s">
        <v>484</v>
      </c>
      <c r="B418" s="8">
        <v>1</v>
      </c>
      <c r="C418" s="11">
        <v>6.2155775398999025E-4</v>
      </c>
      <c r="D418" s="12">
        <v>0.84923435927651603</v>
      </c>
      <c r="E418" t="s">
        <v>1239</v>
      </c>
      <c r="F418" s="8">
        <v>239</v>
      </c>
      <c r="G418" s="11">
        <v>6.8331031896113465E-4</v>
      </c>
      <c r="H418" s="12">
        <v>0.8801934687263171</v>
      </c>
      <c r="I418" t="s">
        <v>1239</v>
      </c>
      <c r="J418" s="8">
        <v>5</v>
      </c>
      <c r="K418">
        <v>6</v>
      </c>
      <c r="L418" s="11">
        <v>6.2155775398998981E-4</v>
      </c>
      <c r="M418" s="12">
        <v>0.84923435927651592</v>
      </c>
      <c r="N418" t="s">
        <v>1239</v>
      </c>
      <c r="O418" t="s">
        <v>1256</v>
      </c>
      <c r="P418" s="23">
        <f>VLOOKUP(A418,вариация!A$2:G$805,2,FALSE)</f>
        <v>2.2360679774997894</v>
      </c>
      <c r="Q418" t="str">
        <f>IF(вариация!H419="Yes",IF(P421&lt;0.1,"X",IF(P421&lt;0.25,"Y","Z")),"")</f>
        <v/>
      </c>
      <c r="R418" t="str">
        <f>O418&amp;Q418</f>
        <v>BBB</v>
      </c>
    </row>
    <row r="419" spans="1:18" x14ac:dyDescent="0.25">
      <c r="A419" s="7" t="s">
        <v>239</v>
      </c>
      <c r="B419" s="8">
        <v>13</v>
      </c>
      <c r="C419" s="11">
        <v>8.0802508018698732E-3</v>
      </c>
      <c r="D419" s="12">
        <v>0.1535247652355276</v>
      </c>
      <c r="E419" t="s">
        <v>1238</v>
      </c>
      <c r="F419" s="8">
        <v>456</v>
      </c>
      <c r="G419" s="11">
        <v>1.3037217801099472E-3</v>
      </c>
      <c r="H419" s="12">
        <v>0.68592461577910535</v>
      </c>
      <c r="I419" t="s">
        <v>1238</v>
      </c>
      <c r="J419" s="8">
        <v>5</v>
      </c>
      <c r="K419">
        <v>78</v>
      </c>
      <c r="L419" s="11">
        <v>8.080250801869868E-3</v>
      </c>
      <c r="M419" s="12">
        <v>0.15352476523552747</v>
      </c>
      <c r="N419" t="s">
        <v>1238</v>
      </c>
      <c r="O419" t="s">
        <v>1252</v>
      </c>
      <c r="P419" s="23">
        <f>VLOOKUP(A419,вариация!A$2:G$805,2,FALSE)</f>
        <v>1.0029542161850229</v>
      </c>
      <c r="Q419" t="str">
        <f>IF(вариация!H420="Yes",IF(P422&lt;0.1,"X",IF(P422&lt;0.25,"Y","Z")),"")</f>
        <v>Z</v>
      </c>
      <c r="R419" t="str">
        <f>O419&amp;Q419</f>
        <v>AAAZ</v>
      </c>
    </row>
    <row r="420" spans="1:18" x14ac:dyDescent="0.25">
      <c r="A420" s="7" t="s">
        <v>819</v>
      </c>
      <c r="B420" s="8">
        <v>3</v>
      </c>
      <c r="C420" s="11">
        <v>1.8646732619699705E-3</v>
      </c>
      <c r="D420" s="12">
        <v>0.46803298875446259</v>
      </c>
      <c r="E420" t="s">
        <v>1238</v>
      </c>
      <c r="F420" s="8">
        <v>122</v>
      </c>
      <c r="G420" s="11">
        <v>3.488027569592403E-4</v>
      </c>
      <c r="H420" s="12">
        <v>0.95393425985110736</v>
      </c>
      <c r="I420" t="s">
        <v>1240</v>
      </c>
      <c r="J420" s="8">
        <v>5</v>
      </c>
      <c r="K420">
        <v>18</v>
      </c>
      <c r="L420" s="11">
        <v>1.8646732619699697E-3</v>
      </c>
      <c r="M420" s="12">
        <v>0.46803298875446242</v>
      </c>
      <c r="N420" t="s">
        <v>1238</v>
      </c>
      <c r="O420" t="s">
        <v>1254</v>
      </c>
      <c r="P420" s="23">
        <f>VLOOKUP(A420,вариация!A$2:G$805,2,FALSE)</f>
        <v>1.4907119849998598</v>
      </c>
      <c r="Q420" t="str">
        <f>IF(вариация!H421="Yes",IF(P423&lt;0.1,"X",IF(P423&lt;0.25,"Y","Z")),"")</f>
        <v/>
      </c>
      <c r="R420" t="str">
        <f>O420&amp;Q420</f>
        <v>ACA</v>
      </c>
    </row>
    <row r="421" spans="1:18" x14ac:dyDescent="0.25">
      <c r="A421" s="7" t="s">
        <v>1227</v>
      </c>
      <c r="B421" s="8">
        <v>4</v>
      </c>
      <c r="C421" s="11">
        <v>2.486231015959961E-3</v>
      </c>
      <c r="D421" s="12">
        <v>0.3897167117517234</v>
      </c>
      <c r="E421" t="s">
        <v>1238</v>
      </c>
      <c r="F421" s="8">
        <v>44</v>
      </c>
      <c r="G421" s="11">
        <v>1.2579771562464404E-4</v>
      </c>
      <c r="H421" s="12">
        <v>0.99587777468324334</v>
      </c>
      <c r="I421" t="s">
        <v>1240</v>
      </c>
      <c r="J421" s="8">
        <v>5</v>
      </c>
      <c r="K421">
        <v>24</v>
      </c>
      <c r="L421" s="11">
        <v>2.4862310159599593E-3</v>
      </c>
      <c r="M421" s="12">
        <v>0.38971671175172323</v>
      </c>
      <c r="N421" t="s">
        <v>1238</v>
      </c>
      <c r="O421" t="s">
        <v>1254</v>
      </c>
      <c r="P421" s="23">
        <f>VLOOKUP(A421,вариация!A$2:G$805,2,FALSE)</f>
        <v>2.2360679774997894</v>
      </c>
      <c r="Q421" t="str">
        <f>IF(вариация!H422="Yes",IF(P424&lt;0.1,"X",IF(P424&lt;0.25,"Y","Z")),"")</f>
        <v/>
      </c>
      <c r="R421" t="str">
        <f>O421&amp;Q421</f>
        <v>ACA</v>
      </c>
    </row>
    <row r="422" spans="1:18" x14ac:dyDescent="0.25">
      <c r="A422" s="7" t="s">
        <v>592</v>
      </c>
      <c r="B422" s="8">
        <v>3</v>
      </c>
      <c r="C422" s="11">
        <v>1.8646732619699705E-3</v>
      </c>
      <c r="D422" s="12">
        <v>0.46989766201643257</v>
      </c>
      <c r="E422" t="s">
        <v>1238</v>
      </c>
      <c r="F422" s="8">
        <v>399</v>
      </c>
      <c r="G422" s="11">
        <v>1.1407565575962039E-3</v>
      </c>
      <c r="H422" s="12">
        <v>0.73481990061121116</v>
      </c>
      <c r="I422" t="s">
        <v>1238</v>
      </c>
      <c r="J422" s="8">
        <v>5</v>
      </c>
      <c r="K422">
        <v>18</v>
      </c>
      <c r="L422" s="11">
        <v>1.8646732619699697E-3</v>
      </c>
      <c r="M422" s="12">
        <v>0.4698976620164324</v>
      </c>
      <c r="N422" t="s">
        <v>1238</v>
      </c>
      <c r="O422" t="s">
        <v>1252</v>
      </c>
      <c r="P422" s="23">
        <f>VLOOKUP(A422,вариация!A$2:G$805,2,FALSE)</f>
        <v>0.91287092917527679</v>
      </c>
      <c r="Q422" t="str">
        <f>IF(вариация!H423="Yes",IF(P425&lt;0.1,"X",IF(P425&lt;0.25,"Y","Z")),"")</f>
        <v>Z</v>
      </c>
      <c r="R422" t="str">
        <f>O422&amp;Q422</f>
        <v>AAAZ</v>
      </c>
    </row>
    <row r="423" spans="1:18" x14ac:dyDescent="0.25">
      <c r="A423" s="7" t="s">
        <v>1038</v>
      </c>
      <c r="B423" s="8">
        <v>1</v>
      </c>
      <c r="C423" s="11">
        <v>6.2155775398999025E-4</v>
      </c>
      <c r="D423" s="12">
        <v>0.849855917030506</v>
      </c>
      <c r="E423" t="s">
        <v>1239</v>
      </c>
      <c r="F423" s="8">
        <v>49</v>
      </c>
      <c r="G423" s="11">
        <v>1.4009291058198996E-4</v>
      </c>
      <c r="H423" s="12">
        <v>0.99494504180266641</v>
      </c>
      <c r="I423" t="s">
        <v>1240</v>
      </c>
      <c r="J423" s="8">
        <v>5</v>
      </c>
      <c r="K423">
        <v>6</v>
      </c>
      <c r="L423" s="11">
        <v>6.2155775398998981E-4</v>
      </c>
      <c r="M423" s="12">
        <v>0.84985591703050589</v>
      </c>
      <c r="N423" t="s">
        <v>1239</v>
      </c>
      <c r="O423" t="s">
        <v>1257</v>
      </c>
      <c r="P423" s="23">
        <f>VLOOKUP(A423,вариация!A$2:G$805,2,FALSE)</f>
        <v>2.2360679774997894</v>
      </c>
      <c r="Q423" t="str">
        <f>IF(вариация!H424="Yes",IF(P426&lt;0.1,"X",IF(P426&lt;0.25,"Y","Z")),"")</f>
        <v/>
      </c>
      <c r="R423" t="str">
        <f>O423&amp;Q423</f>
        <v>BCB</v>
      </c>
    </row>
    <row r="424" spans="1:18" x14ac:dyDescent="0.25">
      <c r="A424" s="7" t="s">
        <v>1072</v>
      </c>
      <c r="B424" s="8">
        <v>3</v>
      </c>
      <c r="C424" s="11">
        <v>1.8646732619699705E-3</v>
      </c>
      <c r="D424" s="12">
        <v>0.47176233527840256</v>
      </c>
      <c r="E424" t="s">
        <v>1238</v>
      </c>
      <c r="F424" s="8">
        <v>78</v>
      </c>
      <c r="G424" s="11">
        <v>2.2300504133459625E-4</v>
      </c>
      <c r="H424" s="12">
        <v>0.98290127097214586</v>
      </c>
      <c r="I424" t="s">
        <v>1240</v>
      </c>
      <c r="J424" s="8">
        <v>5</v>
      </c>
      <c r="K424">
        <v>18</v>
      </c>
      <c r="L424" s="11">
        <v>1.8646732619699697E-3</v>
      </c>
      <c r="M424" s="12">
        <v>0.47176233527840239</v>
      </c>
      <c r="N424" t="s">
        <v>1238</v>
      </c>
      <c r="O424" t="s">
        <v>1254</v>
      </c>
      <c r="P424" s="23">
        <f>VLOOKUP(A424,вариация!A$2:G$805,2,FALSE)</f>
        <v>2.2360679774997898</v>
      </c>
      <c r="Q424" t="str">
        <f>IF(вариация!H425="Yes",IF(P427&lt;0.1,"X",IF(P427&lt;0.25,"Y","Z")),"")</f>
        <v/>
      </c>
      <c r="R424" t="str">
        <f>O424&amp;Q424</f>
        <v>ACA</v>
      </c>
    </row>
    <row r="425" spans="1:18" x14ac:dyDescent="0.25">
      <c r="A425" s="7" t="s">
        <v>642</v>
      </c>
      <c r="B425" s="8">
        <v>4</v>
      </c>
      <c r="C425" s="11">
        <v>2.486231015959961E-3</v>
      </c>
      <c r="D425" s="12">
        <v>0.39220294276768336</v>
      </c>
      <c r="E425" t="s">
        <v>1238</v>
      </c>
      <c r="F425" s="8">
        <v>1382</v>
      </c>
      <c r="G425" s="11">
        <v>3.9511918862104103E-3</v>
      </c>
      <c r="H425" s="12">
        <v>0.29817592084254818</v>
      </c>
      <c r="I425" t="s">
        <v>1238</v>
      </c>
      <c r="J425" s="8">
        <v>5</v>
      </c>
      <c r="K425">
        <v>24</v>
      </c>
      <c r="L425" s="11">
        <v>2.4862310159599593E-3</v>
      </c>
      <c r="M425" s="12">
        <v>0.39220294276768319</v>
      </c>
      <c r="N425" t="s">
        <v>1238</v>
      </c>
      <c r="O425" t="s">
        <v>1252</v>
      </c>
      <c r="P425" s="23">
        <f>VLOOKUP(A425,вариация!A$2:G$805,2,FALSE)</f>
        <v>1.0458250331675945</v>
      </c>
      <c r="Q425" t="str">
        <f>IF(вариация!H426="Yes",IF(P428&lt;0.1,"X",IF(P428&lt;0.25,"Y","Z")),"")</f>
        <v>Z</v>
      </c>
      <c r="R425" t="str">
        <f>O425&amp;Q425</f>
        <v>AAAZ</v>
      </c>
    </row>
    <row r="426" spans="1:18" x14ac:dyDescent="0.25">
      <c r="A426" s="7" t="s">
        <v>389</v>
      </c>
      <c r="B426" s="8">
        <v>3</v>
      </c>
      <c r="C426" s="11">
        <v>1.8646732619699705E-3</v>
      </c>
      <c r="D426" s="12">
        <v>0.47362700854037254</v>
      </c>
      <c r="E426" t="s">
        <v>1238</v>
      </c>
      <c r="F426" s="8">
        <v>108</v>
      </c>
      <c r="G426" s="11">
        <v>3.0877621107867171E-4</v>
      </c>
      <c r="H426" s="12">
        <v>0.96280628669748514</v>
      </c>
      <c r="I426" t="s">
        <v>1240</v>
      </c>
      <c r="J426" s="8">
        <v>5</v>
      </c>
      <c r="K426">
        <v>18</v>
      </c>
      <c r="L426" s="11">
        <v>1.8646732619699697E-3</v>
      </c>
      <c r="M426" s="12">
        <v>0.47362700854037237</v>
      </c>
      <c r="N426" t="s">
        <v>1238</v>
      </c>
      <c r="O426" t="s">
        <v>1254</v>
      </c>
      <c r="P426" s="23">
        <f>VLOOKUP(A426,вариация!A$2:G$805,2,FALSE)</f>
        <v>1.4907119849998598</v>
      </c>
      <c r="Q426" t="str">
        <f>IF(вариация!H427="Yes",IF(P429&lt;0.1,"X",IF(P429&lt;0.25,"Y","Z")),"")</f>
        <v/>
      </c>
      <c r="R426" t="str">
        <f>O426&amp;Q426</f>
        <v>ACA</v>
      </c>
    </row>
    <row r="427" spans="1:18" x14ac:dyDescent="0.25">
      <c r="A427" s="7" t="s">
        <v>896</v>
      </c>
      <c r="B427" s="8">
        <v>1</v>
      </c>
      <c r="C427" s="11">
        <v>6.2155775398999025E-4</v>
      </c>
      <c r="D427" s="12">
        <v>0.85047747478449598</v>
      </c>
      <c r="E427" t="s">
        <v>1239</v>
      </c>
      <c r="F427" s="8">
        <v>93</v>
      </c>
      <c r="G427" s="11">
        <v>2.6589062620663398E-4</v>
      </c>
      <c r="H427" s="12">
        <v>0.97444772166294935</v>
      </c>
      <c r="I427" t="s">
        <v>1240</v>
      </c>
      <c r="J427" s="8">
        <v>5</v>
      </c>
      <c r="K427">
        <v>6</v>
      </c>
      <c r="L427" s="11">
        <v>6.2155775398998981E-4</v>
      </c>
      <c r="M427" s="12">
        <v>0.85047747478449587</v>
      </c>
      <c r="N427" t="s">
        <v>1239</v>
      </c>
      <c r="O427" t="s">
        <v>1257</v>
      </c>
      <c r="P427" s="23">
        <f>VLOOKUP(A427,вариация!A$2:G$805,2,FALSE)</f>
        <v>2.2360679774997894</v>
      </c>
      <c r="Q427" t="str">
        <f>IF(вариация!H428="Yes",IF(P430&lt;0.1,"X",IF(P430&lt;0.25,"Y","Z")),"")</f>
        <v/>
      </c>
      <c r="R427" t="str">
        <f>O427&amp;Q427</f>
        <v>BCB</v>
      </c>
    </row>
    <row r="428" spans="1:18" x14ac:dyDescent="0.25">
      <c r="A428" s="7" t="s">
        <v>475</v>
      </c>
      <c r="B428" s="8">
        <v>2</v>
      </c>
      <c r="C428" s="11">
        <v>1.2431155079799805E-3</v>
      </c>
      <c r="D428" s="12">
        <v>0.61596373420407791</v>
      </c>
      <c r="E428" t="s">
        <v>1238</v>
      </c>
      <c r="F428" s="8">
        <v>279</v>
      </c>
      <c r="G428" s="11">
        <v>7.97671878619902E-4</v>
      </c>
      <c r="H428" s="12">
        <v>0.83624097623480687</v>
      </c>
      <c r="I428" t="s">
        <v>1239</v>
      </c>
      <c r="J428" s="8">
        <v>5</v>
      </c>
      <c r="K428">
        <v>12</v>
      </c>
      <c r="L428" s="11">
        <v>1.2431155079799796E-3</v>
      </c>
      <c r="M428" s="12">
        <v>0.6159637342040778</v>
      </c>
      <c r="N428" t="s">
        <v>1238</v>
      </c>
      <c r="O428" t="s">
        <v>1253</v>
      </c>
      <c r="P428" s="23">
        <f>VLOOKUP(A428,вариация!A$2:G$805,2,FALSE)</f>
        <v>1.3693063937629151</v>
      </c>
      <c r="Q428" t="str">
        <f>IF(вариация!H429="Yes",IF(P431&lt;0.1,"X",IF(P431&lt;0.25,"Y","Z")),"")</f>
        <v/>
      </c>
      <c r="R428" t="str">
        <f>O428&amp;Q428</f>
        <v>ABA</v>
      </c>
    </row>
    <row r="429" spans="1:18" x14ac:dyDescent="0.25">
      <c r="A429" s="7" t="s">
        <v>427</v>
      </c>
      <c r="B429" s="8">
        <v>4</v>
      </c>
      <c r="C429" s="11">
        <v>2.486231015959961E-3</v>
      </c>
      <c r="D429" s="12">
        <v>0.39468917378364332</v>
      </c>
      <c r="E429" t="s">
        <v>1238</v>
      </c>
      <c r="F429" s="8">
        <v>2227</v>
      </c>
      <c r="G429" s="11">
        <v>6.3670798340018696E-3</v>
      </c>
      <c r="H429" s="12">
        <v>0.14963321863348841</v>
      </c>
      <c r="I429" t="s">
        <v>1238</v>
      </c>
      <c r="J429" s="8">
        <v>5</v>
      </c>
      <c r="K429">
        <v>24</v>
      </c>
      <c r="L429" s="11">
        <v>2.4862310159599593E-3</v>
      </c>
      <c r="M429" s="12">
        <v>0.39468917378364315</v>
      </c>
      <c r="N429" t="s">
        <v>1238</v>
      </c>
      <c r="O429" t="s">
        <v>1252</v>
      </c>
      <c r="P429" s="23">
        <f>VLOOKUP(A429,вариация!A$2:G$805,2,FALSE)</f>
        <v>1.0458250331675945</v>
      </c>
      <c r="Q429" t="str">
        <f>IF(вариация!H430="Yes",IF(P432&lt;0.1,"X",IF(P432&lt;0.25,"Y","Z")),"")</f>
        <v>Z</v>
      </c>
      <c r="R429" t="str">
        <f>O429&amp;Q429</f>
        <v>AAAZ</v>
      </c>
    </row>
    <row r="430" spans="1:18" x14ac:dyDescent="0.25">
      <c r="A430" s="7" t="s">
        <v>716</v>
      </c>
      <c r="B430" s="8">
        <v>1</v>
      </c>
      <c r="C430" s="11">
        <v>6.2155775398999025E-4</v>
      </c>
      <c r="D430" s="12">
        <v>0.85109903253848596</v>
      </c>
      <c r="E430" t="s">
        <v>1239</v>
      </c>
      <c r="F430" s="8">
        <v>538</v>
      </c>
      <c r="G430" s="11">
        <v>1.5381629774104202E-3</v>
      </c>
      <c r="H430" s="12">
        <v>0.62417507808587802</v>
      </c>
      <c r="I430" t="s">
        <v>1238</v>
      </c>
      <c r="J430" s="8">
        <v>5</v>
      </c>
      <c r="K430">
        <v>6</v>
      </c>
      <c r="L430" s="11">
        <v>6.2155775398998981E-4</v>
      </c>
      <c r="M430" s="12">
        <v>0.85109903253848584</v>
      </c>
      <c r="N430" t="s">
        <v>1239</v>
      </c>
      <c r="O430" t="s">
        <v>1255</v>
      </c>
      <c r="P430" s="23">
        <f>VLOOKUP(A430,вариация!A$2:G$805,2,FALSE)</f>
        <v>2.2360679774997894</v>
      </c>
      <c r="Q430" t="str">
        <f>IF(вариация!H431="Yes",IF(P433&lt;0.1,"X",IF(P433&lt;0.25,"Y","Z")),"")</f>
        <v/>
      </c>
      <c r="R430" t="str">
        <f>O430&amp;Q430</f>
        <v>BAB</v>
      </c>
    </row>
    <row r="431" spans="1:18" x14ac:dyDescent="0.25">
      <c r="A431" s="7" t="s">
        <v>823</v>
      </c>
      <c r="B431" s="8">
        <v>1</v>
      </c>
      <c r="C431" s="11">
        <v>6.2155775398999025E-4</v>
      </c>
      <c r="D431" s="12">
        <v>0.85172059029247593</v>
      </c>
      <c r="E431" t="s">
        <v>1239</v>
      </c>
      <c r="F431" s="8">
        <v>889</v>
      </c>
      <c r="G431" s="11">
        <v>2.5416856634161034E-3</v>
      </c>
      <c r="H431" s="12">
        <v>0.44959690612717773</v>
      </c>
      <c r="I431" t="s">
        <v>1238</v>
      </c>
      <c r="J431" s="8">
        <v>5</v>
      </c>
      <c r="K431">
        <v>6</v>
      </c>
      <c r="L431" s="11">
        <v>6.2155775398998981E-4</v>
      </c>
      <c r="M431" s="12">
        <v>0.85172059029247582</v>
      </c>
      <c r="N431" t="s">
        <v>1239</v>
      </c>
      <c r="O431" t="s">
        <v>1255</v>
      </c>
      <c r="P431" s="23">
        <f>VLOOKUP(A431,вариация!A$2:G$805,2,FALSE)</f>
        <v>2.2360679774997894</v>
      </c>
      <c r="Q431" t="str">
        <f>IF(вариация!H432="Yes",IF(P434&lt;0.1,"X",IF(P434&lt;0.25,"Y","Z")),"")</f>
        <v/>
      </c>
      <c r="R431" t="str">
        <f>O431&amp;Q431</f>
        <v>BAB</v>
      </c>
    </row>
    <row r="432" spans="1:18" x14ac:dyDescent="0.25">
      <c r="A432" s="7" t="s">
        <v>490</v>
      </c>
      <c r="B432" s="8">
        <v>2</v>
      </c>
      <c r="C432" s="11">
        <v>1.2431155079799805E-3</v>
      </c>
      <c r="D432" s="12">
        <v>0.61720684971205786</v>
      </c>
      <c r="E432" t="s">
        <v>1238</v>
      </c>
      <c r="F432" s="8">
        <v>1115</v>
      </c>
      <c r="G432" s="11">
        <v>3.1878284754881386E-3</v>
      </c>
      <c r="H432" s="12">
        <v>0.36948141113421645</v>
      </c>
      <c r="I432" t="s">
        <v>1238</v>
      </c>
      <c r="J432" s="8">
        <v>5</v>
      </c>
      <c r="K432">
        <v>12</v>
      </c>
      <c r="L432" s="11">
        <v>1.2431155079799796E-3</v>
      </c>
      <c r="M432" s="12">
        <v>0.61720684971205775</v>
      </c>
      <c r="N432" t="s">
        <v>1238</v>
      </c>
      <c r="O432" t="s">
        <v>1252</v>
      </c>
      <c r="P432" s="23">
        <f>VLOOKUP(A432,вариация!A$2:G$805,2,FALSE)</f>
        <v>2.2360679774997894</v>
      </c>
      <c r="Q432" t="str">
        <f>IF(вариация!H433="Yes",IF(P435&lt;0.1,"X",IF(P435&lt;0.25,"Y","Z")),"")</f>
        <v/>
      </c>
      <c r="R432" t="str">
        <f>O432&amp;Q432</f>
        <v>AAA</v>
      </c>
    </row>
    <row r="433" spans="1:18" x14ac:dyDescent="0.25">
      <c r="A433" s="7" t="s">
        <v>491</v>
      </c>
      <c r="B433" s="8">
        <v>1</v>
      </c>
      <c r="C433" s="11">
        <v>6.2155775398999025E-4</v>
      </c>
      <c r="D433" s="12">
        <v>0.85234214804646591</v>
      </c>
      <c r="E433" t="s">
        <v>1239</v>
      </c>
      <c r="F433" s="8">
        <v>340</v>
      </c>
      <c r="G433" s="11">
        <v>9.7207325709952207E-4</v>
      </c>
      <c r="H433" s="12">
        <v>0.78944208174319552</v>
      </c>
      <c r="I433" t="s">
        <v>1238</v>
      </c>
      <c r="J433" s="8">
        <v>5</v>
      </c>
      <c r="K433">
        <v>6</v>
      </c>
      <c r="L433" s="11">
        <v>6.2155775398998981E-4</v>
      </c>
      <c r="M433" s="12">
        <v>0.8523421480464658</v>
      </c>
      <c r="N433" t="s">
        <v>1239</v>
      </c>
      <c r="O433" t="s">
        <v>1255</v>
      </c>
      <c r="P433" s="23">
        <f>VLOOKUP(A433,вариация!A$2:G$805,2,FALSE)</f>
        <v>2.2360679774997894</v>
      </c>
      <c r="Q433" t="str">
        <f>IF(вариация!H434="Yes",IF(P436&lt;0.1,"X",IF(P436&lt;0.25,"Y","Z")),"")</f>
        <v/>
      </c>
      <c r="R433" t="str">
        <f>O433&amp;Q433</f>
        <v>BAB</v>
      </c>
    </row>
    <row r="434" spans="1:18" x14ac:dyDescent="0.25">
      <c r="A434" s="7" t="s">
        <v>657</v>
      </c>
      <c r="B434" s="8">
        <v>0.16666666999999999</v>
      </c>
      <c r="C434" s="11">
        <v>1.0359296107019087E-4</v>
      </c>
      <c r="D434" s="12">
        <v>0.99932191019463157</v>
      </c>
      <c r="E434" t="s">
        <v>1240</v>
      </c>
      <c r="F434" s="8">
        <v>173.00000369999998</v>
      </c>
      <c r="G434" s="11">
        <v>4.9461375610261279E-4</v>
      </c>
      <c r="H434" s="12">
        <v>0.91954656798302392</v>
      </c>
      <c r="I434" t="s">
        <v>1239</v>
      </c>
      <c r="J434" s="8">
        <v>5</v>
      </c>
      <c r="K434">
        <v>1.0000000199999999</v>
      </c>
      <c r="L434" s="11">
        <v>1.035929610701908E-4</v>
      </c>
      <c r="M434" s="12">
        <v>0.99932191019463146</v>
      </c>
      <c r="N434" t="s">
        <v>1240</v>
      </c>
      <c r="O434" t="s">
        <v>1259</v>
      </c>
      <c r="P434" s="23">
        <f>VLOOKUP(A434,вариация!A$2:G$805,2,FALSE)</f>
        <v>2.2360679774997894</v>
      </c>
      <c r="Q434" t="str">
        <f>IF(вариация!H435="Yes",IF(P437&lt;0.1,"X",IF(P437&lt;0.25,"Y","Z")),"")</f>
        <v/>
      </c>
      <c r="R434" t="str">
        <f>O434&amp;Q434</f>
        <v>CBC</v>
      </c>
    </row>
    <row r="435" spans="1:18" x14ac:dyDescent="0.25">
      <c r="A435" s="7" t="s">
        <v>558</v>
      </c>
      <c r="B435" s="8">
        <v>2</v>
      </c>
      <c r="C435" s="11">
        <v>1.2431155079799805E-3</v>
      </c>
      <c r="D435" s="12">
        <v>0.61844996522003781</v>
      </c>
      <c r="E435" t="s">
        <v>1238</v>
      </c>
      <c r="F435" s="8">
        <v>916</v>
      </c>
      <c r="G435" s="11">
        <v>2.6188797161857715E-3</v>
      </c>
      <c r="H435" s="12">
        <v>0.44705522046376162</v>
      </c>
      <c r="I435" t="s">
        <v>1238</v>
      </c>
      <c r="J435" s="8">
        <v>5</v>
      </c>
      <c r="K435">
        <v>12</v>
      </c>
      <c r="L435" s="11">
        <v>1.2431155079799796E-3</v>
      </c>
      <c r="M435" s="12">
        <v>0.6184499652200377</v>
      </c>
      <c r="N435" t="s">
        <v>1238</v>
      </c>
      <c r="O435" t="s">
        <v>1252</v>
      </c>
      <c r="P435" s="23">
        <f>VLOOKUP(A435,вариация!A$2:G$805,2,FALSE)</f>
        <v>1.3693063937629151</v>
      </c>
      <c r="Q435" t="str">
        <f>IF(вариация!H436="Yes",IF(P438&lt;0.1,"X",IF(P438&lt;0.25,"Y","Z")),"")</f>
        <v/>
      </c>
      <c r="R435" t="str">
        <f>O435&amp;Q435</f>
        <v>AAA</v>
      </c>
    </row>
    <row r="436" spans="1:18" x14ac:dyDescent="0.25">
      <c r="A436" s="7" t="s">
        <v>881</v>
      </c>
      <c r="B436" s="8">
        <v>2</v>
      </c>
      <c r="C436" s="11">
        <v>1.2431155079799805E-3</v>
      </c>
      <c r="D436" s="12">
        <v>0.61969308072801776</v>
      </c>
      <c r="E436" t="s">
        <v>1238</v>
      </c>
      <c r="F436" s="8">
        <v>731</v>
      </c>
      <c r="G436" s="11">
        <v>2.0899575027639727E-3</v>
      </c>
      <c r="H436" s="12">
        <v>0.50241427780597459</v>
      </c>
      <c r="I436" t="s">
        <v>1238</v>
      </c>
      <c r="J436" s="8">
        <v>5</v>
      </c>
      <c r="K436">
        <v>12</v>
      </c>
      <c r="L436" s="11">
        <v>1.2431155079799796E-3</v>
      </c>
      <c r="M436" s="12">
        <v>0.61969308072801765</v>
      </c>
      <c r="N436" t="s">
        <v>1238</v>
      </c>
      <c r="O436" t="s">
        <v>1252</v>
      </c>
      <c r="P436" s="23">
        <f>VLOOKUP(A436,вариация!A$2:G$805,2,FALSE)</f>
        <v>1.3693063937629151</v>
      </c>
      <c r="Q436" t="str">
        <f>IF(вариация!H437="Yes",IF(P439&lt;0.1,"X",IF(P439&lt;0.25,"Y","Z")),"")</f>
        <v/>
      </c>
      <c r="R436" t="str">
        <f>O436&amp;Q436</f>
        <v>AAA</v>
      </c>
    </row>
    <row r="437" spans="1:18" x14ac:dyDescent="0.25">
      <c r="A437" s="7" t="s">
        <v>726</v>
      </c>
      <c r="B437" s="8">
        <v>1</v>
      </c>
      <c r="C437" s="11">
        <v>6.2155775398999025E-4</v>
      </c>
      <c r="D437" s="12">
        <v>0.85296370580045588</v>
      </c>
      <c r="E437" t="s">
        <v>1239</v>
      </c>
      <c r="F437" s="8">
        <v>587</v>
      </c>
      <c r="G437" s="11">
        <v>1.6782558879924103E-3</v>
      </c>
      <c r="H437" s="12">
        <v>0.59337290701699597</v>
      </c>
      <c r="I437" t="s">
        <v>1238</v>
      </c>
      <c r="J437" s="8">
        <v>5</v>
      </c>
      <c r="K437">
        <v>6</v>
      </c>
      <c r="L437" s="11">
        <v>6.2155775398998981E-4</v>
      </c>
      <c r="M437" s="12">
        <v>0.85296370580045577</v>
      </c>
      <c r="N437" t="s">
        <v>1239</v>
      </c>
      <c r="O437" t="s">
        <v>1255</v>
      </c>
      <c r="P437" s="23">
        <f>VLOOKUP(A437,вариация!A$2:G$805,2,FALSE)</f>
        <v>2.2360679774997894</v>
      </c>
      <c r="Q437" t="str">
        <f>IF(вариация!H438="Yes",IF(P440&lt;0.1,"X",IF(P440&lt;0.25,"Y","Z")),"")</f>
        <v/>
      </c>
      <c r="R437" t="str">
        <f>O437&amp;Q437</f>
        <v>BAB</v>
      </c>
    </row>
    <row r="438" spans="1:18" x14ac:dyDescent="0.25">
      <c r="A438" s="7" t="s">
        <v>1071</v>
      </c>
      <c r="B438" s="8">
        <v>1</v>
      </c>
      <c r="C438" s="11">
        <v>6.2155775398999025E-4</v>
      </c>
      <c r="D438" s="12">
        <v>0.85358526355444586</v>
      </c>
      <c r="E438" t="s">
        <v>1239</v>
      </c>
      <c r="F438" s="8">
        <v>162</v>
      </c>
      <c r="G438" s="11">
        <v>4.631643166180076E-4</v>
      </c>
      <c r="H438" s="12">
        <v>0.92726311422099927</v>
      </c>
      <c r="I438" t="s">
        <v>1239</v>
      </c>
      <c r="J438" s="8">
        <v>5</v>
      </c>
      <c r="K438">
        <v>6</v>
      </c>
      <c r="L438" s="11">
        <v>6.2155775398998981E-4</v>
      </c>
      <c r="M438" s="12">
        <v>0.85358526355444575</v>
      </c>
      <c r="N438" t="s">
        <v>1239</v>
      </c>
      <c r="O438" t="s">
        <v>1256</v>
      </c>
      <c r="P438" s="23">
        <f>VLOOKUP(A438,вариация!A$2:G$805,2,FALSE)</f>
        <v>2.2360679774997894</v>
      </c>
      <c r="Q438" t="str">
        <f>IF(вариация!H439="Yes",IF(P441&lt;0.1,"X",IF(P441&lt;0.25,"Y","Z")),"")</f>
        <v/>
      </c>
      <c r="R438" t="str">
        <f>O438&amp;Q438</f>
        <v>BBB</v>
      </c>
    </row>
    <row r="439" spans="1:18" x14ac:dyDescent="0.25">
      <c r="A439" s="7" t="s">
        <v>768</v>
      </c>
      <c r="B439" s="8">
        <v>1</v>
      </c>
      <c r="C439" s="11">
        <v>6.2155775398999025E-4</v>
      </c>
      <c r="D439" s="12">
        <v>0.85420682130843584</v>
      </c>
      <c r="E439" t="s">
        <v>1239</v>
      </c>
      <c r="F439" s="8">
        <v>801</v>
      </c>
      <c r="G439" s="11">
        <v>2.2900902321668156E-3</v>
      </c>
      <c r="H439" s="12">
        <v>0.47848892465546961</v>
      </c>
      <c r="I439" t="s">
        <v>1238</v>
      </c>
      <c r="J439" s="8">
        <v>5</v>
      </c>
      <c r="K439">
        <v>6</v>
      </c>
      <c r="L439" s="11">
        <v>6.2155775398998981E-4</v>
      </c>
      <c r="M439" s="12">
        <v>0.85420682130843573</v>
      </c>
      <c r="N439" t="s">
        <v>1239</v>
      </c>
      <c r="O439" t="s">
        <v>1255</v>
      </c>
      <c r="P439" s="23">
        <f>VLOOKUP(A439,вариация!A$2:G$805,2,FALSE)</f>
        <v>2.2360679774997894</v>
      </c>
      <c r="Q439" t="str">
        <f>IF(вариация!H440="Yes",IF(P442&lt;0.1,"X",IF(P442&lt;0.25,"Y","Z")),"")</f>
        <v/>
      </c>
      <c r="R439" t="str">
        <f>O439&amp;Q439</f>
        <v>BAB</v>
      </c>
    </row>
    <row r="440" spans="1:18" x14ac:dyDescent="0.25">
      <c r="A440" s="7" t="s">
        <v>1186</v>
      </c>
      <c r="B440" s="8">
        <v>0.2</v>
      </c>
      <c r="C440" s="11">
        <v>1.2431155079799805E-4</v>
      </c>
      <c r="D440" s="12">
        <v>0.99872107103036956</v>
      </c>
      <c r="E440" t="s">
        <v>1240</v>
      </c>
      <c r="F440" s="8">
        <v>389</v>
      </c>
      <c r="G440" s="11">
        <v>1.1121661676815121E-3</v>
      </c>
      <c r="H440" s="12">
        <v>0.7438115782393816</v>
      </c>
      <c r="I440" t="s">
        <v>1238</v>
      </c>
      <c r="J440" s="8">
        <v>5</v>
      </c>
      <c r="K440">
        <v>1.2</v>
      </c>
      <c r="L440" s="11">
        <v>1.2431155079799797E-4</v>
      </c>
      <c r="M440" s="12">
        <v>0.99872107103036944</v>
      </c>
      <c r="N440" t="s">
        <v>1240</v>
      </c>
      <c r="O440" t="s">
        <v>1258</v>
      </c>
      <c r="P440" s="23">
        <f>VLOOKUP(A440,вариация!A$2:G$805,2,FALSE)</f>
        <v>2.2360679774997898</v>
      </c>
      <c r="Q440" t="str">
        <f>IF(вариация!H441="Yes",IF(P443&lt;0.1,"X",IF(P443&lt;0.25,"Y","Z")),"")</f>
        <v/>
      </c>
      <c r="R440" t="str">
        <f>O440&amp;Q440</f>
        <v>CAC</v>
      </c>
    </row>
    <row r="441" spans="1:18" x14ac:dyDescent="0.25">
      <c r="A441" s="7" t="s">
        <v>719</v>
      </c>
      <c r="B441" s="8">
        <v>0.5</v>
      </c>
      <c r="C441" s="11">
        <v>3.1077887699499512E-4</v>
      </c>
      <c r="D441" s="12">
        <v>0.99573700185825931</v>
      </c>
      <c r="E441" t="s">
        <v>1240</v>
      </c>
      <c r="F441" s="8">
        <v>886.5</v>
      </c>
      <c r="G441" s="11">
        <v>2.5345380659374307E-3</v>
      </c>
      <c r="H441" s="12">
        <v>0.45213144419311518</v>
      </c>
      <c r="I441" t="s">
        <v>1238</v>
      </c>
      <c r="J441" s="8">
        <v>5</v>
      </c>
      <c r="K441">
        <v>3</v>
      </c>
      <c r="L441" s="11">
        <v>3.1077887699499491E-4</v>
      </c>
      <c r="M441" s="12">
        <v>0.9957370018582592</v>
      </c>
      <c r="N441" t="s">
        <v>1240</v>
      </c>
      <c r="O441" t="s">
        <v>1258</v>
      </c>
      <c r="P441" s="23">
        <f>VLOOKUP(A441,вариация!A$2:G$805,2,FALSE)</f>
        <v>2.2360679774997894</v>
      </c>
      <c r="Q441" t="str">
        <f>IF(вариация!H442="Yes",IF(P444&lt;0.1,"X",IF(P444&lt;0.25,"Y","Z")),"")</f>
        <v/>
      </c>
      <c r="R441" t="str">
        <f>O441&amp;Q441</f>
        <v>CAC</v>
      </c>
    </row>
    <row r="442" spans="1:18" x14ac:dyDescent="0.25">
      <c r="A442" s="7" t="s">
        <v>1173</v>
      </c>
      <c r="B442" s="8">
        <v>1</v>
      </c>
      <c r="C442" s="11">
        <v>6.2155775398999025E-4</v>
      </c>
      <c r="D442" s="12">
        <v>0.85482837906242581</v>
      </c>
      <c r="E442" t="s">
        <v>1239</v>
      </c>
      <c r="F442" s="8">
        <v>463</v>
      </c>
      <c r="G442" s="11">
        <v>1.3237350530502317E-3</v>
      </c>
      <c r="H442" s="12">
        <v>0.67936598033267503</v>
      </c>
      <c r="I442" t="s">
        <v>1238</v>
      </c>
      <c r="J442" s="8">
        <v>5</v>
      </c>
      <c r="K442">
        <v>6</v>
      </c>
      <c r="L442" s="11">
        <v>6.2155775398998981E-4</v>
      </c>
      <c r="M442" s="12">
        <v>0.8548283790624257</v>
      </c>
      <c r="N442" t="s">
        <v>1239</v>
      </c>
      <c r="O442" t="s">
        <v>1255</v>
      </c>
      <c r="P442" s="23">
        <f>VLOOKUP(A442,вариация!A$2:G$805,2,FALSE)</f>
        <v>2.2360679774997894</v>
      </c>
      <c r="Q442" t="str">
        <f>IF(вариация!H443="Yes",IF(P445&lt;0.1,"X",IF(P445&lt;0.25,"Y","Z")),"")</f>
        <v/>
      </c>
      <c r="R442" t="str">
        <f>O442&amp;Q442</f>
        <v>BAB</v>
      </c>
    </row>
    <row r="443" spans="1:18" x14ac:dyDescent="0.25">
      <c r="A443" s="7" t="s">
        <v>643</v>
      </c>
      <c r="B443" s="8">
        <v>1</v>
      </c>
      <c r="C443" s="11">
        <v>6.2155775398999025E-4</v>
      </c>
      <c r="D443" s="12">
        <v>0.85544993681641579</v>
      </c>
      <c r="E443" t="s">
        <v>1239</v>
      </c>
      <c r="F443" s="8">
        <v>79</v>
      </c>
      <c r="G443" s="11">
        <v>2.2586408032606542E-4</v>
      </c>
      <c r="H443" s="12">
        <v>0.98178338672648158</v>
      </c>
      <c r="I443" t="s">
        <v>1240</v>
      </c>
      <c r="J443" s="8">
        <v>5</v>
      </c>
      <c r="K443">
        <v>6</v>
      </c>
      <c r="L443" s="11">
        <v>6.2155775398998981E-4</v>
      </c>
      <c r="M443" s="12">
        <v>0.85544993681641568</v>
      </c>
      <c r="N443" t="s">
        <v>1239</v>
      </c>
      <c r="O443" t="s">
        <v>1257</v>
      </c>
      <c r="P443" s="23">
        <f>VLOOKUP(A443,вариация!A$2:G$805,2,FALSE)</f>
        <v>2.2360679774997894</v>
      </c>
      <c r="Q443" t="str">
        <f>IF(вариация!H444="Yes",IF(P446&lt;0.1,"X",IF(P446&lt;0.25,"Y","Z")),"")</f>
        <v/>
      </c>
      <c r="R443" t="str">
        <f>O443&amp;Q443</f>
        <v>BCB</v>
      </c>
    </row>
    <row r="444" spans="1:18" x14ac:dyDescent="0.25">
      <c r="A444" s="7" t="s">
        <v>549</v>
      </c>
      <c r="B444" s="8">
        <v>1</v>
      </c>
      <c r="C444" s="11">
        <v>6.2155775398999025E-4</v>
      </c>
      <c r="D444" s="12">
        <v>0.85607149457040577</v>
      </c>
      <c r="E444" t="s">
        <v>1239</v>
      </c>
      <c r="F444" s="8">
        <v>57</v>
      </c>
      <c r="G444" s="11">
        <v>1.629652225137434E-4</v>
      </c>
      <c r="H444" s="12">
        <v>0.99254698236000494</v>
      </c>
      <c r="I444" t="s">
        <v>1240</v>
      </c>
      <c r="J444" s="8">
        <v>5</v>
      </c>
      <c r="K444">
        <v>6</v>
      </c>
      <c r="L444" s="11">
        <v>6.2155775398998981E-4</v>
      </c>
      <c r="M444" s="12">
        <v>0.85607149457040566</v>
      </c>
      <c r="N444" t="s">
        <v>1239</v>
      </c>
      <c r="O444" t="s">
        <v>1257</v>
      </c>
      <c r="P444" s="23">
        <f>VLOOKUP(A444,вариация!A$2:G$805,2,FALSE)</f>
        <v>2.2360679774997894</v>
      </c>
      <c r="Q444" t="str">
        <f>IF(вариация!H445="Yes",IF(P447&lt;0.1,"X",IF(P447&lt;0.25,"Y","Z")),"")</f>
        <v/>
      </c>
      <c r="R444" t="str">
        <f>O444&amp;Q444</f>
        <v>BCB</v>
      </c>
    </row>
    <row r="445" spans="1:18" x14ac:dyDescent="0.25">
      <c r="A445" s="7" t="s">
        <v>1062</v>
      </c>
      <c r="B445" s="8">
        <v>1</v>
      </c>
      <c r="C445" s="11">
        <v>6.2155775398999025E-4</v>
      </c>
      <c r="D445" s="12">
        <v>0.85669305232439574</v>
      </c>
      <c r="E445" t="s">
        <v>1239</v>
      </c>
      <c r="F445" s="8">
        <v>355</v>
      </c>
      <c r="G445" s="11">
        <v>1.0149588419715598E-3</v>
      </c>
      <c r="H445" s="12">
        <v>0.77452621801119137</v>
      </c>
      <c r="I445" t="s">
        <v>1238</v>
      </c>
      <c r="J445" s="8">
        <v>5</v>
      </c>
      <c r="K445">
        <v>6</v>
      </c>
      <c r="L445" s="11">
        <v>6.2155775398998981E-4</v>
      </c>
      <c r="M445" s="12">
        <v>0.85669305232439563</v>
      </c>
      <c r="N445" t="s">
        <v>1239</v>
      </c>
      <c r="O445" t="s">
        <v>1255</v>
      </c>
      <c r="P445" s="23">
        <f>VLOOKUP(A445,вариация!A$2:G$805,2,FALSE)</f>
        <v>2.2360679774997894</v>
      </c>
      <c r="Q445" t="str">
        <f>IF(вариация!H446="Yes",IF(P448&lt;0.1,"X",IF(P448&lt;0.25,"Y","Z")),"")</f>
        <v/>
      </c>
      <c r="R445" t="str">
        <f>O445&amp;Q445</f>
        <v>BAB</v>
      </c>
    </row>
    <row r="446" spans="1:18" x14ac:dyDescent="0.25">
      <c r="A446" s="7" t="s">
        <v>367</v>
      </c>
      <c r="B446" s="8">
        <v>1</v>
      </c>
      <c r="C446" s="11">
        <v>6.2155775398999025E-4</v>
      </c>
      <c r="D446" s="12">
        <v>0.85731461007838572</v>
      </c>
      <c r="E446" t="s">
        <v>1239</v>
      </c>
      <c r="F446" s="8">
        <v>148</v>
      </c>
      <c r="G446" s="11">
        <v>4.2313777073743906E-4</v>
      </c>
      <c r="H446" s="12">
        <v>0.93613354000554139</v>
      </c>
      <c r="I446" t="s">
        <v>1239</v>
      </c>
      <c r="J446" s="8">
        <v>5</v>
      </c>
      <c r="K446">
        <v>6</v>
      </c>
      <c r="L446" s="11">
        <v>6.2155775398998981E-4</v>
      </c>
      <c r="M446" s="12">
        <v>0.85731461007838561</v>
      </c>
      <c r="N446" t="s">
        <v>1239</v>
      </c>
      <c r="O446" t="s">
        <v>1256</v>
      </c>
      <c r="P446" s="23">
        <f>VLOOKUP(A446,вариация!A$2:G$805,2,FALSE)</f>
        <v>2.2360679774997894</v>
      </c>
      <c r="Q446" t="str">
        <f>IF(вариация!H447="Yes",IF(P449&lt;0.1,"X",IF(P449&lt;0.25,"Y","Z")),"")</f>
        <v/>
      </c>
      <c r="R446" t="str">
        <f>O446&amp;Q446</f>
        <v>BBB</v>
      </c>
    </row>
    <row r="447" spans="1:18" x14ac:dyDescent="0.25">
      <c r="A447" s="7" t="s">
        <v>687</v>
      </c>
      <c r="B447" s="8">
        <v>1</v>
      </c>
      <c r="C447" s="11">
        <v>6.2155775398999025E-4</v>
      </c>
      <c r="D447" s="12">
        <v>0.8579361678323757</v>
      </c>
      <c r="E447" t="s">
        <v>1239</v>
      </c>
      <c r="F447" s="8">
        <v>761</v>
      </c>
      <c r="G447" s="11">
        <v>2.175728672508048E-3</v>
      </c>
      <c r="H447" s="12">
        <v>0.487451497266707</v>
      </c>
      <c r="I447" t="s">
        <v>1238</v>
      </c>
      <c r="J447" s="8">
        <v>5</v>
      </c>
      <c r="K447">
        <v>6</v>
      </c>
      <c r="L447" s="11">
        <v>6.2155775398998981E-4</v>
      </c>
      <c r="M447" s="12">
        <v>0.85793616783237558</v>
      </c>
      <c r="N447" t="s">
        <v>1239</v>
      </c>
      <c r="O447" t="s">
        <v>1255</v>
      </c>
      <c r="P447" s="23">
        <f>VLOOKUP(A447,вариация!A$2:G$805,2,FALSE)</f>
        <v>2.2360679774997894</v>
      </c>
      <c r="Q447" t="str">
        <f>IF(вариация!H448="Yes",IF(P450&lt;0.1,"X",IF(P450&lt;0.25,"Y","Z")),"")</f>
        <v/>
      </c>
      <c r="R447" t="str">
        <f>O447&amp;Q447</f>
        <v>BAB</v>
      </c>
    </row>
    <row r="448" spans="1:18" x14ac:dyDescent="0.25">
      <c r="A448" s="7" t="s">
        <v>550</v>
      </c>
      <c r="B448" s="8">
        <v>1</v>
      </c>
      <c r="C448" s="11">
        <v>6.2155775398999025E-4</v>
      </c>
      <c r="D448" s="12">
        <v>0.85855772558636567</v>
      </c>
      <c r="E448" t="s">
        <v>1239</v>
      </c>
      <c r="F448" s="8">
        <v>54</v>
      </c>
      <c r="G448" s="11">
        <v>1.5438810553933586E-4</v>
      </c>
      <c r="H448" s="12">
        <v>0.99348203106216504</v>
      </c>
      <c r="I448" t="s">
        <v>1240</v>
      </c>
      <c r="J448" s="8">
        <v>5</v>
      </c>
      <c r="K448">
        <v>6</v>
      </c>
      <c r="L448" s="11">
        <v>6.2155775398998981E-4</v>
      </c>
      <c r="M448" s="12">
        <v>0.85855772558636556</v>
      </c>
      <c r="N448" t="s">
        <v>1239</v>
      </c>
      <c r="O448" t="s">
        <v>1257</v>
      </c>
      <c r="P448" s="23">
        <f>VLOOKUP(A448,вариация!A$2:G$805,2,FALSE)</f>
        <v>2.2360679774997894</v>
      </c>
      <c r="Q448" t="str">
        <f>IF(вариация!H449="Yes",IF(P451&lt;0.1,"X",IF(P451&lt;0.25,"Y","Z")),"")</f>
        <v/>
      </c>
      <c r="R448" t="str">
        <f>O448&amp;Q448</f>
        <v>BCB</v>
      </c>
    </row>
    <row r="449" spans="1:18" x14ac:dyDescent="0.25">
      <c r="A449" s="7" t="s">
        <v>426</v>
      </c>
      <c r="B449" s="8">
        <v>1</v>
      </c>
      <c r="C449" s="11">
        <v>6.2155775398999025E-4</v>
      </c>
      <c r="D449" s="12">
        <v>0.85917928334035565</v>
      </c>
      <c r="E449" t="s">
        <v>1239</v>
      </c>
      <c r="F449" s="8">
        <v>195</v>
      </c>
      <c r="G449" s="11">
        <v>5.575126033364906E-4</v>
      </c>
      <c r="H449" s="12">
        <v>0.90906947663625681</v>
      </c>
      <c r="I449" t="s">
        <v>1239</v>
      </c>
      <c r="J449" s="8">
        <v>5</v>
      </c>
      <c r="K449">
        <v>6</v>
      </c>
      <c r="L449" s="11">
        <v>6.2155775398998981E-4</v>
      </c>
      <c r="M449" s="12">
        <v>0.85917928334035554</v>
      </c>
      <c r="N449" t="s">
        <v>1239</v>
      </c>
      <c r="O449" t="s">
        <v>1256</v>
      </c>
      <c r="P449" s="23">
        <f>VLOOKUP(A449,вариация!A$2:G$805,2,FALSE)</f>
        <v>2.2360679774997894</v>
      </c>
      <c r="Q449" t="str">
        <f>IF(вариация!H450="Yes",IF(P452&lt;0.1,"X",IF(P452&lt;0.25,"Y","Z")),"")</f>
        <v/>
      </c>
      <c r="R449" t="str">
        <f>O449&amp;Q449</f>
        <v>BBB</v>
      </c>
    </row>
    <row r="450" spans="1:18" x14ac:dyDescent="0.25">
      <c r="A450" s="7" t="s">
        <v>813</v>
      </c>
      <c r="B450" s="8">
        <v>1</v>
      </c>
      <c r="C450" s="11">
        <v>6.2155775398999025E-4</v>
      </c>
      <c r="D450" s="12">
        <v>0.85980084109434562</v>
      </c>
      <c r="E450" t="s">
        <v>1239</v>
      </c>
      <c r="F450" s="8">
        <v>236</v>
      </c>
      <c r="G450" s="11">
        <v>6.747332019867271E-4</v>
      </c>
      <c r="H450" s="12">
        <v>0.88290383769022995</v>
      </c>
      <c r="I450" t="s">
        <v>1239</v>
      </c>
      <c r="J450" s="8">
        <v>5</v>
      </c>
      <c r="K450">
        <v>6</v>
      </c>
      <c r="L450" s="11">
        <v>6.2155775398998981E-4</v>
      </c>
      <c r="M450" s="12">
        <v>0.85980084109434551</v>
      </c>
      <c r="N450" t="s">
        <v>1239</v>
      </c>
      <c r="O450" t="s">
        <v>1256</v>
      </c>
      <c r="P450" s="23">
        <f>VLOOKUP(A450,вариация!A$2:G$805,2,FALSE)</f>
        <v>2.2360679774997894</v>
      </c>
      <c r="Q450" t="str">
        <f>IF(вариация!H451="Yes",IF(P453&lt;0.1,"X",IF(P453&lt;0.25,"Y","Z")),"")</f>
        <v/>
      </c>
      <c r="R450" t="str">
        <f>O450&amp;Q450</f>
        <v>BBB</v>
      </c>
    </row>
    <row r="451" spans="1:18" x14ac:dyDescent="0.25">
      <c r="A451" s="7" t="s">
        <v>815</v>
      </c>
      <c r="B451" s="8">
        <v>1</v>
      </c>
      <c r="C451" s="11">
        <v>6.2155775398999025E-4</v>
      </c>
      <c r="D451" s="12">
        <v>0.8604223988483356</v>
      </c>
      <c r="E451" t="s">
        <v>1239</v>
      </c>
      <c r="F451" s="8">
        <v>98</v>
      </c>
      <c r="G451" s="11">
        <v>2.8018582116397993E-4</v>
      </c>
      <c r="H451" s="12">
        <v>0.97009054623995039</v>
      </c>
      <c r="I451" t="s">
        <v>1240</v>
      </c>
      <c r="J451" s="8">
        <v>5</v>
      </c>
      <c r="K451">
        <v>6</v>
      </c>
      <c r="L451" s="11">
        <v>6.2155775398998981E-4</v>
      </c>
      <c r="M451" s="12">
        <v>0.86042239884833549</v>
      </c>
      <c r="N451" t="s">
        <v>1239</v>
      </c>
      <c r="O451" t="s">
        <v>1257</v>
      </c>
      <c r="P451" s="23">
        <f>VLOOKUP(A451,вариация!A$2:G$805,2,FALSE)</f>
        <v>2.2360679774997894</v>
      </c>
      <c r="Q451" t="str">
        <f>IF(вариация!H452="Yes",IF(P454&lt;0.1,"X",IF(P454&lt;0.25,"Y","Z")),"")</f>
        <v/>
      </c>
      <c r="R451" t="str">
        <f>O451&amp;Q451</f>
        <v>BCB</v>
      </c>
    </row>
    <row r="452" spans="1:18" x14ac:dyDescent="0.25">
      <c r="A452" s="7" t="s">
        <v>814</v>
      </c>
      <c r="B452" s="8">
        <v>1</v>
      </c>
      <c r="C452" s="11">
        <v>6.2155775398999025E-4</v>
      </c>
      <c r="D452" s="12">
        <v>0.86104395660232558</v>
      </c>
      <c r="E452" t="s">
        <v>1239</v>
      </c>
      <c r="F452" s="8">
        <v>104</v>
      </c>
      <c r="G452" s="11">
        <v>2.9734005511279502E-4</v>
      </c>
      <c r="H452" s="12">
        <v>0.96492140374337432</v>
      </c>
      <c r="I452" t="s">
        <v>1240</v>
      </c>
      <c r="J452" s="8">
        <v>5</v>
      </c>
      <c r="K452">
        <v>6</v>
      </c>
      <c r="L452" s="11">
        <v>6.2155775398998981E-4</v>
      </c>
      <c r="M452" s="12">
        <v>0.86104395660232547</v>
      </c>
      <c r="N452" t="s">
        <v>1239</v>
      </c>
      <c r="O452" t="s">
        <v>1257</v>
      </c>
      <c r="P452" s="23">
        <f>VLOOKUP(A452,вариация!A$2:G$805,2,FALSE)</f>
        <v>2.2360679774997894</v>
      </c>
      <c r="Q452" t="str">
        <f>IF(вариация!H453="Yes",IF(P455&lt;0.1,"X",IF(P455&lt;0.25,"Y","Z")),"")</f>
        <v/>
      </c>
      <c r="R452" t="str">
        <f>O452&amp;Q452</f>
        <v>BCB</v>
      </c>
    </row>
    <row r="453" spans="1:18" x14ac:dyDescent="0.25">
      <c r="A453" s="7" t="s">
        <v>457</v>
      </c>
      <c r="B453" s="8">
        <v>1</v>
      </c>
      <c r="C453" s="11">
        <v>6.2155775398999025E-4</v>
      </c>
      <c r="D453" s="12">
        <v>0.86166551435631555</v>
      </c>
      <c r="E453" t="s">
        <v>1239</v>
      </c>
      <c r="F453" s="8">
        <v>239</v>
      </c>
      <c r="G453" s="11">
        <v>6.8331031896113465E-4</v>
      </c>
      <c r="H453" s="12">
        <v>0.88087677904527828</v>
      </c>
      <c r="I453" t="s">
        <v>1239</v>
      </c>
      <c r="J453" s="8">
        <v>5</v>
      </c>
      <c r="K453">
        <v>6</v>
      </c>
      <c r="L453" s="11">
        <v>6.2155775398998981E-4</v>
      </c>
      <c r="M453" s="12">
        <v>0.86166551435631544</v>
      </c>
      <c r="N453" t="s">
        <v>1239</v>
      </c>
      <c r="O453" t="s">
        <v>1256</v>
      </c>
      <c r="P453" s="23">
        <f>VLOOKUP(A453,вариация!A$2:G$805,2,FALSE)</f>
        <v>2.2360679774997894</v>
      </c>
      <c r="Q453" t="str">
        <f>IF(вариация!H454="Yes",IF(P456&lt;0.1,"X",IF(P456&lt;0.25,"Y","Z")),"")</f>
        <v/>
      </c>
      <c r="R453" t="str">
        <f>O453&amp;Q453</f>
        <v>BBB</v>
      </c>
    </row>
    <row r="454" spans="1:18" x14ac:dyDescent="0.25">
      <c r="A454" s="7" t="s">
        <v>806</v>
      </c>
      <c r="B454" s="8">
        <v>2</v>
      </c>
      <c r="C454" s="11">
        <v>1.2431155079799805E-3</v>
      </c>
      <c r="D454" s="12">
        <v>0.62093619623599772</v>
      </c>
      <c r="E454" t="s">
        <v>1238</v>
      </c>
      <c r="F454" s="8">
        <v>534</v>
      </c>
      <c r="G454" s="11">
        <v>1.5267268214445436E-3</v>
      </c>
      <c r="H454" s="12">
        <v>0.62876955374516896</v>
      </c>
      <c r="I454" t="s">
        <v>1238</v>
      </c>
      <c r="J454" s="8">
        <v>5</v>
      </c>
      <c r="K454">
        <v>12</v>
      </c>
      <c r="L454" s="11">
        <v>1.2431155079799796E-3</v>
      </c>
      <c r="M454" s="12">
        <v>0.62093619623599761</v>
      </c>
      <c r="N454" t="s">
        <v>1238</v>
      </c>
      <c r="O454" t="s">
        <v>1252</v>
      </c>
      <c r="P454" s="23">
        <f>VLOOKUP(A454,вариация!A$2:G$805,2,FALSE)</f>
        <v>1.3693063937629151</v>
      </c>
      <c r="Q454" t="str">
        <f>IF(вариация!H455="Yes",IF(P457&lt;0.1,"X",IF(P457&lt;0.25,"Y","Z")),"")</f>
        <v/>
      </c>
      <c r="R454" t="str">
        <f>O454&amp;Q454</f>
        <v>AAA</v>
      </c>
    </row>
    <row r="455" spans="1:18" x14ac:dyDescent="0.25">
      <c r="A455" s="7" t="s">
        <v>1164</v>
      </c>
      <c r="B455" s="8">
        <v>1</v>
      </c>
      <c r="C455" s="11">
        <v>6.2155775398999025E-4</v>
      </c>
      <c r="D455" s="12">
        <v>0.86228707211030553</v>
      </c>
      <c r="E455" t="s">
        <v>1239</v>
      </c>
      <c r="F455" s="8">
        <v>428</v>
      </c>
      <c r="G455" s="11">
        <v>1.2236686883488103E-3</v>
      </c>
      <c r="H455" s="12">
        <v>0.71246793377590523</v>
      </c>
      <c r="I455" t="s">
        <v>1238</v>
      </c>
      <c r="J455" s="8">
        <v>5</v>
      </c>
      <c r="K455">
        <v>6</v>
      </c>
      <c r="L455" s="11">
        <v>6.2155775398998981E-4</v>
      </c>
      <c r="M455" s="12">
        <v>0.86228707211030542</v>
      </c>
      <c r="N455" t="s">
        <v>1239</v>
      </c>
      <c r="O455" t="s">
        <v>1255</v>
      </c>
      <c r="P455" s="23">
        <f>VLOOKUP(A455,вариация!A$2:G$805,2,FALSE)</f>
        <v>2.2360679774997894</v>
      </c>
      <c r="Q455" t="str">
        <f>IF(вариация!H456="Yes",IF(P458&lt;0.1,"X",IF(P458&lt;0.25,"Y","Z")),"")</f>
        <v/>
      </c>
      <c r="R455" t="str">
        <f>O455&amp;Q455</f>
        <v>BAB</v>
      </c>
    </row>
    <row r="456" spans="1:18" x14ac:dyDescent="0.25">
      <c r="A456" s="7" t="s">
        <v>728</v>
      </c>
      <c r="B456" s="8">
        <v>1</v>
      </c>
      <c r="C456" s="11">
        <v>6.2155775398999025E-4</v>
      </c>
      <c r="D456" s="12">
        <v>0.86290862986429551</v>
      </c>
      <c r="E456" t="s">
        <v>1239</v>
      </c>
      <c r="F456" s="8">
        <v>319</v>
      </c>
      <c r="G456" s="11">
        <v>9.1203343827866924E-4</v>
      </c>
      <c r="H456" s="12">
        <v>0.80732462728469745</v>
      </c>
      <c r="I456" t="s">
        <v>1239</v>
      </c>
      <c r="J456" s="8">
        <v>5</v>
      </c>
      <c r="K456">
        <v>6</v>
      </c>
      <c r="L456" s="11">
        <v>6.2155775398998981E-4</v>
      </c>
      <c r="M456" s="12">
        <v>0.8629086298642954</v>
      </c>
      <c r="N456" t="s">
        <v>1239</v>
      </c>
      <c r="O456" t="s">
        <v>1256</v>
      </c>
      <c r="P456" s="23">
        <f>VLOOKUP(A456,вариация!A$2:G$805,2,FALSE)</f>
        <v>2.2360679774997894</v>
      </c>
      <c r="Q456" t="str">
        <f>IF(вариация!H457="Yes",IF(P459&lt;0.1,"X",IF(P459&lt;0.25,"Y","Z")),"")</f>
        <v/>
      </c>
      <c r="R456" t="str">
        <f>O456&amp;Q456</f>
        <v>BBB</v>
      </c>
    </row>
    <row r="457" spans="1:18" x14ac:dyDescent="0.25">
      <c r="A457" s="7" t="s">
        <v>569</v>
      </c>
      <c r="B457" s="8">
        <v>2</v>
      </c>
      <c r="C457" s="11">
        <v>1.2431155079799805E-3</v>
      </c>
      <c r="D457" s="12">
        <v>0.62217931174397767</v>
      </c>
      <c r="E457" t="s">
        <v>1238</v>
      </c>
      <c r="F457" s="8">
        <v>122</v>
      </c>
      <c r="G457" s="11">
        <v>3.488027569592403E-4</v>
      </c>
      <c r="H457" s="12">
        <v>0.95428306260806661</v>
      </c>
      <c r="I457" t="s">
        <v>1240</v>
      </c>
      <c r="J457" s="8">
        <v>5</v>
      </c>
      <c r="K457">
        <v>12</v>
      </c>
      <c r="L457" s="11">
        <v>1.2431155079799796E-3</v>
      </c>
      <c r="M457" s="12">
        <v>0.62217931174397756</v>
      </c>
      <c r="N457" t="s">
        <v>1238</v>
      </c>
      <c r="O457" t="s">
        <v>1254</v>
      </c>
      <c r="P457" s="23">
        <f>VLOOKUP(A457,вариация!A$2:G$805,2,FALSE)</f>
        <v>2.2360679774997894</v>
      </c>
      <c r="Q457" t="str">
        <f>IF(вариация!H458="Yes",IF(P460&lt;0.1,"X",IF(P460&lt;0.25,"Y","Z")),"")</f>
        <v/>
      </c>
      <c r="R457" t="str">
        <f>O457&amp;Q457</f>
        <v>ACA</v>
      </c>
    </row>
    <row r="458" spans="1:18" x14ac:dyDescent="0.25">
      <c r="A458" s="7" t="s">
        <v>635</v>
      </c>
      <c r="B458" s="8">
        <v>1</v>
      </c>
      <c r="C458" s="11">
        <v>6.2155775398999025E-4</v>
      </c>
      <c r="D458" s="12">
        <v>0.86353018761828548</v>
      </c>
      <c r="E458" t="s">
        <v>1239</v>
      </c>
      <c r="F458" s="8">
        <v>93</v>
      </c>
      <c r="G458" s="11">
        <v>2.6589062620663398E-4</v>
      </c>
      <c r="H458" s="12">
        <v>0.97471361228915598</v>
      </c>
      <c r="I458" t="s">
        <v>1240</v>
      </c>
      <c r="J458" s="8">
        <v>5</v>
      </c>
      <c r="K458">
        <v>6</v>
      </c>
      <c r="L458" s="11">
        <v>6.2155775398998981E-4</v>
      </c>
      <c r="M458" s="12">
        <v>0.86353018761828537</v>
      </c>
      <c r="N458" t="s">
        <v>1239</v>
      </c>
      <c r="O458" t="s">
        <v>1257</v>
      </c>
      <c r="P458" s="23">
        <f>VLOOKUP(A458,вариация!A$2:G$805,2,FALSE)</f>
        <v>2.2360679774997894</v>
      </c>
      <c r="Q458" t="str">
        <f>IF(вариация!H459="Yes",IF(P461&lt;0.1,"X",IF(P461&lt;0.25,"Y","Z")),"")</f>
        <v/>
      </c>
      <c r="R458" t="str">
        <f>O458&amp;Q458</f>
        <v>BCB</v>
      </c>
    </row>
    <row r="459" spans="1:18" x14ac:dyDescent="0.25">
      <c r="A459" s="7" t="s">
        <v>851</v>
      </c>
      <c r="B459" s="8">
        <v>1</v>
      </c>
      <c r="C459" s="11">
        <v>6.2155775398999025E-4</v>
      </c>
      <c r="D459" s="12">
        <v>0.86415174537227546</v>
      </c>
      <c r="E459" t="s">
        <v>1239</v>
      </c>
      <c r="F459" s="8">
        <v>200</v>
      </c>
      <c r="G459" s="11">
        <v>5.7180779829383655E-4</v>
      </c>
      <c r="H459" s="12">
        <v>0.90625764037853673</v>
      </c>
      <c r="I459" t="s">
        <v>1239</v>
      </c>
      <c r="J459" s="8">
        <v>5</v>
      </c>
      <c r="K459">
        <v>6</v>
      </c>
      <c r="L459" s="11">
        <v>6.2155775398998981E-4</v>
      </c>
      <c r="M459" s="12">
        <v>0.86415174537227535</v>
      </c>
      <c r="N459" t="s">
        <v>1239</v>
      </c>
      <c r="O459" t="s">
        <v>1256</v>
      </c>
      <c r="P459" s="23">
        <f>VLOOKUP(A459,вариация!A$2:G$805,2,FALSE)</f>
        <v>2.2360679774997894</v>
      </c>
      <c r="Q459" t="str">
        <f>IF(вариация!H460="Yes",IF(P462&lt;0.1,"X",IF(P462&lt;0.25,"Y","Z")),"")</f>
        <v/>
      </c>
      <c r="R459" t="str">
        <f>O459&amp;Q459</f>
        <v>BBB</v>
      </c>
    </row>
    <row r="460" spans="1:18" x14ac:dyDescent="0.25">
      <c r="A460" s="7" t="s">
        <v>1086</v>
      </c>
      <c r="B460" s="8">
        <v>1</v>
      </c>
      <c r="C460" s="11">
        <v>6.2155775398999025E-4</v>
      </c>
      <c r="D460" s="12">
        <v>0.86477330312626544</v>
      </c>
      <c r="E460" t="s">
        <v>1239</v>
      </c>
      <c r="F460" s="8">
        <v>275</v>
      </c>
      <c r="G460" s="11">
        <v>7.862357226540252E-4</v>
      </c>
      <c r="H460" s="12">
        <v>0.84416337328016788</v>
      </c>
      <c r="I460" t="s">
        <v>1239</v>
      </c>
      <c r="J460" s="8">
        <v>5</v>
      </c>
      <c r="K460">
        <v>6</v>
      </c>
      <c r="L460" s="11">
        <v>6.2155775398998981E-4</v>
      </c>
      <c r="M460" s="12">
        <v>0.86477330312626532</v>
      </c>
      <c r="N460" t="s">
        <v>1239</v>
      </c>
      <c r="O460" t="s">
        <v>1256</v>
      </c>
      <c r="P460" s="23">
        <f>VLOOKUP(A460,вариация!A$2:G$805,2,FALSE)</f>
        <v>2.2360679774997894</v>
      </c>
      <c r="Q460" t="str">
        <f>IF(вариация!H461="Yes",IF(P463&lt;0.1,"X",IF(P463&lt;0.25,"Y","Z")),"")</f>
        <v/>
      </c>
      <c r="R460" t="str">
        <f>O460&amp;Q460</f>
        <v>BBB</v>
      </c>
    </row>
    <row r="461" spans="1:18" x14ac:dyDescent="0.25">
      <c r="A461" s="7" t="s">
        <v>1117</v>
      </c>
      <c r="B461" s="8">
        <v>1</v>
      </c>
      <c r="C461" s="11">
        <v>6.2155775398999025E-4</v>
      </c>
      <c r="D461" s="12">
        <v>0.86539486088025541</v>
      </c>
      <c r="E461" t="s">
        <v>1239</v>
      </c>
      <c r="F461" s="8">
        <v>1070</v>
      </c>
      <c r="G461" s="11">
        <v>3.0591717208720256E-3</v>
      </c>
      <c r="H461" s="12">
        <v>0.38183729135388789</v>
      </c>
      <c r="I461" t="s">
        <v>1238</v>
      </c>
      <c r="J461" s="8">
        <v>5</v>
      </c>
      <c r="K461">
        <v>6</v>
      </c>
      <c r="L461" s="11">
        <v>6.2155775398998981E-4</v>
      </c>
      <c r="M461" s="12">
        <v>0.8653948608802553</v>
      </c>
      <c r="N461" t="s">
        <v>1239</v>
      </c>
      <c r="O461" t="s">
        <v>1255</v>
      </c>
      <c r="P461" s="23">
        <f>VLOOKUP(A461,вариация!A$2:G$805,2,FALSE)</f>
        <v>2.2360679774997894</v>
      </c>
      <c r="Q461" t="str">
        <f>IF(вариация!H462="Yes",IF(P464&lt;0.1,"X",IF(P464&lt;0.25,"Y","Z")),"")</f>
        <v/>
      </c>
      <c r="R461" t="str">
        <f>O461&amp;Q461</f>
        <v>BAB</v>
      </c>
    </row>
    <row r="462" spans="1:18" x14ac:dyDescent="0.25">
      <c r="A462" s="7" t="s">
        <v>1126</v>
      </c>
      <c r="B462" s="8">
        <v>1</v>
      </c>
      <c r="C462" s="11">
        <v>6.2155775398999025E-4</v>
      </c>
      <c r="D462" s="12">
        <v>0.86601641863424539</v>
      </c>
      <c r="E462" t="s">
        <v>1239</v>
      </c>
      <c r="F462" s="8">
        <v>374</v>
      </c>
      <c r="G462" s="11">
        <v>1.0692805828094744E-3</v>
      </c>
      <c r="H462" s="12">
        <v>0.7579399482715754</v>
      </c>
      <c r="I462" t="s">
        <v>1238</v>
      </c>
      <c r="J462" s="8">
        <v>5</v>
      </c>
      <c r="K462">
        <v>6</v>
      </c>
      <c r="L462" s="11">
        <v>6.2155775398998981E-4</v>
      </c>
      <c r="M462" s="12">
        <v>0.86601641863424528</v>
      </c>
      <c r="N462" t="s">
        <v>1239</v>
      </c>
      <c r="O462" t="s">
        <v>1255</v>
      </c>
      <c r="P462" s="23">
        <f>VLOOKUP(A462,вариация!A$2:G$805,2,FALSE)</f>
        <v>2.2360679774997894</v>
      </c>
      <c r="Q462" t="str">
        <f>IF(вариация!H463="Yes",IF(P465&lt;0.1,"X",IF(P465&lt;0.25,"Y","Z")),"")</f>
        <v/>
      </c>
      <c r="R462" t="str">
        <f>O462&amp;Q462</f>
        <v>BAB</v>
      </c>
    </row>
    <row r="463" spans="1:18" x14ac:dyDescent="0.25">
      <c r="A463" s="7" t="s">
        <v>311</v>
      </c>
      <c r="B463" s="8">
        <v>1</v>
      </c>
      <c r="C463" s="11">
        <v>6.2155775398999025E-4</v>
      </c>
      <c r="D463" s="12">
        <v>0.86663797638823536</v>
      </c>
      <c r="E463" t="s">
        <v>1239</v>
      </c>
      <c r="F463" s="8">
        <v>224</v>
      </c>
      <c r="G463" s="11">
        <v>6.4042473408909692E-4</v>
      </c>
      <c r="H463" s="12">
        <v>0.88880489416862229</v>
      </c>
      <c r="I463" t="s">
        <v>1239</v>
      </c>
      <c r="J463" s="8">
        <v>5</v>
      </c>
      <c r="K463">
        <v>6</v>
      </c>
      <c r="L463" s="11">
        <v>6.2155775398998981E-4</v>
      </c>
      <c r="M463" s="12">
        <v>0.86663797638823525</v>
      </c>
      <c r="N463" t="s">
        <v>1239</v>
      </c>
      <c r="O463" t="s">
        <v>1256</v>
      </c>
      <c r="P463" s="23">
        <f>VLOOKUP(A463,вариация!A$2:G$805,2,FALSE)</f>
        <v>2.2360679774997894</v>
      </c>
      <c r="Q463" t="str">
        <f>IF(вариация!H464="Yes",IF(P466&lt;0.1,"X",IF(P466&lt;0.25,"Y","Z")),"")</f>
        <v/>
      </c>
      <c r="R463" t="str">
        <f>O463&amp;Q463</f>
        <v>BBB</v>
      </c>
    </row>
    <row r="464" spans="1:18" x14ac:dyDescent="0.25">
      <c r="A464" s="7" t="s">
        <v>385</v>
      </c>
      <c r="B464" s="8">
        <v>3</v>
      </c>
      <c r="C464" s="11">
        <v>1.8646732619699705E-3</v>
      </c>
      <c r="D464" s="12">
        <v>0.47549168180234253</v>
      </c>
      <c r="E464" t="s">
        <v>1238</v>
      </c>
      <c r="F464" s="8">
        <v>948</v>
      </c>
      <c r="G464" s="11">
        <v>2.710368963912785E-3</v>
      </c>
      <c r="H464" s="12">
        <v>0.43652537988739998</v>
      </c>
      <c r="I464" t="s">
        <v>1238</v>
      </c>
      <c r="J464" s="8">
        <v>5</v>
      </c>
      <c r="K464">
        <v>18</v>
      </c>
      <c r="L464" s="11">
        <v>1.8646732619699697E-3</v>
      </c>
      <c r="M464" s="12">
        <v>0.47549168180234236</v>
      </c>
      <c r="N464" t="s">
        <v>1238</v>
      </c>
      <c r="O464" t="s">
        <v>1252</v>
      </c>
      <c r="P464" s="23">
        <f>VLOOKUP(A464,вариация!A$2:G$805,2,FALSE)</f>
        <v>0.91287092917527679</v>
      </c>
      <c r="Q464" t="str">
        <f>IF(вариация!H465="Yes",IF(P467&lt;0.1,"X",IF(P467&lt;0.25,"Y","Z")),"")</f>
        <v>Z</v>
      </c>
      <c r="R464" t="str">
        <f>O464&amp;Q464</f>
        <v>AAAZ</v>
      </c>
    </row>
    <row r="465" spans="1:18" x14ac:dyDescent="0.25">
      <c r="A465" s="7" t="s">
        <v>102</v>
      </c>
      <c r="B465" s="8">
        <v>1</v>
      </c>
      <c r="C465" s="11">
        <v>6.2155775398999025E-4</v>
      </c>
      <c r="D465" s="12">
        <v>0.86725953414222534</v>
      </c>
      <c r="E465" t="s">
        <v>1239</v>
      </c>
      <c r="F465" s="8">
        <v>394</v>
      </c>
      <c r="G465" s="11">
        <v>1.126461362638858E-3</v>
      </c>
      <c r="H465" s="12">
        <v>0.73934004125672381</v>
      </c>
      <c r="I465" t="s">
        <v>1238</v>
      </c>
      <c r="J465" s="8">
        <v>5</v>
      </c>
      <c r="K465">
        <v>6</v>
      </c>
      <c r="L465" s="11">
        <v>6.2155775398998981E-4</v>
      </c>
      <c r="M465" s="12">
        <v>0.86725953414222523</v>
      </c>
      <c r="N465" t="s">
        <v>1239</v>
      </c>
      <c r="O465" t="s">
        <v>1255</v>
      </c>
      <c r="P465" s="23">
        <f>VLOOKUP(A465,вариация!A$2:G$805,2,FALSE)</f>
        <v>2.2360679774997894</v>
      </c>
      <c r="Q465" t="str">
        <f>IF(вариация!H466="Yes",IF(P468&lt;0.1,"X",IF(P468&lt;0.25,"Y","Z")),"")</f>
        <v/>
      </c>
      <c r="R465" t="str">
        <f>O465&amp;Q465</f>
        <v>BAB</v>
      </c>
    </row>
    <row r="466" spans="1:18" x14ac:dyDescent="0.25">
      <c r="A466" s="7" t="s">
        <v>285</v>
      </c>
      <c r="B466" s="8">
        <v>2</v>
      </c>
      <c r="C466" s="11">
        <v>1.2431155079799805E-3</v>
      </c>
      <c r="D466" s="12">
        <v>0.62342242725195762</v>
      </c>
      <c r="E466" t="s">
        <v>1238</v>
      </c>
      <c r="F466" s="8">
        <v>444</v>
      </c>
      <c r="G466" s="11">
        <v>1.269413312212317E-3</v>
      </c>
      <c r="H466" s="12">
        <v>0.70005112743595455</v>
      </c>
      <c r="I466" t="s">
        <v>1238</v>
      </c>
      <c r="J466" s="8">
        <v>5</v>
      </c>
      <c r="K466">
        <v>12</v>
      </c>
      <c r="L466" s="11">
        <v>1.2431155079799796E-3</v>
      </c>
      <c r="M466" s="12">
        <v>0.62342242725195751</v>
      </c>
      <c r="N466" t="s">
        <v>1238</v>
      </c>
      <c r="O466" t="s">
        <v>1252</v>
      </c>
      <c r="P466" s="23">
        <f>VLOOKUP(A466,вариация!A$2:G$805,2,FALSE)</f>
        <v>1.3693063937629151</v>
      </c>
      <c r="Q466" t="str">
        <f>IF(вариация!H467="Yes",IF(P469&lt;0.1,"X",IF(P469&lt;0.25,"Y","Z")),"")</f>
        <v/>
      </c>
      <c r="R466" t="str">
        <f>O466&amp;Q466</f>
        <v>AAA</v>
      </c>
    </row>
    <row r="467" spans="1:18" x14ac:dyDescent="0.25">
      <c r="A467" s="7" t="s">
        <v>653</v>
      </c>
      <c r="B467" s="8">
        <v>1</v>
      </c>
      <c r="C467" s="11">
        <v>6.2155775398999025E-4</v>
      </c>
      <c r="D467" s="12">
        <v>0.86788109189621532</v>
      </c>
      <c r="E467" t="s">
        <v>1239</v>
      </c>
      <c r="F467" s="8">
        <v>59</v>
      </c>
      <c r="G467" s="11">
        <v>1.6868330049668178E-4</v>
      </c>
      <c r="H467" s="12">
        <v>0.99205262592799015</v>
      </c>
      <c r="I467" t="s">
        <v>1240</v>
      </c>
      <c r="J467" s="8">
        <v>5</v>
      </c>
      <c r="K467">
        <v>6</v>
      </c>
      <c r="L467" s="11">
        <v>6.2155775398998981E-4</v>
      </c>
      <c r="M467" s="12">
        <v>0.86788109189621521</v>
      </c>
      <c r="N467" t="s">
        <v>1239</v>
      </c>
      <c r="O467" t="s">
        <v>1257</v>
      </c>
      <c r="P467" s="23">
        <f>VLOOKUP(A467,вариация!A$2:G$805,2,FALSE)</f>
        <v>2.2360679774997894</v>
      </c>
      <c r="Q467" t="str">
        <f>IF(вариация!H468="Yes",IF(P470&lt;0.1,"X",IF(P470&lt;0.25,"Y","Z")),"")</f>
        <v/>
      </c>
      <c r="R467" t="str">
        <f>O467&amp;Q467</f>
        <v>BCB</v>
      </c>
    </row>
    <row r="468" spans="1:18" x14ac:dyDescent="0.25">
      <c r="A468" s="7" t="s">
        <v>400</v>
      </c>
      <c r="B468" s="8">
        <v>2</v>
      </c>
      <c r="C468" s="11">
        <v>1.2431155079799805E-3</v>
      </c>
      <c r="D468" s="12">
        <v>0.62466554275993758</v>
      </c>
      <c r="E468" t="s">
        <v>1238</v>
      </c>
      <c r="F468" s="8">
        <v>329.14</v>
      </c>
      <c r="G468" s="11">
        <v>9.410240936521668E-4</v>
      </c>
      <c r="H468" s="12">
        <v>0.79806820264591694</v>
      </c>
      <c r="I468" t="s">
        <v>1238</v>
      </c>
      <c r="J468" s="8">
        <v>5</v>
      </c>
      <c r="K468">
        <v>12</v>
      </c>
      <c r="L468" s="11">
        <v>1.2431155079799796E-3</v>
      </c>
      <c r="M468" s="12">
        <v>0.62466554275993746</v>
      </c>
      <c r="N468" t="s">
        <v>1238</v>
      </c>
      <c r="O468" t="s">
        <v>1252</v>
      </c>
      <c r="P468" s="23">
        <f>VLOOKUP(A468,вариация!A$2:G$805,2,FALSE)</f>
        <v>2.2360679774997894</v>
      </c>
      <c r="Q468" t="str">
        <f>IF(вариация!H469="Yes",IF(P471&lt;0.1,"X",IF(P471&lt;0.25,"Y","Z")),"")</f>
        <v/>
      </c>
      <c r="R468" t="str">
        <f>O468&amp;Q468</f>
        <v>AAA</v>
      </c>
    </row>
    <row r="469" spans="1:18" x14ac:dyDescent="0.25">
      <c r="A469" s="7" t="s">
        <v>371</v>
      </c>
      <c r="B469" s="8">
        <v>1</v>
      </c>
      <c r="C469" s="11">
        <v>6.2155775398999025E-4</v>
      </c>
      <c r="D469" s="12">
        <v>0.86850264965020529</v>
      </c>
      <c r="E469" t="s">
        <v>1239</v>
      </c>
      <c r="F469" s="8">
        <v>527</v>
      </c>
      <c r="G469" s="11">
        <v>1.5067135485042592E-3</v>
      </c>
      <c r="H469" s="12">
        <v>0.63483071640708366</v>
      </c>
      <c r="I469" t="s">
        <v>1238</v>
      </c>
      <c r="J469" s="8">
        <v>5</v>
      </c>
      <c r="K469">
        <v>6</v>
      </c>
      <c r="L469" s="11">
        <v>6.2155775398998981E-4</v>
      </c>
      <c r="M469" s="12">
        <v>0.86850264965020518</v>
      </c>
      <c r="N469" t="s">
        <v>1239</v>
      </c>
      <c r="O469" t="s">
        <v>1255</v>
      </c>
      <c r="P469" s="23">
        <f>VLOOKUP(A469,вариация!A$2:G$805,2,FALSE)</f>
        <v>2.2360679774997894</v>
      </c>
      <c r="Q469" t="str">
        <f>IF(вариация!H470="Yes",IF(P472&lt;0.1,"X",IF(P472&lt;0.25,"Y","Z")),"")</f>
        <v/>
      </c>
      <c r="R469" t="str">
        <f>O469&amp;Q469</f>
        <v>BAB</v>
      </c>
    </row>
    <row r="470" spans="1:18" x14ac:dyDescent="0.25">
      <c r="A470" s="7" t="s">
        <v>331</v>
      </c>
      <c r="B470" s="8">
        <v>0.53571440000000004</v>
      </c>
      <c r="C470" s="11">
        <v>3.3297743924409523E-4</v>
      </c>
      <c r="D470" s="12">
        <v>0.99511544410426922</v>
      </c>
      <c r="E470" t="s">
        <v>1240</v>
      </c>
      <c r="F470" s="8">
        <v>364.18436400000002</v>
      </c>
      <c r="G470" s="11">
        <v>1.0412172967594058E-3</v>
      </c>
      <c r="H470" s="12">
        <v>0.7642508318758513</v>
      </c>
      <c r="I470" t="s">
        <v>1238</v>
      </c>
      <c r="J470" s="8">
        <v>5</v>
      </c>
      <c r="K470">
        <v>3.2142864000000002</v>
      </c>
      <c r="L470" s="11">
        <v>3.3297743924409502E-4</v>
      </c>
      <c r="M470" s="12">
        <v>0.99511544410426911</v>
      </c>
      <c r="N470" t="s">
        <v>1240</v>
      </c>
      <c r="O470" t="s">
        <v>1258</v>
      </c>
      <c r="P470" s="23">
        <f>VLOOKUP(A470,вариация!A$2:G$805,2,FALSE)</f>
        <v>1.2247447189789382</v>
      </c>
      <c r="Q470" t="str">
        <f>IF(вариация!H471="Yes",IF(P473&lt;0.1,"X",IF(P473&lt;0.25,"Y","Z")),"")</f>
        <v>Z</v>
      </c>
      <c r="R470" t="str">
        <f>O470&amp;Q470</f>
        <v>CACZ</v>
      </c>
    </row>
    <row r="471" spans="1:18" x14ac:dyDescent="0.25">
      <c r="A471" s="7" t="s">
        <v>512</v>
      </c>
      <c r="B471" s="8">
        <v>1</v>
      </c>
      <c r="C471" s="11">
        <v>6.2155775398999025E-4</v>
      </c>
      <c r="D471" s="12">
        <v>0.86912420740419527</v>
      </c>
      <c r="E471" t="s">
        <v>1239</v>
      </c>
      <c r="F471" s="8">
        <v>123</v>
      </c>
      <c r="G471" s="11">
        <v>3.516617959507095E-4</v>
      </c>
      <c r="H471" s="12">
        <v>0.95253904882327034</v>
      </c>
      <c r="I471" t="s">
        <v>1240</v>
      </c>
      <c r="J471" s="8">
        <v>5</v>
      </c>
      <c r="K471">
        <v>6</v>
      </c>
      <c r="L471" s="11">
        <v>6.2155775398998981E-4</v>
      </c>
      <c r="M471" s="12">
        <v>0.86912420740419516</v>
      </c>
      <c r="N471" t="s">
        <v>1239</v>
      </c>
      <c r="O471" t="s">
        <v>1257</v>
      </c>
      <c r="P471" s="23">
        <f>VLOOKUP(A471,вариация!A$2:G$805,2,FALSE)</f>
        <v>2.2360679774997894</v>
      </c>
      <c r="Q471" t="str">
        <f>IF(вариация!H472="Yes",IF(P474&lt;0.1,"X",IF(P474&lt;0.25,"Y","Z")),"")</f>
        <v/>
      </c>
      <c r="R471" t="str">
        <f>O471&amp;Q471</f>
        <v>BCB</v>
      </c>
    </row>
    <row r="472" spans="1:18" x14ac:dyDescent="0.25">
      <c r="A472" s="7" t="s">
        <v>1077</v>
      </c>
      <c r="B472" s="8">
        <v>1</v>
      </c>
      <c r="C472" s="11">
        <v>6.2155775398999025E-4</v>
      </c>
      <c r="D472" s="12">
        <v>0.86974576515818525</v>
      </c>
      <c r="E472" t="s">
        <v>1239</v>
      </c>
      <c r="F472" s="8">
        <v>85.38</v>
      </c>
      <c r="G472" s="11">
        <v>2.441047490916388E-4</v>
      </c>
      <c r="H472" s="12">
        <v>0.9782867820399147</v>
      </c>
      <c r="I472" t="s">
        <v>1240</v>
      </c>
      <c r="J472" s="8">
        <v>5</v>
      </c>
      <c r="K472">
        <v>6</v>
      </c>
      <c r="L472" s="11">
        <v>6.2155775398998981E-4</v>
      </c>
      <c r="M472" s="12">
        <v>0.86974576515818514</v>
      </c>
      <c r="N472" t="s">
        <v>1239</v>
      </c>
      <c r="O472" t="s">
        <v>1257</v>
      </c>
      <c r="P472" s="23">
        <f>VLOOKUP(A472,вариация!A$2:G$805,2,FALSE)</f>
        <v>2.2360679774997894</v>
      </c>
      <c r="Q472" t="str">
        <f>IF(вариация!H473="Yes",IF(P475&lt;0.1,"X",IF(P475&lt;0.25,"Y","Z")),"")</f>
        <v/>
      </c>
      <c r="R472" t="str">
        <f>O472&amp;Q472</f>
        <v>BCB</v>
      </c>
    </row>
    <row r="473" spans="1:18" x14ac:dyDescent="0.25">
      <c r="A473" s="7" t="s">
        <v>300</v>
      </c>
      <c r="B473" s="8">
        <v>1</v>
      </c>
      <c r="C473" s="11">
        <v>6.2155775398999025E-4</v>
      </c>
      <c r="D473" s="12">
        <v>0.87036732291217522</v>
      </c>
      <c r="E473" t="s">
        <v>1239</v>
      </c>
      <c r="F473" s="8">
        <v>72</v>
      </c>
      <c r="G473" s="11">
        <v>2.0585080738578116E-4</v>
      </c>
      <c r="H473" s="12">
        <v>0.98719097307494641</v>
      </c>
      <c r="I473" t="s">
        <v>1240</v>
      </c>
      <c r="J473" s="8">
        <v>5</v>
      </c>
      <c r="K473">
        <v>6</v>
      </c>
      <c r="L473" s="11">
        <v>6.2155775398998981E-4</v>
      </c>
      <c r="M473" s="12">
        <v>0.87036732291217511</v>
      </c>
      <c r="N473" t="s">
        <v>1239</v>
      </c>
      <c r="O473" t="s">
        <v>1257</v>
      </c>
      <c r="P473" s="23">
        <f>VLOOKUP(A473,вариация!A$2:G$805,2,FALSE)</f>
        <v>2.2360679774997894</v>
      </c>
      <c r="Q473" t="str">
        <f>IF(вариация!H474="Yes",IF(P476&lt;0.1,"X",IF(P476&lt;0.25,"Y","Z")),"")</f>
        <v/>
      </c>
      <c r="R473" t="str">
        <f>O473&amp;Q473</f>
        <v>BCB</v>
      </c>
    </row>
    <row r="474" spans="1:18" x14ac:dyDescent="0.25">
      <c r="A474" s="7" t="s">
        <v>419</v>
      </c>
      <c r="B474" s="8">
        <v>35</v>
      </c>
      <c r="C474" s="11">
        <v>2.1754521389649659E-2</v>
      </c>
      <c r="D474" s="12">
        <v>6.4020448660968995E-2</v>
      </c>
      <c r="E474" t="s">
        <v>1238</v>
      </c>
      <c r="F474" s="8">
        <v>279</v>
      </c>
      <c r="G474" s="11">
        <v>7.97671878619902E-4</v>
      </c>
      <c r="H474" s="12">
        <v>0.83703864811342676</v>
      </c>
      <c r="I474" t="s">
        <v>1239</v>
      </c>
      <c r="J474" s="8">
        <v>5</v>
      </c>
      <c r="K474">
        <v>210</v>
      </c>
      <c r="L474" s="11">
        <v>2.1754521389649645E-2</v>
      </c>
      <c r="M474" s="12">
        <v>6.4020448660968954E-2</v>
      </c>
      <c r="N474" t="s">
        <v>1238</v>
      </c>
      <c r="O474" t="s">
        <v>1253</v>
      </c>
      <c r="P474" s="23">
        <f>VLOOKUP(A474,вариация!A$2:G$805,2,FALSE)</f>
        <v>0.69985421222376509</v>
      </c>
      <c r="Q474" t="str">
        <f>IF(вариация!H475="Yes",IF(P477&lt;0.1,"X",IF(P477&lt;0.25,"Y","Z")),"")</f>
        <v>Z</v>
      </c>
      <c r="R474" t="str">
        <f>O474&amp;Q474</f>
        <v>ABAZ</v>
      </c>
    </row>
    <row r="475" spans="1:18" x14ac:dyDescent="0.25">
      <c r="A475" s="7" t="s">
        <v>934</v>
      </c>
      <c r="B475" s="8">
        <v>1</v>
      </c>
      <c r="C475" s="11">
        <v>6.2155775398999025E-4</v>
      </c>
      <c r="D475" s="12">
        <v>0.8709888806661652</v>
      </c>
      <c r="E475" t="s">
        <v>1239</v>
      </c>
      <c r="F475" s="8">
        <v>536</v>
      </c>
      <c r="G475" s="11">
        <v>1.5324448994274819E-3</v>
      </c>
      <c r="H475" s="12">
        <v>0.62724282692372446</v>
      </c>
      <c r="I475" t="s">
        <v>1238</v>
      </c>
      <c r="J475" s="8">
        <v>5</v>
      </c>
      <c r="K475">
        <v>6</v>
      </c>
      <c r="L475" s="11">
        <v>6.2155775398998981E-4</v>
      </c>
      <c r="M475" s="12">
        <v>0.87098888066616509</v>
      </c>
      <c r="N475" t="s">
        <v>1239</v>
      </c>
      <c r="O475" t="s">
        <v>1255</v>
      </c>
      <c r="P475" s="23">
        <f>VLOOKUP(A475,вариация!A$2:G$805,2,FALSE)</f>
        <v>2.2360679774997894</v>
      </c>
      <c r="Q475" t="str">
        <f>IF(вариация!H476="Yes",IF(P478&lt;0.1,"X",IF(P478&lt;0.25,"Y","Z")),"")</f>
        <v/>
      </c>
      <c r="R475" t="str">
        <f>O475&amp;Q475</f>
        <v>BAB</v>
      </c>
    </row>
    <row r="476" spans="1:18" x14ac:dyDescent="0.25">
      <c r="A476" s="7" t="s">
        <v>1184</v>
      </c>
      <c r="B476" s="8">
        <v>1</v>
      </c>
      <c r="C476" s="11">
        <v>6.2155775398999025E-4</v>
      </c>
      <c r="D476" s="12">
        <v>0.87161043842015518</v>
      </c>
      <c r="E476" t="s">
        <v>1239</v>
      </c>
      <c r="F476" s="8">
        <v>679</v>
      </c>
      <c r="G476" s="11">
        <v>1.941287475207575E-3</v>
      </c>
      <c r="H476" s="12">
        <v>0.53033872133741555</v>
      </c>
      <c r="I476" t="s">
        <v>1238</v>
      </c>
      <c r="J476" s="8">
        <v>5</v>
      </c>
      <c r="K476">
        <v>6</v>
      </c>
      <c r="L476" s="11">
        <v>6.2155775398998981E-4</v>
      </c>
      <c r="M476" s="12">
        <v>0.87161043842015506</v>
      </c>
      <c r="N476" t="s">
        <v>1239</v>
      </c>
      <c r="O476" t="s">
        <v>1255</v>
      </c>
      <c r="P476" s="23">
        <f>VLOOKUP(A476,вариация!A$2:G$805,2,FALSE)</f>
        <v>2.2360679774997894</v>
      </c>
      <c r="Q476" t="str">
        <f>IF(вариация!H477="Yes",IF(P479&lt;0.1,"X",IF(P479&lt;0.25,"Y","Z")),"")</f>
        <v/>
      </c>
      <c r="R476" t="str">
        <f>O476&amp;Q476</f>
        <v>BAB</v>
      </c>
    </row>
    <row r="477" spans="1:18" x14ac:dyDescent="0.25">
      <c r="A477" s="7" t="s">
        <v>534</v>
      </c>
      <c r="B477" s="8">
        <v>1</v>
      </c>
      <c r="C477" s="11">
        <v>6.2155775398999025E-4</v>
      </c>
      <c r="D477" s="12">
        <v>0.87223199617414515</v>
      </c>
      <c r="E477" t="s">
        <v>1239</v>
      </c>
      <c r="F477" s="8">
        <v>241</v>
      </c>
      <c r="G477" s="11">
        <v>6.8902839694407305E-4</v>
      </c>
      <c r="H477" s="12">
        <v>0.87813781969145066</v>
      </c>
      <c r="I477" t="s">
        <v>1239</v>
      </c>
      <c r="J477" s="8">
        <v>5</v>
      </c>
      <c r="K477">
        <v>6</v>
      </c>
      <c r="L477" s="11">
        <v>6.2155775398998981E-4</v>
      </c>
      <c r="M477" s="12">
        <v>0.87223199617414504</v>
      </c>
      <c r="N477" t="s">
        <v>1239</v>
      </c>
      <c r="O477" t="s">
        <v>1256</v>
      </c>
      <c r="P477" s="23">
        <f>VLOOKUP(A477,вариация!A$2:G$805,2,FALSE)</f>
        <v>2.2360679774997894</v>
      </c>
      <c r="Q477" t="str">
        <f>IF(вариация!H478="Yes",IF(P480&lt;0.1,"X",IF(P480&lt;0.25,"Y","Z")),"")</f>
        <v/>
      </c>
      <c r="R477" t="str">
        <f>O477&amp;Q477</f>
        <v>BBB</v>
      </c>
    </row>
    <row r="478" spans="1:18" x14ac:dyDescent="0.25">
      <c r="A478" s="7" t="s">
        <v>472</v>
      </c>
      <c r="B478" s="8">
        <v>1</v>
      </c>
      <c r="C478" s="11">
        <v>6.2155775398999025E-4</v>
      </c>
      <c r="D478" s="12">
        <v>0.87285355392813513</v>
      </c>
      <c r="E478" t="s">
        <v>1239</v>
      </c>
      <c r="F478" s="8">
        <v>252</v>
      </c>
      <c r="G478" s="11">
        <v>7.2047782585023409E-4</v>
      </c>
      <c r="H478" s="12">
        <v>0.86974082217350568</v>
      </c>
      <c r="I478" t="s">
        <v>1239</v>
      </c>
      <c r="J478" s="8">
        <v>5</v>
      </c>
      <c r="K478">
        <v>6</v>
      </c>
      <c r="L478" s="11">
        <v>6.2155775398998981E-4</v>
      </c>
      <c r="M478" s="12">
        <v>0.87285355392813502</v>
      </c>
      <c r="N478" t="s">
        <v>1239</v>
      </c>
      <c r="O478" t="s">
        <v>1256</v>
      </c>
      <c r="P478" s="23">
        <f>VLOOKUP(A478,вариация!A$2:G$805,2,FALSE)</f>
        <v>2.2360679774997894</v>
      </c>
      <c r="Q478" t="str">
        <f>IF(вариация!H479="Yes",IF(P481&lt;0.1,"X",IF(P481&lt;0.25,"Y","Z")),"")</f>
        <v/>
      </c>
      <c r="R478" t="str">
        <f>O478&amp;Q478</f>
        <v>BBB</v>
      </c>
    </row>
    <row r="479" spans="1:18" x14ac:dyDescent="0.25">
      <c r="A479" s="7" t="s">
        <v>831</v>
      </c>
      <c r="B479" s="8">
        <v>1</v>
      </c>
      <c r="C479" s="11">
        <v>6.2155775398999025E-4</v>
      </c>
      <c r="D479" s="12">
        <v>0.8734751116821251</v>
      </c>
      <c r="E479" t="s">
        <v>1239</v>
      </c>
      <c r="F479" s="8">
        <v>217</v>
      </c>
      <c r="G479" s="11">
        <v>6.2041146114881268E-4</v>
      </c>
      <c r="H479" s="12">
        <v>0.89319065998153613</v>
      </c>
      <c r="I479" t="s">
        <v>1239</v>
      </c>
      <c r="J479" s="8">
        <v>5</v>
      </c>
      <c r="K479">
        <v>6</v>
      </c>
      <c r="L479" s="11">
        <v>6.2155775398998981E-4</v>
      </c>
      <c r="M479" s="12">
        <v>0.87347511168212499</v>
      </c>
      <c r="N479" t="s">
        <v>1239</v>
      </c>
      <c r="O479" t="s">
        <v>1256</v>
      </c>
      <c r="P479" s="23">
        <f>VLOOKUP(A479,вариация!A$2:G$805,2,FALSE)</f>
        <v>2.2360679774997894</v>
      </c>
      <c r="Q479" t="str">
        <f>IF(вариация!H480="Yes",IF(P482&lt;0.1,"X",IF(P482&lt;0.25,"Y","Z")),"")</f>
        <v/>
      </c>
      <c r="R479" t="str">
        <f>O479&amp;Q479</f>
        <v>BBB</v>
      </c>
    </row>
    <row r="480" spans="1:18" x14ac:dyDescent="0.25">
      <c r="A480" s="7" t="s">
        <v>1075</v>
      </c>
      <c r="B480" s="8">
        <v>1</v>
      </c>
      <c r="C480" s="11">
        <v>6.2155775398999025E-4</v>
      </c>
      <c r="D480" s="12">
        <v>0.87409666943611508</v>
      </c>
      <c r="E480" t="s">
        <v>1239</v>
      </c>
      <c r="F480" s="8">
        <v>552.61</v>
      </c>
      <c r="G480" s="11">
        <v>1.579933537075785E-3</v>
      </c>
      <c r="H480" s="12">
        <v>0.6179738225133814</v>
      </c>
      <c r="I480" t="s">
        <v>1238</v>
      </c>
      <c r="J480" s="8">
        <v>5</v>
      </c>
      <c r="K480">
        <v>6</v>
      </c>
      <c r="L480" s="11">
        <v>6.2155775398998981E-4</v>
      </c>
      <c r="M480" s="12">
        <v>0.87409666943611497</v>
      </c>
      <c r="N480" t="s">
        <v>1239</v>
      </c>
      <c r="O480" t="s">
        <v>1255</v>
      </c>
      <c r="P480" s="23">
        <f>VLOOKUP(A480,вариация!A$2:G$805,2,FALSE)</f>
        <v>2.2360679774997894</v>
      </c>
      <c r="Q480" t="str">
        <f>IF(вариация!H481="Yes",IF(P483&lt;0.1,"X",IF(P483&lt;0.25,"Y","Z")),"")</f>
        <v/>
      </c>
      <c r="R480" t="str">
        <f>O480&amp;Q480</f>
        <v>BAB</v>
      </c>
    </row>
    <row r="481" spans="1:18" x14ac:dyDescent="0.25">
      <c r="A481" s="7" t="s">
        <v>523</v>
      </c>
      <c r="B481" s="8">
        <v>1</v>
      </c>
      <c r="C481" s="11">
        <v>6.2155775398999025E-4</v>
      </c>
      <c r="D481" s="12">
        <v>0.87471822719010506</v>
      </c>
      <c r="E481" t="s">
        <v>1239</v>
      </c>
      <c r="F481" s="8">
        <v>395</v>
      </c>
      <c r="G481" s="11">
        <v>1.1293204016303271E-3</v>
      </c>
      <c r="H481" s="12">
        <v>0.73708711853144615</v>
      </c>
      <c r="I481" t="s">
        <v>1238</v>
      </c>
      <c r="J481" s="8">
        <v>5</v>
      </c>
      <c r="K481">
        <v>6</v>
      </c>
      <c r="L481" s="11">
        <v>6.2155775398998981E-4</v>
      </c>
      <c r="M481" s="12">
        <v>0.87471822719010495</v>
      </c>
      <c r="N481" t="s">
        <v>1239</v>
      </c>
      <c r="O481" t="s">
        <v>1255</v>
      </c>
      <c r="P481" s="23">
        <f>VLOOKUP(A481,вариация!A$2:G$805,2,FALSE)</f>
        <v>2.2360679774997894</v>
      </c>
      <c r="Q481" t="str">
        <f>IF(вариация!H482="Yes",IF(P484&lt;0.1,"X",IF(P484&lt;0.25,"Y","Z")),"")</f>
        <v/>
      </c>
      <c r="R481" t="str">
        <f>O481&amp;Q481</f>
        <v>BAB</v>
      </c>
    </row>
    <row r="482" spans="1:18" x14ac:dyDescent="0.25">
      <c r="A482" s="7" t="s">
        <v>499</v>
      </c>
      <c r="B482" s="8">
        <v>1</v>
      </c>
      <c r="C482" s="11">
        <v>6.2155775398999025E-4</v>
      </c>
      <c r="D482" s="12">
        <v>0.87533978494409503</v>
      </c>
      <c r="E482" t="s">
        <v>1239</v>
      </c>
      <c r="F482" s="8">
        <v>443</v>
      </c>
      <c r="G482" s="11">
        <v>1.2665542732208479E-3</v>
      </c>
      <c r="H482" s="12">
        <v>0.70131768170917541</v>
      </c>
      <c r="I482" t="s">
        <v>1238</v>
      </c>
      <c r="J482" s="8">
        <v>5</v>
      </c>
      <c r="K482">
        <v>6</v>
      </c>
      <c r="L482" s="11">
        <v>6.2155775398998981E-4</v>
      </c>
      <c r="M482" s="12">
        <v>0.87533978494409492</v>
      </c>
      <c r="N482" t="s">
        <v>1239</v>
      </c>
      <c r="O482" t="s">
        <v>1255</v>
      </c>
      <c r="P482" s="23">
        <f>VLOOKUP(A482,вариация!A$2:G$805,2,FALSE)</f>
        <v>2.2360679774997894</v>
      </c>
      <c r="Q482" t="str">
        <f>IF(вариация!H483="Yes",IF(P485&lt;0.1,"X",IF(P485&lt;0.25,"Y","Z")),"")</f>
        <v/>
      </c>
      <c r="R482" t="str">
        <f>O482&amp;Q482</f>
        <v>BAB</v>
      </c>
    </row>
    <row r="483" spans="1:18" x14ac:dyDescent="0.25">
      <c r="A483" s="7" t="s">
        <v>493</v>
      </c>
      <c r="B483" s="8">
        <v>1</v>
      </c>
      <c r="C483" s="11">
        <v>6.2155775398999025E-4</v>
      </c>
      <c r="D483" s="12">
        <v>0.87596134269808501</v>
      </c>
      <c r="E483" t="s">
        <v>1239</v>
      </c>
      <c r="F483" s="8">
        <v>309</v>
      </c>
      <c r="G483" s="11">
        <v>8.8344304836397746E-4</v>
      </c>
      <c r="H483" s="12">
        <v>0.8135768595224121</v>
      </c>
      <c r="I483" t="s">
        <v>1239</v>
      </c>
      <c r="J483" s="8">
        <v>5</v>
      </c>
      <c r="K483">
        <v>6</v>
      </c>
      <c r="L483" s="11">
        <v>6.2155775398998981E-4</v>
      </c>
      <c r="M483" s="12">
        <v>0.8759613426980849</v>
      </c>
      <c r="N483" t="s">
        <v>1239</v>
      </c>
      <c r="O483" t="s">
        <v>1256</v>
      </c>
      <c r="P483" s="23">
        <f>VLOOKUP(A483,вариация!A$2:G$805,2,FALSE)</f>
        <v>2.2360679774997894</v>
      </c>
      <c r="Q483" t="str">
        <f>IF(вариация!H484="Yes",IF(P486&lt;0.1,"X",IF(P486&lt;0.25,"Y","Z")),"")</f>
        <v/>
      </c>
      <c r="R483" t="str">
        <f>O483&amp;Q483</f>
        <v>BBB</v>
      </c>
    </row>
    <row r="484" spans="1:18" x14ac:dyDescent="0.25">
      <c r="A484" s="7" t="s">
        <v>416</v>
      </c>
      <c r="B484" s="8">
        <v>1.3</v>
      </c>
      <c r="C484" s="11">
        <v>8.0802508018698734E-4</v>
      </c>
      <c r="D484" s="12">
        <v>0.68514311222316227</v>
      </c>
      <c r="E484" t="s">
        <v>1238</v>
      </c>
      <c r="F484" s="8">
        <v>1449.4</v>
      </c>
      <c r="G484" s="11">
        <v>4.1438911142354339E-3</v>
      </c>
      <c r="H484" s="12">
        <v>0.26594884567175514</v>
      </c>
      <c r="I484" t="s">
        <v>1238</v>
      </c>
      <c r="J484" s="8">
        <v>5</v>
      </c>
      <c r="K484">
        <v>7.8000000000000007</v>
      </c>
      <c r="L484" s="11">
        <v>8.0802508018698691E-4</v>
      </c>
      <c r="M484" s="12">
        <v>0.68514311222316215</v>
      </c>
      <c r="N484" t="s">
        <v>1238</v>
      </c>
      <c r="O484" t="s">
        <v>1252</v>
      </c>
      <c r="P484" s="23">
        <f>VLOOKUP(A484,вариация!A$2:G$805,2,FALSE)</f>
        <v>1.599741103314263</v>
      </c>
      <c r="Q484" t="str">
        <f>IF(вариация!H485="Yes",IF(P487&lt;0.1,"X",IF(P487&lt;0.25,"Y","Z")),"")</f>
        <v>Z</v>
      </c>
      <c r="R484" t="str">
        <f>O484&amp;Q484</f>
        <v>AAAZ</v>
      </c>
    </row>
    <row r="485" spans="1:18" x14ac:dyDescent="0.25">
      <c r="A485" s="7" t="s">
        <v>910</v>
      </c>
      <c r="B485" s="8">
        <v>1</v>
      </c>
      <c r="C485" s="11">
        <v>6.2155775398999025E-4</v>
      </c>
      <c r="D485" s="12">
        <v>0.87658290045207499</v>
      </c>
      <c r="E485" t="s">
        <v>1239</v>
      </c>
      <c r="F485" s="8">
        <v>83</v>
      </c>
      <c r="G485" s="11">
        <v>2.3730023629194217E-4</v>
      </c>
      <c r="H485" s="12">
        <v>0.97924170106306552</v>
      </c>
      <c r="I485" t="s">
        <v>1240</v>
      </c>
      <c r="J485" s="8">
        <v>5</v>
      </c>
      <c r="K485">
        <v>6</v>
      </c>
      <c r="L485" s="11">
        <v>6.2155775398998981E-4</v>
      </c>
      <c r="M485" s="12">
        <v>0.87658290045207488</v>
      </c>
      <c r="N485" t="s">
        <v>1239</v>
      </c>
      <c r="O485" t="s">
        <v>1257</v>
      </c>
      <c r="P485" s="23">
        <f>VLOOKUP(A485,вариация!A$2:G$805,2,FALSE)</f>
        <v>2.2360679774997894</v>
      </c>
      <c r="Q485" t="str">
        <f>IF(вариация!H486="Yes",IF(P488&lt;0.1,"X",IF(P488&lt;0.25,"Y","Z")),"")</f>
        <v/>
      </c>
      <c r="R485" t="str">
        <f>O485&amp;Q485</f>
        <v>BCB</v>
      </c>
    </row>
    <row r="486" spans="1:18" x14ac:dyDescent="0.25">
      <c r="A486" s="7" t="s">
        <v>925</v>
      </c>
      <c r="B486" s="8">
        <v>1</v>
      </c>
      <c r="C486" s="11">
        <v>6.2155775398999025E-4</v>
      </c>
      <c r="D486" s="12">
        <v>0.87720445820606496</v>
      </c>
      <c r="E486" t="s">
        <v>1239</v>
      </c>
      <c r="F486" s="8">
        <v>455</v>
      </c>
      <c r="G486" s="11">
        <v>1.3008627411184781E-3</v>
      </c>
      <c r="H486" s="12">
        <v>0.68722547852022386</v>
      </c>
      <c r="I486" t="s">
        <v>1238</v>
      </c>
      <c r="J486" s="8">
        <v>5</v>
      </c>
      <c r="K486">
        <v>6</v>
      </c>
      <c r="L486" s="11">
        <v>6.2155775398998981E-4</v>
      </c>
      <c r="M486" s="12">
        <v>0.87720445820606485</v>
      </c>
      <c r="N486" t="s">
        <v>1239</v>
      </c>
      <c r="O486" t="s">
        <v>1255</v>
      </c>
      <c r="P486" s="23">
        <f>VLOOKUP(A486,вариация!A$2:G$805,2,FALSE)</f>
        <v>2.2360679774997894</v>
      </c>
      <c r="Q486" t="str">
        <f>IF(вариация!H487="Yes",IF(P489&lt;0.1,"X",IF(P489&lt;0.25,"Y","Z")),"")</f>
        <v/>
      </c>
      <c r="R486" t="str">
        <f>O486&amp;Q486</f>
        <v>BAB</v>
      </c>
    </row>
    <row r="487" spans="1:18" x14ac:dyDescent="0.25">
      <c r="A487" s="7" t="s">
        <v>291</v>
      </c>
      <c r="B487" s="8">
        <v>3</v>
      </c>
      <c r="C487" s="11">
        <v>1.8646732619699705E-3</v>
      </c>
      <c r="D487" s="12">
        <v>0.47735635506431251</v>
      </c>
      <c r="E487" t="s">
        <v>1238</v>
      </c>
      <c r="F487" s="8">
        <v>119</v>
      </c>
      <c r="G487" s="11">
        <v>3.4022563998483275E-4</v>
      </c>
      <c r="H487" s="12">
        <v>0.95669609151686663</v>
      </c>
      <c r="I487" t="s">
        <v>1240</v>
      </c>
      <c r="J487" s="8">
        <v>5</v>
      </c>
      <c r="K487">
        <v>18</v>
      </c>
      <c r="L487" s="11">
        <v>1.8646732619699697E-3</v>
      </c>
      <c r="M487" s="12">
        <v>0.47735635506431234</v>
      </c>
      <c r="N487" t="s">
        <v>1238</v>
      </c>
      <c r="O487" t="s">
        <v>1254</v>
      </c>
      <c r="P487" s="23">
        <f>VLOOKUP(A487,вариация!A$2:G$805,2,FALSE)</f>
        <v>1.4907119849998598</v>
      </c>
      <c r="Q487" t="str">
        <f>IF(вариация!H488="Yes",IF(P490&lt;0.1,"X",IF(P490&lt;0.25,"Y","Z")),"")</f>
        <v/>
      </c>
      <c r="R487" t="str">
        <f>O487&amp;Q487</f>
        <v>ACA</v>
      </c>
    </row>
    <row r="488" spans="1:18" x14ac:dyDescent="0.25">
      <c r="A488" s="7" t="s">
        <v>894</v>
      </c>
      <c r="B488" s="8">
        <v>0.33333332999999998</v>
      </c>
      <c r="C488" s="11">
        <v>2.0718591592480421E-4</v>
      </c>
      <c r="D488" s="12">
        <v>0.99666933849546002</v>
      </c>
      <c r="E488" t="s">
        <v>1240</v>
      </c>
      <c r="F488" s="8">
        <v>510.33332822999995</v>
      </c>
      <c r="G488" s="11">
        <v>1.4590628840558104E-3</v>
      </c>
      <c r="H488" s="12">
        <v>0.64370898547400213</v>
      </c>
      <c r="I488" t="s">
        <v>1238</v>
      </c>
      <c r="J488" s="8">
        <v>5</v>
      </c>
      <c r="K488">
        <v>1.9999999799999999</v>
      </c>
      <c r="L488" s="11">
        <v>2.071859159248041E-4</v>
      </c>
      <c r="M488" s="12">
        <v>0.99666933849545991</v>
      </c>
      <c r="N488" t="s">
        <v>1240</v>
      </c>
      <c r="O488" t="s">
        <v>1258</v>
      </c>
      <c r="P488" s="23">
        <f>VLOOKUP(A488,вариация!A$2:G$805,2,FALSE)</f>
        <v>2.2360679774997898</v>
      </c>
      <c r="Q488" t="str">
        <f>IF(вариация!H489="Yes",IF(P491&lt;0.1,"X",IF(P491&lt;0.25,"Y","Z")),"")</f>
        <v/>
      </c>
      <c r="R488" t="str">
        <f>O488&amp;Q488</f>
        <v>CAC</v>
      </c>
    </row>
    <row r="489" spans="1:18" x14ac:dyDescent="0.25">
      <c r="A489" s="7" t="s">
        <v>275</v>
      </c>
      <c r="B489" s="8">
        <v>1</v>
      </c>
      <c r="C489" s="11">
        <v>6.2155775398999025E-4</v>
      </c>
      <c r="D489" s="12">
        <v>0.87782601596005494</v>
      </c>
      <c r="E489" t="s">
        <v>1239</v>
      </c>
      <c r="F489" s="8">
        <v>788</v>
      </c>
      <c r="G489" s="11">
        <v>2.252922725277716E-3</v>
      </c>
      <c r="H489" s="12">
        <v>0.48527576859419896</v>
      </c>
      <c r="I489" t="s">
        <v>1238</v>
      </c>
      <c r="J489" s="8">
        <v>5</v>
      </c>
      <c r="K489">
        <v>6</v>
      </c>
      <c r="L489" s="11">
        <v>6.2155775398998981E-4</v>
      </c>
      <c r="M489" s="12">
        <v>0.87782601596005483</v>
      </c>
      <c r="N489" t="s">
        <v>1239</v>
      </c>
      <c r="O489" t="s">
        <v>1255</v>
      </c>
      <c r="P489" s="23">
        <f>VLOOKUP(A489,вариация!A$2:G$805,2,FALSE)</f>
        <v>2.2360679774997894</v>
      </c>
      <c r="Q489" t="str">
        <f>IF(вариация!H490="Yes",IF(P492&lt;0.1,"X",IF(P492&lt;0.25,"Y","Z")),"")</f>
        <v/>
      </c>
      <c r="R489" t="str">
        <f>O489&amp;Q489</f>
        <v>BAB</v>
      </c>
    </row>
    <row r="490" spans="1:18" x14ac:dyDescent="0.25">
      <c r="A490" s="7" t="s">
        <v>435</v>
      </c>
      <c r="B490" s="8">
        <v>2</v>
      </c>
      <c r="C490" s="11">
        <v>1.2431155079799805E-3</v>
      </c>
      <c r="D490" s="12">
        <v>0.62590865826791753</v>
      </c>
      <c r="E490" t="s">
        <v>1238</v>
      </c>
      <c r="F490" s="8">
        <v>1701</v>
      </c>
      <c r="G490" s="11">
        <v>4.8632253244890794E-3</v>
      </c>
      <c r="H490" s="12">
        <v>0.22626778606291573</v>
      </c>
      <c r="I490" t="s">
        <v>1238</v>
      </c>
      <c r="J490" s="8">
        <v>5</v>
      </c>
      <c r="K490">
        <v>12</v>
      </c>
      <c r="L490" s="11">
        <v>1.2431155079799796E-3</v>
      </c>
      <c r="M490" s="12">
        <v>0.62590865826791742</v>
      </c>
      <c r="N490" t="s">
        <v>1238</v>
      </c>
      <c r="O490" t="s">
        <v>1252</v>
      </c>
      <c r="P490" s="23">
        <f>VLOOKUP(A490,вариация!A$2:G$805,2,FALSE)</f>
        <v>1.3693063937629151</v>
      </c>
      <c r="Q490" t="str">
        <f>IF(вариация!H491="Yes",IF(P493&lt;0.1,"X",IF(P493&lt;0.25,"Y","Z")),"")</f>
        <v/>
      </c>
      <c r="R490" t="str">
        <f>O490&amp;Q490</f>
        <v>AAA</v>
      </c>
    </row>
    <row r="491" spans="1:18" x14ac:dyDescent="0.25">
      <c r="A491" s="7" t="s">
        <v>485</v>
      </c>
      <c r="B491" s="8">
        <v>2</v>
      </c>
      <c r="C491" s="11">
        <v>1.2431155079799805E-3</v>
      </c>
      <c r="D491" s="12">
        <v>0.62715177377589748</v>
      </c>
      <c r="E491" t="s">
        <v>1238</v>
      </c>
      <c r="F491" s="8">
        <v>297</v>
      </c>
      <c r="G491" s="11">
        <v>8.4913458046634728E-4</v>
      </c>
      <c r="H491" s="12">
        <v>0.82309385697487525</v>
      </c>
      <c r="I491" t="s">
        <v>1239</v>
      </c>
      <c r="J491" s="8">
        <v>5</v>
      </c>
      <c r="K491">
        <v>12</v>
      </c>
      <c r="L491" s="11">
        <v>1.2431155079799796E-3</v>
      </c>
      <c r="M491" s="12">
        <v>0.62715177377589737</v>
      </c>
      <c r="N491" t="s">
        <v>1238</v>
      </c>
      <c r="O491" t="s">
        <v>1253</v>
      </c>
      <c r="P491" s="23">
        <f>VLOOKUP(A491,вариация!A$2:G$805,2,FALSE)</f>
        <v>1.3693063937629151</v>
      </c>
      <c r="Q491" t="str">
        <f>IF(вариация!H492="Yes",IF(P494&lt;0.1,"X",IF(P494&lt;0.25,"Y","Z")),"")</f>
        <v/>
      </c>
      <c r="R491" t="str">
        <f>O491&amp;Q491</f>
        <v>ABA</v>
      </c>
    </row>
    <row r="492" spans="1:18" x14ac:dyDescent="0.25">
      <c r="A492" s="7" t="s">
        <v>875</v>
      </c>
      <c r="B492" s="8">
        <v>2</v>
      </c>
      <c r="C492" s="11">
        <v>1.2431155079799805E-3</v>
      </c>
      <c r="D492" s="12">
        <v>0.62839488928387743</v>
      </c>
      <c r="E492" t="s">
        <v>1238</v>
      </c>
      <c r="F492" s="8">
        <v>701.74</v>
      </c>
      <c r="G492" s="11">
        <v>2.0063020218735843E-3</v>
      </c>
      <c r="H492" s="12">
        <v>0.51468167076823101</v>
      </c>
      <c r="I492" t="s">
        <v>1238</v>
      </c>
      <c r="J492" s="8">
        <v>5</v>
      </c>
      <c r="K492">
        <v>12</v>
      </c>
      <c r="L492" s="11">
        <v>1.2431155079799796E-3</v>
      </c>
      <c r="M492" s="12">
        <v>0.62839488928387732</v>
      </c>
      <c r="N492" t="s">
        <v>1238</v>
      </c>
      <c r="O492" t="s">
        <v>1252</v>
      </c>
      <c r="P492" s="23">
        <f>VLOOKUP(A492,вариация!A$2:G$805,2,FALSE)</f>
        <v>1.3693063937629151</v>
      </c>
      <c r="Q492" t="str">
        <f>IF(вариация!H493="Yes",IF(P495&lt;0.1,"X",IF(P495&lt;0.25,"Y","Z")),"")</f>
        <v/>
      </c>
      <c r="R492" t="str">
        <f>O492&amp;Q492</f>
        <v>AAA</v>
      </c>
    </row>
    <row r="493" spans="1:18" x14ac:dyDescent="0.25">
      <c r="A493" s="7" t="s">
        <v>603</v>
      </c>
      <c r="B493" s="8">
        <v>1</v>
      </c>
      <c r="C493" s="11">
        <v>6.2155775398999025E-4</v>
      </c>
      <c r="D493" s="12">
        <v>0.87844757371404492</v>
      </c>
      <c r="E493" t="s">
        <v>1239</v>
      </c>
      <c r="F493" s="8">
        <v>719</v>
      </c>
      <c r="G493" s="11">
        <v>2.0556490348663426E-3</v>
      </c>
      <c r="H493" s="12">
        <v>0.50862696953443709</v>
      </c>
      <c r="I493" t="s">
        <v>1238</v>
      </c>
      <c r="J493" s="8">
        <v>5</v>
      </c>
      <c r="K493">
        <v>6</v>
      </c>
      <c r="L493" s="11">
        <v>6.2155775398998981E-4</v>
      </c>
      <c r="M493" s="12">
        <v>0.8784475737140448</v>
      </c>
      <c r="N493" t="s">
        <v>1239</v>
      </c>
      <c r="O493" t="s">
        <v>1255</v>
      </c>
      <c r="P493" s="23">
        <f>VLOOKUP(A493,вариация!A$2:G$805,2,FALSE)</f>
        <v>2.2360679774997894</v>
      </c>
      <c r="Q493" t="str">
        <f>IF(вариация!H494="Yes",IF(P496&lt;0.1,"X",IF(P496&lt;0.25,"Y","Z")),"")</f>
        <v/>
      </c>
      <c r="R493" t="str">
        <f>O493&amp;Q493</f>
        <v>BAB</v>
      </c>
    </row>
    <row r="494" spans="1:18" x14ac:dyDescent="0.25">
      <c r="A494" s="7" t="s">
        <v>1049</v>
      </c>
      <c r="B494" s="8">
        <v>1</v>
      </c>
      <c r="C494" s="11">
        <v>6.2155775398999025E-4</v>
      </c>
      <c r="D494" s="12">
        <v>0.87906913146803489</v>
      </c>
      <c r="E494" t="s">
        <v>1239</v>
      </c>
      <c r="F494" s="8">
        <v>190</v>
      </c>
      <c r="G494" s="11">
        <v>5.4321740837914476E-4</v>
      </c>
      <c r="H494" s="12">
        <v>0.91180286086405105</v>
      </c>
      <c r="I494" t="s">
        <v>1239</v>
      </c>
      <c r="J494" s="8">
        <v>5</v>
      </c>
      <c r="K494">
        <v>6</v>
      </c>
      <c r="L494" s="11">
        <v>6.2155775398998981E-4</v>
      </c>
      <c r="M494" s="12">
        <v>0.87906913146803478</v>
      </c>
      <c r="N494" t="s">
        <v>1239</v>
      </c>
      <c r="O494" t="s">
        <v>1256</v>
      </c>
      <c r="P494" s="23">
        <f>VLOOKUP(A494,вариация!A$2:G$805,2,FALSE)</f>
        <v>2.2360679774997894</v>
      </c>
      <c r="Q494" t="str">
        <f>IF(вариация!H495="Yes",IF(P497&lt;0.1,"X",IF(P497&lt;0.25,"Y","Z")),"")</f>
        <v/>
      </c>
      <c r="R494" t="str">
        <f>O494&amp;Q494</f>
        <v>BBB</v>
      </c>
    </row>
    <row r="495" spans="1:18" x14ac:dyDescent="0.25">
      <c r="A495" s="7" t="s">
        <v>1081</v>
      </c>
      <c r="B495" s="8">
        <v>0.2</v>
      </c>
      <c r="C495" s="11">
        <v>1.2431155079799805E-4</v>
      </c>
      <c r="D495" s="12">
        <v>0.99884538258116751</v>
      </c>
      <c r="E495" t="s">
        <v>1240</v>
      </c>
      <c r="F495" s="8">
        <v>107.80000000000001</v>
      </c>
      <c r="G495" s="11">
        <v>3.0820440328037792E-4</v>
      </c>
      <c r="H495" s="12">
        <v>0.96373204352292297</v>
      </c>
      <c r="I495" t="s">
        <v>1240</v>
      </c>
      <c r="J495" s="8">
        <v>5</v>
      </c>
      <c r="K495">
        <v>1.2</v>
      </c>
      <c r="L495" s="11">
        <v>1.2431155079799797E-4</v>
      </c>
      <c r="M495" s="12">
        <v>0.9988453825811674</v>
      </c>
      <c r="N495" t="s">
        <v>1240</v>
      </c>
      <c r="O495" t="s">
        <v>1260</v>
      </c>
      <c r="P495" s="23">
        <f>VLOOKUP(A495,вариация!A$2:G$805,2,FALSE)</f>
        <v>2.2360679774997898</v>
      </c>
      <c r="Q495" t="str">
        <f>IF(вариация!H496="Yes",IF(P498&lt;0.1,"X",IF(P498&lt;0.25,"Y","Z")),"")</f>
        <v/>
      </c>
      <c r="R495" t="str">
        <f>O495&amp;Q495</f>
        <v>CCC</v>
      </c>
    </row>
    <row r="496" spans="1:18" x14ac:dyDescent="0.25">
      <c r="A496" s="7" t="s">
        <v>522</v>
      </c>
      <c r="B496" s="8">
        <v>3</v>
      </c>
      <c r="C496" s="11">
        <v>1.8646732619699705E-3</v>
      </c>
      <c r="D496" s="12">
        <v>0.47922102832628249</v>
      </c>
      <c r="E496" t="s">
        <v>1238</v>
      </c>
      <c r="F496" s="8">
        <v>351</v>
      </c>
      <c r="G496" s="11">
        <v>1.0035226860056832E-3</v>
      </c>
      <c r="H496" s="12">
        <v>0.77855460395017151</v>
      </c>
      <c r="I496" t="s">
        <v>1238</v>
      </c>
      <c r="J496" s="8">
        <v>5</v>
      </c>
      <c r="K496">
        <v>18</v>
      </c>
      <c r="L496" s="11">
        <v>1.8646732619699697E-3</v>
      </c>
      <c r="M496" s="12">
        <v>0.47922102832628233</v>
      </c>
      <c r="N496" t="s">
        <v>1238</v>
      </c>
      <c r="O496" t="s">
        <v>1252</v>
      </c>
      <c r="P496" s="23">
        <f>VLOOKUP(A496,вариация!A$2:G$805,2,FALSE)</f>
        <v>1.4907119849998598</v>
      </c>
      <c r="Q496" t="str">
        <f>IF(вариация!H497="Yes",IF(P499&lt;0.1,"X",IF(P499&lt;0.25,"Y","Z")),"")</f>
        <v/>
      </c>
      <c r="R496" t="str">
        <f>O496&amp;Q496</f>
        <v>AAA</v>
      </c>
    </row>
    <row r="497" spans="1:18" x14ac:dyDescent="0.25">
      <c r="A497" s="7" t="s">
        <v>448</v>
      </c>
      <c r="B497" s="8">
        <v>1</v>
      </c>
      <c r="C497" s="11">
        <v>6.2155775398999025E-4</v>
      </c>
      <c r="D497" s="12">
        <v>0.87969068922202487</v>
      </c>
      <c r="E497" t="s">
        <v>1239</v>
      </c>
      <c r="F497" s="8">
        <v>240</v>
      </c>
      <c r="G497" s="11">
        <v>6.861693579526039E-4</v>
      </c>
      <c r="H497" s="12">
        <v>0.87951015840735591</v>
      </c>
      <c r="I497" t="s">
        <v>1239</v>
      </c>
      <c r="J497" s="8">
        <v>5</v>
      </c>
      <c r="K497">
        <v>6</v>
      </c>
      <c r="L497" s="11">
        <v>6.2155775398998981E-4</v>
      </c>
      <c r="M497" s="12">
        <v>0.87969068922202476</v>
      </c>
      <c r="N497" t="s">
        <v>1239</v>
      </c>
      <c r="O497" t="s">
        <v>1256</v>
      </c>
      <c r="P497" s="23">
        <f>VLOOKUP(A497,вариация!A$2:G$805,2,FALSE)</f>
        <v>2.2360679774997894</v>
      </c>
      <c r="Q497" t="str">
        <f>IF(вариация!H498="Yes",IF(P500&lt;0.1,"X",IF(P500&lt;0.25,"Y","Z")),"")</f>
        <v/>
      </c>
      <c r="R497" t="str">
        <f>O497&amp;Q497</f>
        <v>BBB</v>
      </c>
    </row>
    <row r="498" spans="1:18" x14ac:dyDescent="0.25">
      <c r="A498" s="7" t="s">
        <v>150</v>
      </c>
      <c r="B498" s="8">
        <v>3</v>
      </c>
      <c r="C498" s="11">
        <v>1.8646732619699705E-3</v>
      </c>
      <c r="D498" s="12">
        <v>0.48108570158825248</v>
      </c>
      <c r="E498" t="s">
        <v>1238</v>
      </c>
      <c r="F498" s="8">
        <v>365.15999999999997</v>
      </c>
      <c r="G498" s="11">
        <v>1.0440066781248866E-3</v>
      </c>
      <c r="H498" s="12">
        <v>0.76320961457909187</v>
      </c>
      <c r="I498" t="s">
        <v>1238</v>
      </c>
      <c r="J498" s="8">
        <v>5</v>
      </c>
      <c r="K498">
        <v>18</v>
      </c>
      <c r="L498" s="11">
        <v>1.8646732619699697E-3</v>
      </c>
      <c r="M498" s="12">
        <v>0.48108570158825231</v>
      </c>
      <c r="N498" t="s">
        <v>1238</v>
      </c>
      <c r="O498" t="s">
        <v>1252</v>
      </c>
      <c r="P498" s="23">
        <f>VLOOKUP(A498,вариация!A$2:G$805,2,FALSE)</f>
        <v>1.4907119849998598</v>
      </c>
      <c r="Q498" t="str">
        <f>IF(вариация!H499="Yes",IF(P501&lt;0.1,"X",IF(P501&lt;0.25,"Y","Z")),"")</f>
        <v/>
      </c>
      <c r="R498" t="str">
        <f>O498&amp;Q498</f>
        <v>AAA</v>
      </c>
    </row>
    <row r="499" spans="1:18" x14ac:dyDescent="0.25">
      <c r="A499" s="7" t="s">
        <v>538</v>
      </c>
      <c r="B499" s="8">
        <v>1</v>
      </c>
      <c r="C499" s="11">
        <v>6.2155775398999025E-4</v>
      </c>
      <c r="D499" s="12">
        <v>0.88031224697601484</v>
      </c>
      <c r="E499" t="s">
        <v>1239</v>
      </c>
      <c r="F499" s="8">
        <v>146</v>
      </c>
      <c r="G499" s="11">
        <v>4.1741969275450066E-4</v>
      </c>
      <c r="H499" s="12">
        <v>0.93780893685454247</v>
      </c>
      <c r="I499" t="s">
        <v>1239</v>
      </c>
      <c r="J499" s="8">
        <v>5</v>
      </c>
      <c r="K499">
        <v>6</v>
      </c>
      <c r="L499" s="11">
        <v>6.2155775398998981E-4</v>
      </c>
      <c r="M499" s="12">
        <v>0.88031224697601473</v>
      </c>
      <c r="N499" t="s">
        <v>1239</v>
      </c>
      <c r="O499" t="s">
        <v>1256</v>
      </c>
      <c r="P499" s="23">
        <f>VLOOKUP(A499,вариация!A$2:G$805,2,FALSE)</f>
        <v>2.2360679774997894</v>
      </c>
      <c r="Q499" t="str">
        <f>IF(вариация!H500="Yes",IF(P502&lt;0.1,"X",IF(P502&lt;0.25,"Y","Z")),"")</f>
        <v/>
      </c>
      <c r="R499" t="str">
        <f>O499&amp;Q499</f>
        <v>BBB</v>
      </c>
    </row>
    <row r="500" spans="1:18" x14ac:dyDescent="0.25">
      <c r="A500" s="7" t="s">
        <v>1194</v>
      </c>
      <c r="B500" s="8">
        <v>1</v>
      </c>
      <c r="C500" s="11">
        <v>6.2155775398999025E-4</v>
      </c>
      <c r="D500" s="12">
        <v>0.88093380473000482</v>
      </c>
      <c r="E500" t="s">
        <v>1239</v>
      </c>
      <c r="F500" s="8">
        <v>160</v>
      </c>
      <c r="G500" s="11">
        <v>4.5744623863506925E-4</v>
      </c>
      <c r="H500" s="12">
        <v>0.92955786468672219</v>
      </c>
      <c r="I500" t="s">
        <v>1239</v>
      </c>
      <c r="J500" s="8">
        <v>5</v>
      </c>
      <c r="K500">
        <v>6</v>
      </c>
      <c r="L500" s="11">
        <v>6.2155775398998981E-4</v>
      </c>
      <c r="M500" s="12">
        <v>0.88093380473000471</v>
      </c>
      <c r="N500" t="s">
        <v>1239</v>
      </c>
      <c r="O500" t="s">
        <v>1256</v>
      </c>
      <c r="P500" s="23">
        <f>VLOOKUP(A500,вариация!A$2:G$805,2,FALSE)</f>
        <v>2.2360679774997894</v>
      </c>
      <c r="Q500" t="str">
        <f>IF(вариация!H501="Yes",IF(P503&lt;0.1,"X",IF(P503&lt;0.25,"Y","Z")),"")</f>
        <v/>
      </c>
      <c r="R500" t="str">
        <f>O500&amp;Q500</f>
        <v>BBB</v>
      </c>
    </row>
    <row r="501" spans="1:18" x14ac:dyDescent="0.25">
      <c r="A501" s="7" t="s">
        <v>191</v>
      </c>
      <c r="B501" s="8">
        <v>1</v>
      </c>
      <c r="C501" s="11">
        <v>6.2155775398999025E-4</v>
      </c>
      <c r="D501" s="12">
        <v>0.8815553624839948</v>
      </c>
      <c r="E501" t="s">
        <v>1239</v>
      </c>
      <c r="F501" s="8">
        <v>111</v>
      </c>
      <c r="G501" s="11">
        <v>3.1735332805307926E-4</v>
      </c>
      <c r="H501" s="12">
        <v>0.9599922775701315</v>
      </c>
      <c r="I501" t="s">
        <v>1240</v>
      </c>
      <c r="J501" s="8">
        <v>5</v>
      </c>
      <c r="K501">
        <v>6</v>
      </c>
      <c r="L501" s="11">
        <v>6.2155775398998981E-4</v>
      </c>
      <c r="M501" s="12">
        <v>0.88155536248399469</v>
      </c>
      <c r="N501" t="s">
        <v>1239</v>
      </c>
      <c r="O501" t="s">
        <v>1257</v>
      </c>
      <c r="P501" s="23">
        <f>VLOOKUP(A501,вариация!A$2:G$805,2,FALSE)</f>
        <v>2.2360679774997894</v>
      </c>
      <c r="Q501" t="str">
        <f>IF(вариация!H502="Yes",IF(P504&lt;0.1,"X",IF(P504&lt;0.25,"Y","Z")),"")</f>
        <v/>
      </c>
      <c r="R501" t="str">
        <f>O501&amp;Q501</f>
        <v>BCB</v>
      </c>
    </row>
    <row r="502" spans="1:18" x14ac:dyDescent="0.25">
      <c r="A502" s="7" t="s">
        <v>573</v>
      </c>
      <c r="B502" s="8">
        <v>1</v>
      </c>
      <c r="C502" s="11">
        <v>6.2155775398999025E-4</v>
      </c>
      <c r="D502" s="12">
        <v>0.88217692023798477</v>
      </c>
      <c r="E502" t="s">
        <v>1239</v>
      </c>
      <c r="F502" s="8">
        <v>272</v>
      </c>
      <c r="G502" s="11">
        <v>7.7765860567961765E-4</v>
      </c>
      <c r="H502" s="12">
        <v>0.84806310250355776</v>
      </c>
      <c r="I502" t="s">
        <v>1239</v>
      </c>
      <c r="J502" s="8">
        <v>5</v>
      </c>
      <c r="K502">
        <v>6</v>
      </c>
      <c r="L502" s="11">
        <v>6.2155775398998981E-4</v>
      </c>
      <c r="M502" s="12">
        <v>0.88217692023798466</v>
      </c>
      <c r="N502" t="s">
        <v>1239</v>
      </c>
      <c r="O502" t="s">
        <v>1256</v>
      </c>
      <c r="P502" s="23">
        <f>VLOOKUP(A502,вариация!A$2:G$805,2,FALSE)</f>
        <v>2.2360679774997894</v>
      </c>
      <c r="Q502" t="str">
        <f>IF(вариация!H503="Yes",IF(P505&lt;0.1,"X",IF(P505&lt;0.25,"Y","Z")),"")</f>
        <v/>
      </c>
      <c r="R502" t="str">
        <f>O502&amp;Q502</f>
        <v>BBB</v>
      </c>
    </row>
    <row r="503" spans="1:18" x14ac:dyDescent="0.25">
      <c r="A503" s="7" t="s">
        <v>231</v>
      </c>
      <c r="B503" s="8">
        <v>4</v>
      </c>
      <c r="C503" s="11">
        <v>2.486231015959961E-3</v>
      </c>
      <c r="D503" s="12">
        <v>0.39717540479960328</v>
      </c>
      <c r="E503" t="s">
        <v>1238</v>
      </c>
      <c r="F503" s="8">
        <v>1358</v>
      </c>
      <c r="G503" s="11">
        <v>3.88257495041515E-3</v>
      </c>
      <c r="H503" s="12">
        <v>0.3138520316327737</v>
      </c>
      <c r="I503" t="s">
        <v>1238</v>
      </c>
      <c r="J503" s="8">
        <v>5</v>
      </c>
      <c r="K503">
        <v>24</v>
      </c>
      <c r="L503" s="11">
        <v>2.4862310159599593E-3</v>
      </c>
      <c r="M503" s="12">
        <v>0.39717540479960312</v>
      </c>
      <c r="N503" t="s">
        <v>1238</v>
      </c>
      <c r="O503" t="s">
        <v>1252</v>
      </c>
      <c r="P503" s="23">
        <f>VLOOKUP(A503,вариация!A$2:G$805,2,FALSE)</f>
        <v>1.0458250331675945</v>
      </c>
      <c r="Q503" t="str">
        <f>IF(вариация!H504="Yes",IF(P506&lt;0.1,"X",IF(P506&lt;0.25,"Y","Z")),"")</f>
        <v>Z</v>
      </c>
      <c r="R503" t="str">
        <f>O503&amp;Q503</f>
        <v>AAAZ</v>
      </c>
    </row>
    <row r="504" spans="1:18" x14ac:dyDescent="0.25">
      <c r="A504" s="7" t="s">
        <v>1067</v>
      </c>
      <c r="B504" s="8">
        <v>1</v>
      </c>
      <c r="C504" s="11">
        <v>6.2155775398999025E-4</v>
      </c>
      <c r="D504" s="12">
        <v>0.88279847799197475</v>
      </c>
      <c r="E504" t="s">
        <v>1239</v>
      </c>
      <c r="F504" s="8">
        <v>403</v>
      </c>
      <c r="G504" s="11">
        <v>1.1521927135620805E-3</v>
      </c>
      <c r="H504" s="12">
        <v>0.73252981037904441</v>
      </c>
      <c r="I504" t="s">
        <v>1238</v>
      </c>
      <c r="J504" s="8">
        <v>5</v>
      </c>
      <c r="K504">
        <v>6</v>
      </c>
      <c r="L504" s="11">
        <v>6.2155775398998981E-4</v>
      </c>
      <c r="M504" s="12">
        <v>0.88279847799197464</v>
      </c>
      <c r="N504" t="s">
        <v>1239</v>
      </c>
      <c r="O504" t="s">
        <v>1255</v>
      </c>
      <c r="P504" s="23">
        <f>VLOOKUP(A504,вариация!A$2:G$805,2,FALSE)</f>
        <v>2.2360679774997894</v>
      </c>
      <c r="Q504" t="str">
        <f>IF(вариация!H505="Yes",IF(P507&lt;0.1,"X",IF(P507&lt;0.25,"Y","Z")),"")</f>
        <v/>
      </c>
      <c r="R504" t="str">
        <f>O504&amp;Q504</f>
        <v>BAB</v>
      </c>
    </row>
    <row r="505" spans="1:18" x14ac:dyDescent="0.25">
      <c r="A505" s="7" t="s">
        <v>951</v>
      </c>
      <c r="B505" s="8">
        <v>1</v>
      </c>
      <c r="C505" s="11">
        <v>6.2155775398999025E-4</v>
      </c>
      <c r="D505" s="12">
        <v>0.88342003574596473</v>
      </c>
      <c r="E505" t="s">
        <v>1239</v>
      </c>
      <c r="F505" s="8">
        <v>279</v>
      </c>
      <c r="G505" s="11">
        <v>7.97671878619902E-4</v>
      </c>
      <c r="H505" s="12">
        <v>0.83783631999204666</v>
      </c>
      <c r="I505" t="s">
        <v>1239</v>
      </c>
      <c r="J505" s="8">
        <v>5</v>
      </c>
      <c r="K505">
        <v>6</v>
      </c>
      <c r="L505" s="11">
        <v>6.2155775398998981E-4</v>
      </c>
      <c r="M505" s="12">
        <v>0.88342003574596462</v>
      </c>
      <c r="N505" t="s">
        <v>1239</v>
      </c>
      <c r="O505" t="s">
        <v>1256</v>
      </c>
      <c r="P505" s="23">
        <f>VLOOKUP(A505,вариация!A$2:G$805,2,FALSE)</f>
        <v>2.2360679774997894</v>
      </c>
      <c r="Q505" t="str">
        <f>IF(вариация!H506="Yes",IF(P508&lt;0.1,"X",IF(P508&lt;0.25,"Y","Z")),"")</f>
        <v/>
      </c>
      <c r="R505" t="str">
        <f>O505&amp;Q505</f>
        <v>BBB</v>
      </c>
    </row>
    <row r="506" spans="1:18" x14ac:dyDescent="0.25">
      <c r="A506" s="7" t="s">
        <v>625</v>
      </c>
      <c r="B506" s="8">
        <v>2</v>
      </c>
      <c r="C506" s="11">
        <v>1.2431155079799805E-3</v>
      </c>
      <c r="D506" s="12">
        <v>0.62963800479185739</v>
      </c>
      <c r="E506" t="s">
        <v>1238</v>
      </c>
      <c r="F506" s="8">
        <v>654</v>
      </c>
      <c r="G506" s="11">
        <v>1.8698115004208455E-3</v>
      </c>
      <c r="H506" s="12">
        <v>0.54940946444517424</v>
      </c>
      <c r="I506" t="s">
        <v>1238</v>
      </c>
      <c r="J506" s="8">
        <v>5</v>
      </c>
      <c r="K506">
        <v>12</v>
      </c>
      <c r="L506" s="11">
        <v>1.2431155079799796E-3</v>
      </c>
      <c r="M506" s="12">
        <v>0.62963800479185728</v>
      </c>
      <c r="N506" t="s">
        <v>1238</v>
      </c>
      <c r="O506" t="s">
        <v>1252</v>
      </c>
      <c r="P506" s="23">
        <f>VLOOKUP(A506,вариация!A$2:G$805,2,FALSE)</f>
        <v>2.2360679774997894</v>
      </c>
      <c r="Q506" t="str">
        <f>IF(вариация!H507="Yes",IF(P509&lt;0.1,"X",IF(P509&lt;0.25,"Y","Z")),"")</f>
        <v/>
      </c>
      <c r="R506" t="str">
        <f>O506&amp;Q506</f>
        <v>AAA</v>
      </c>
    </row>
    <row r="507" spans="1:18" x14ac:dyDescent="0.25">
      <c r="A507" s="7" t="s">
        <v>1083</v>
      </c>
      <c r="B507" s="8">
        <v>1</v>
      </c>
      <c r="C507" s="11">
        <v>6.2155775398999025E-4</v>
      </c>
      <c r="D507" s="12">
        <v>0.8840415934999547</v>
      </c>
      <c r="E507" t="s">
        <v>1239</v>
      </c>
      <c r="F507" s="8">
        <v>66</v>
      </c>
      <c r="G507" s="11">
        <v>1.8869657343696607E-4</v>
      </c>
      <c r="H507" s="12">
        <v>0.98936956078644611</v>
      </c>
      <c r="I507" t="s">
        <v>1240</v>
      </c>
      <c r="J507" s="8">
        <v>5</v>
      </c>
      <c r="K507">
        <v>6</v>
      </c>
      <c r="L507" s="11">
        <v>6.2155775398998981E-4</v>
      </c>
      <c r="M507" s="12">
        <v>0.88404159349995459</v>
      </c>
      <c r="N507" t="s">
        <v>1239</v>
      </c>
      <c r="O507" t="s">
        <v>1257</v>
      </c>
      <c r="P507" s="23">
        <f>VLOOKUP(A507,вариация!A$2:G$805,2,FALSE)</f>
        <v>2.2360679774997894</v>
      </c>
      <c r="Q507" t="str">
        <f>IF(вариация!H508="Yes",IF(P510&lt;0.1,"X",IF(P510&lt;0.25,"Y","Z")),"")</f>
        <v/>
      </c>
      <c r="R507" t="str">
        <f>O507&amp;Q507</f>
        <v>BCB</v>
      </c>
    </row>
    <row r="508" spans="1:18" x14ac:dyDescent="0.25">
      <c r="A508" s="7" t="s">
        <v>366</v>
      </c>
      <c r="B508" s="8">
        <v>1</v>
      </c>
      <c r="C508" s="11">
        <v>6.2155775398999025E-4</v>
      </c>
      <c r="D508" s="12">
        <v>0.88466315125394468</v>
      </c>
      <c r="E508" t="s">
        <v>1239</v>
      </c>
      <c r="F508" s="8">
        <v>658</v>
      </c>
      <c r="G508" s="11">
        <v>1.8812476563867223E-3</v>
      </c>
      <c r="H508" s="12">
        <v>0.54565840528836662</v>
      </c>
      <c r="I508" t="s">
        <v>1238</v>
      </c>
      <c r="J508" s="8">
        <v>5</v>
      </c>
      <c r="K508">
        <v>6</v>
      </c>
      <c r="L508" s="11">
        <v>6.2155775398998981E-4</v>
      </c>
      <c r="M508" s="12">
        <v>0.88466315125394457</v>
      </c>
      <c r="N508" t="s">
        <v>1239</v>
      </c>
      <c r="O508" t="s">
        <v>1255</v>
      </c>
      <c r="P508" s="23">
        <f>VLOOKUP(A508,вариация!A$2:G$805,2,FALSE)</f>
        <v>2.2360679774997894</v>
      </c>
      <c r="Q508" t="str">
        <f>IF(вариация!H509="Yes",IF(P511&lt;0.1,"X",IF(P511&lt;0.25,"Y","Z")),"")</f>
        <v/>
      </c>
      <c r="R508" t="str">
        <f>O508&amp;Q508</f>
        <v>BAB</v>
      </c>
    </row>
    <row r="509" spans="1:18" x14ac:dyDescent="0.25">
      <c r="A509" s="7" t="s">
        <v>741</v>
      </c>
      <c r="B509" s="8">
        <v>1</v>
      </c>
      <c r="C509" s="11">
        <v>6.2155775398999025E-4</v>
      </c>
      <c r="D509" s="12">
        <v>0.88528470900793466</v>
      </c>
      <c r="E509" t="s">
        <v>1239</v>
      </c>
      <c r="F509" s="8">
        <v>43</v>
      </c>
      <c r="G509" s="11">
        <v>1.2293867663317484E-4</v>
      </c>
      <c r="H509" s="12">
        <v>0.9966239838600166</v>
      </c>
      <c r="I509" t="s">
        <v>1240</v>
      </c>
      <c r="J509" s="8">
        <v>5</v>
      </c>
      <c r="K509">
        <v>6</v>
      </c>
      <c r="L509" s="11">
        <v>6.2155775398998981E-4</v>
      </c>
      <c r="M509" s="12">
        <v>0.88528470900793454</v>
      </c>
      <c r="N509" t="s">
        <v>1239</v>
      </c>
      <c r="O509" t="s">
        <v>1257</v>
      </c>
      <c r="P509" s="23">
        <f>VLOOKUP(A509,вариация!A$2:G$805,2,FALSE)</f>
        <v>2.2360679774997894</v>
      </c>
      <c r="Q509" t="str">
        <f>IF(вариация!H510="Yes",IF(P512&lt;0.1,"X",IF(P512&lt;0.25,"Y","Z")),"")</f>
        <v/>
      </c>
      <c r="R509" t="str">
        <f>O509&amp;Q509</f>
        <v>BCB</v>
      </c>
    </row>
    <row r="510" spans="1:18" x14ac:dyDescent="0.25">
      <c r="A510" s="7" t="s">
        <v>189</v>
      </c>
      <c r="B510" s="8">
        <v>1</v>
      </c>
      <c r="C510" s="11">
        <v>6.2155775398999025E-4</v>
      </c>
      <c r="D510" s="12">
        <v>0.88590626676192463</v>
      </c>
      <c r="E510" t="s">
        <v>1239</v>
      </c>
      <c r="F510" s="8">
        <v>227</v>
      </c>
      <c r="G510" s="11">
        <v>6.4900185106350446E-4</v>
      </c>
      <c r="H510" s="12">
        <v>0.88752118566145266</v>
      </c>
      <c r="I510" t="s">
        <v>1239</v>
      </c>
      <c r="J510" s="8">
        <v>5</v>
      </c>
      <c r="K510">
        <v>6</v>
      </c>
      <c r="L510" s="11">
        <v>6.2155775398998981E-4</v>
      </c>
      <c r="M510" s="12">
        <v>0.88590626676192452</v>
      </c>
      <c r="N510" t="s">
        <v>1239</v>
      </c>
      <c r="O510" t="s">
        <v>1256</v>
      </c>
      <c r="P510" s="23">
        <f>VLOOKUP(A510,вариация!A$2:G$805,2,FALSE)</f>
        <v>2.2360679774997894</v>
      </c>
      <c r="Q510" t="str">
        <f>IF(вариация!H511="Yes",IF(P513&lt;0.1,"X",IF(P513&lt;0.25,"Y","Z")),"")</f>
        <v/>
      </c>
      <c r="R510" t="str">
        <f>O510&amp;Q510</f>
        <v>BBB</v>
      </c>
    </row>
    <row r="511" spans="1:18" x14ac:dyDescent="0.25">
      <c r="A511" s="7" t="s">
        <v>81</v>
      </c>
      <c r="B511" s="8">
        <v>9</v>
      </c>
      <c r="C511" s="11">
        <v>5.5940197859099122E-3</v>
      </c>
      <c r="D511" s="12">
        <v>0.23308415774624625</v>
      </c>
      <c r="E511" t="s">
        <v>1238</v>
      </c>
      <c r="F511" s="8">
        <v>1451.5</v>
      </c>
      <c r="G511" s="11">
        <v>4.1498950961175183E-3</v>
      </c>
      <c r="H511" s="12">
        <v>0.26180495455751973</v>
      </c>
      <c r="I511" t="s">
        <v>1238</v>
      </c>
      <c r="J511" s="8">
        <v>5</v>
      </c>
      <c r="K511">
        <v>54</v>
      </c>
      <c r="L511" s="11">
        <v>5.5940197859099088E-3</v>
      </c>
      <c r="M511" s="12">
        <v>0.23308415774624611</v>
      </c>
      <c r="N511" t="s">
        <v>1238</v>
      </c>
      <c r="O511" t="s">
        <v>1252</v>
      </c>
      <c r="P511" s="23">
        <f>VLOOKUP(A511,вариация!A$2:G$805,2,FALSE)</f>
        <v>0.99380798999990649</v>
      </c>
      <c r="Q511" t="str">
        <f>IF(вариация!H512="Yes",IF(P514&lt;0.1,"X",IF(P514&lt;0.25,"Y","Z")),"")</f>
        <v>Z</v>
      </c>
      <c r="R511" t="str">
        <f>O511&amp;Q511</f>
        <v>AAAZ</v>
      </c>
    </row>
    <row r="512" spans="1:18" x14ac:dyDescent="0.25">
      <c r="A512" s="7" t="s">
        <v>92</v>
      </c>
      <c r="B512" s="8">
        <v>11</v>
      </c>
      <c r="C512" s="11">
        <v>6.8371352938898919E-3</v>
      </c>
      <c r="D512" s="12">
        <v>0.19081823047492696</v>
      </c>
      <c r="E512" t="s">
        <v>1238</v>
      </c>
      <c r="F512" s="8">
        <v>328</v>
      </c>
      <c r="G512" s="11">
        <v>9.3776478920189188E-4</v>
      </c>
      <c r="H512" s="12">
        <v>0.79900596743511887</v>
      </c>
      <c r="I512" t="s">
        <v>1238</v>
      </c>
      <c r="J512" s="8">
        <v>5</v>
      </c>
      <c r="K512">
        <v>66</v>
      </c>
      <c r="L512" s="11">
        <v>6.8371352938898884E-3</v>
      </c>
      <c r="M512" s="12">
        <v>0.19081823047492683</v>
      </c>
      <c r="N512" t="s">
        <v>1238</v>
      </c>
      <c r="O512" t="s">
        <v>1252</v>
      </c>
      <c r="P512" s="23">
        <f>VLOOKUP(A512,вариация!A$2:G$805,2,FALSE)</f>
        <v>1.4868570212541929</v>
      </c>
      <c r="Q512" t="str">
        <f>IF(вариация!H513="Yes",IF(P515&lt;0.1,"X",IF(P515&lt;0.25,"Y","Z")),"")</f>
        <v>Z</v>
      </c>
      <c r="R512" t="str">
        <f>O512&amp;Q512</f>
        <v>AAAZ</v>
      </c>
    </row>
    <row r="513" spans="1:18" x14ac:dyDescent="0.25">
      <c r="A513" s="7" t="s">
        <v>205</v>
      </c>
      <c r="B513" s="8">
        <v>1</v>
      </c>
      <c r="C513" s="11">
        <v>6.2155775398999025E-4</v>
      </c>
      <c r="D513" s="12">
        <v>0.88652782451591461</v>
      </c>
      <c r="E513" t="s">
        <v>1239</v>
      </c>
      <c r="F513" s="8">
        <v>77</v>
      </c>
      <c r="G513" s="11">
        <v>2.2014600234312708E-4</v>
      </c>
      <c r="H513" s="12">
        <v>0.9833444220158235</v>
      </c>
      <c r="I513" t="s">
        <v>1240</v>
      </c>
      <c r="J513" s="8">
        <v>5</v>
      </c>
      <c r="K513">
        <v>6</v>
      </c>
      <c r="L513" s="11">
        <v>6.2155775398998981E-4</v>
      </c>
      <c r="M513" s="12">
        <v>0.8865278245159145</v>
      </c>
      <c r="N513" t="s">
        <v>1239</v>
      </c>
      <c r="O513" t="s">
        <v>1257</v>
      </c>
      <c r="P513" s="23">
        <f>VLOOKUP(A513,вариация!A$2:G$805,2,FALSE)</f>
        <v>2.2360679774997894</v>
      </c>
      <c r="Q513" t="str">
        <f>IF(вариация!H514="Yes",IF(P516&lt;0.1,"X",IF(P516&lt;0.25,"Y","Z")),"")</f>
        <v/>
      </c>
      <c r="R513" t="str">
        <f>O513&amp;Q513</f>
        <v>BCB</v>
      </c>
    </row>
    <row r="514" spans="1:18" x14ac:dyDescent="0.25">
      <c r="A514" s="7" t="s">
        <v>1070</v>
      </c>
      <c r="B514" s="8">
        <v>1</v>
      </c>
      <c r="C514" s="11">
        <v>6.2155775398999025E-4</v>
      </c>
      <c r="D514" s="12">
        <v>0.88714938226990459</v>
      </c>
      <c r="E514" t="s">
        <v>1239</v>
      </c>
      <c r="F514" s="8">
        <v>87</v>
      </c>
      <c r="G514" s="11">
        <v>2.4873639225781889E-4</v>
      </c>
      <c r="H514" s="12">
        <v>0.97730361571152824</v>
      </c>
      <c r="I514" t="s">
        <v>1240</v>
      </c>
      <c r="J514" s="8">
        <v>5</v>
      </c>
      <c r="K514">
        <v>6</v>
      </c>
      <c r="L514" s="11">
        <v>6.2155775398998981E-4</v>
      </c>
      <c r="M514" s="12">
        <v>0.88714938226990447</v>
      </c>
      <c r="N514" t="s">
        <v>1239</v>
      </c>
      <c r="O514" t="s">
        <v>1257</v>
      </c>
      <c r="P514" s="23">
        <f>VLOOKUP(A514,вариация!A$2:G$805,2,FALSE)</f>
        <v>2.2360679774997894</v>
      </c>
      <c r="Q514" t="str">
        <f>IF(вариация!H515="Yes",IF(P517&lt;0.1,"X",IF(P517&lt;0.25,"Y","Z")),"")</f>
        <v/>
      </c>
      <c r="R514" t="str">
        <f>O514&amp;Q514</f>
        <v>BCB</v>
      </c>
    </row>
    <row r="515" spans="1:18" x14ac:dyDescent="0.25">
      <c r="A515" s="7" t="s">
        <v>648</v>
      </c>
      <c r="B515" s="8">
        <v>1</v>
      </c>
      <c r="C515" s="11">
        <v>6.2155775398999025E-4</v>
      </c>
      <c r="D515" s="12">
        <v>0.88777094002389456</v>
      </c>
      <c r="E515" t="s">
        <v>1239</v>
      </c>
      <c r="F515" s="8">
        <v>376</v>
      </c>
      <c r="G515" s="11">
        <v>1.0749986607924127E-3</v>
      </c>
      <c r="H515" s="12">
        <v>0.7557985280669649</v>
      </c>
      <c r="I515" t="s">
        <v>1238</v>
      </c>
      <c r="J515" s="8">
        <v>5</v>
      </c>
      <c r="K515">
        <v>6</v>
      </c>
      <c r="L515" s="11">
        <v>6.2155775398998981E-4</v>
      </c>
      <c r="M515" s="12">
        <v>0.88777094002389445</v>
      </c>
      <c r="N515" t="s">
        <v>1239</v>
      </c>
      <c r="O515" t="s">
        <v>1255</v>
      </c>
      <c r="P515" s="23">
        <f>VLOOKUP(A515,вариация!A$2:G$805,2,FALSE)</f>
        <v>2.2360679774997894</v>
      </c>
      <c r="Q515" t="str">
        <f>IF(вариация!H516="Yes",IF(P518&lt;0.1,"X",IF(P518&lt;0.25,"Y","Z")),"")</f>
        <v/>
      </c>
      <c r="R515" t="str">
        <f>O515&amp;Q515</f>
        <v>BAB</v>
      </c>
    </row>
    <row r="516" spans="1:18" x14ac:dyDescent="0.25">
      <c r="A516" s="7" t="s">
        <v>207</v>
      </c>
      <c r="B516" s="8">
        <v>1</v>
      </c>
      <c r="C516" s="11">
        <v>6.2155775398999025E-4</v>
      </c>
      <c r="D516" s="12">
        <v>0.88839249777788454</v>
      </c>
      <c r="E516" t="s">
        <v>1239</v>
      </c>
      <c r="F516" s="8">
        <v>3449</v>
      </c>
      <c r="G516" s="11">
        <v>9.8608254815772105E-3</v>
      </c>
      <c r="H516" s="12">
        <v>7.9295446428397781E-2</v>
      </c>
      <c r="I516" t="s">
        <v>1238</v>
      </c>
      <c r="J516" s="8">
        <v>5</v>
      </c>
      <c r="K516">
        <v>6</v>
      </c>
      <c r="L516" s="11">
        <v>6.2155775398998981E-4</v>
      </c>
      <c r="M516" s="12">
        <v>0.88839249777788443</v>
      </c>
      <c r="N516" t="s">
        <v>1239</v>
      </c>
      <c r="O516" t="s">
        <v>1255</v>
      </c>
      <c r="P516" s="23">
        <f>VLOOKUP(A516,вариация!A$2:G$805,2,FALSE)</f>
        <v>2.2360679774997894</v>
      </c>
      <c r="Q516" t="str">
        <f>IF(вариация!H517="Yes",IF(P519&lt;0.1,"X",IF(P519&lt;0.25,"Y","Z")),"")</f>
        <v/>
      </c>
      <c r="R516" t="str">
        <f>O516&amp;Q516</f>
        <v>BAB</v>
      </c>
    </row>
    <row r="517" spans="1:18" x14ac:dyDescent="0.25">
      <c r="A517" s="7" t="s">
        <v>1211</v>
      </c>
      <c r="B517" s="8">
        <v>1</v>
      </c>
      <c r="C517" s="11">
        <v>6.2155775398999025E-4</v>
      </c>
      <c r="D517" s="12">
        <v>0.88901405553187451</v>
      </c>
      <c r="E517" t="s">
        <v>1239</v>
      </c>
      <c r="F517" s="8">
        <v>298</v>
      </c>
      <c r="G517" s="11">
        <v>8.5199361945781642E-4</v>
      </c>
      <c r="H517" s="12">
        <v>0.82224472239440893</v>
      </c>
      <c r="I517" t="s">
        <v>1239</v>
      </c>
      <c r="J517" s="8">
        <v>5</v>
      </c>
      <c r="K517">
        <v>6</v>
      </c>
      <c r="L517" s="11">
        <v>6.2155775398998981E-4</v>
      </c>
      <c r="M517" s="12">
        <v>0.8890140555318744</v>
      </c>
      <c r="N517" t="s">
        <v>1239</v>
      </c>
      <c r="O517" t="s">
        <v>1256</v>
      </c>
      <c r="P517" s="23">
        <f>VLOOKUP(A517,вариация!A$2:G$805,2,FALSE)</f>
        <v>2.2360679774997894</v>
      </c>
      <c r="Q517" t="str">
        <f>IF(вариация!H518="Yes",IF(P520&lt;0.1,"X",IF(P520&lt;0.25,"Y","Z")),"")</f>
        <v/>
      </c>
      <c r="R517" t="str">
        <f>O517&amp;Q517</f>
        <v>BBB</v>
      </c>
    </row>
    <row r="518" spans="1:18" x14ac:dyDescent="0.25">
      <c r="A518" s="7" t="s">
        <v>353</v>
      </c>
      <c r="B518" s="8">
        <v>1</v>
      </c>
      <c r="C518" s="11">
        <v>6.2155775398999025E-4</v>
      </c>
      <c r="D518" s="12">
        <v>0.88963561328586449</v>
      </c>
      <c r="E518" t="s">
        <v>1239</v>
      </c>
      <c r="F518" s="8">
        <v>393</v>
      </c>
      <c r="G518" s="11">
        <v>1.1236023236473889E-3</v>
      </c>
      <c r="H518" s="12">
        <v>0.7404636435803712</v>
      </c>
      <c r="I518" t="s">
        <v>1238</v>
      </c>
      <c r="J518" s="8">
        <v>5</v>
      </c>
      <c r="K518">
        <v>6</v>
      </c>
      <c r="L518" s="11">
        <v>6.2155775398998981E-4</v>
      </c>
      <c r="M518" s="12">
        <v>0.88963561328586438</v>
      </c>
      <c r="N518" t="s">
        <v>1239</v>
      </c>
      <c r="O518" t="s">
        <v>1255</v>
      </c>
      <c r="P518" s="23">
        <f>VLOOKUP(A518,вариация!A$2:G$805,2,FALSE)</f>
        <v>2.2360679774997894</v>
      </c>
      <c r="Q518" t="str">
        <f>IF(вариация!H519="Yes",IF(P521&lt;0.1,"X",IF(P521&lt;0.25,"Y","Z")),"")</f>
        <v/>
      </c>
      <c r="R518" t="str">
        <f>O518&amp;Q518</f>
        <v>BAB</v>
      </c>
    </row>
    <row r="519" spans="1:18" x14ac:dyDescent="0.25">
      <c r="A519" s="7" t="s">
        <v>1125</v>
      </c>
      <c r="B519" s="8">
        <v>1</v>
      </c>
      <c r="C519" s="11">
        <v>6.2155775398999025E-4</v>
      </c>
      <c r="D519" s="12">
        <v>0.89025717103985447</v>
      </c>
      <c r="E519" t="s">
        <v>1239</v>
      </c>
      <c r="F519" s="8">
        <v>728</v>
      </c>
      <c r="G519" s="11">
        <v>2.0813803857895651E-3</v>
      </c>
      <c r="H519" s="12">
        <v>0.50449565819176412</v>
      </c>
      <c r="I519" t="s">
        <v>1238</v>
      </c>
      <c r="J519" s="8">
        <v>5</v>
      </c>
      <c r="K519">
        <v>6</v>
      </c>
      <c r="L519" s="11">
        <v>6.2155775398998981E-4</v>
      </c>
      <c r="M519" s="12">
        <v>0.89025717103985436</v>
      </c>
      <c r="N519" t="s">
        <v>1239</v>
      </c>
      <c r="O519" t="s">
        <v>1255</v>
      </c>
      <c r="P519" s="23">
        <f>VLOOKUP(A519,вариация!A$2:G$805,2,FALSE)</f>
        <v>2.2360679774997894</v>
      </c>
      <c r="Q519" t="str">
        <f>IF(вариация!H520="Yes",IF(P522&lt;0.1,"X",IF(P522&lt;0.25,"Y","Z")),"")</f>
        <v/>
      </c>
      <c r="R519" t="str">
        <f>O519&amp;Q519</f>
        <v>BAB</v>
      </c>
    </row>
    <row r="520" spans="1:18" x14ac:dyDescent="0.25">
      <c r="A520" s="7" t="s">
        <v>1147</v>
      </c>
      <c r="B520" s="8">
        <v>1</v>
      </c>
      <c r="C520" s="11">
        <v>6.2155775398999025E-4</v>
      </c>
      <c r="D520" s="12">
        <v>0.89087872879384444</v>
      </c>
      <c r="E520" t="s">
        <v>1239</v>
      </c>
      <c r="F520" s="8">
        <v>445</v>
      </c>
      <c r="G520" s="11">
        <v>1.2722723512037864E-3</v>
      </c>
      <c r="H520" s="12">
        <v>0.69878171412374224</v>
      </c>
      <c r="I520" t="s">
        <v>1238</v>
      </c>
      <c r="J520" s="8">
        <v>5</v>
      </c>
      <c r="K520">
        <v>6</v>
      </c>
      <c r="L520" s="11">
        <v>6.2155775398998981E-4</v>
      </c>
      <c r="M520" s="12">
        <v>0.89087872879384433</v>
      </c>
      <c r="N520" t="s">
        <v>1239</v>
      </c>
      <c r="O520" t="s">
        <v>1255</v>
      </c>
      <c r="P520" s="23">
        <f>VLOOKUP(A520,вариация!A$2:G$805,2,FALSE)</f>
        <v>2.2360679774997894</v>
      </c>
      <c r="Q520" t="str">
        <f>IF(вариация!H521="Yes",IF(P523&lt;0.1,"X",IF(P523&lt;0.25,"Y","Z")),"")</f>
        <v/>
      </c>
      <c r="R520" t="str">
        <f>O520&amp;Q520</f>
        <v>BAB</v>
      </c>
    </row>
    <row r="521" spans="1:18" x14ac:dyDescent="0.25">
      <c r="A521" s="7" t="s">
        <v>998</v>
      </c>
      <c r="B521" s="8">
        <v>3</v>
      </c>
      <c r="C521" s="11">
        <v>1.8646732619699705E-3</v>
      </c>
      <c r="D521" s="12">
        <v>0.48295037485022246</v>
      </c>
      <c r="E521" t="s">
        <v>1238</v>
      </c>
      <c r="F521" s="8">
        <v>1384</v>
      </c>
      <c r="G521" s="11">
        <v>3.9569099641933491E-3</v>
      </c>
      <c r="H521" s="12">
        <v>0.29422472895633778</v>
      </c>
      <c r="I521" t="s">
        <v>1238</v>
      </c>
      <c r="J521" s="8">
        <v>5</v>
      </c>
      <c r="K521">
        <v>18</v>
      </c>
      <c r="L521" s="11">
        <v>1.8646732619699697E-3</v>
      </c>
      <c r="M521" s="12">
        <v>0.4829503748502223</v>
      </c>
      <c r="N521" t="s">
        <v>1238</v>
      </c>
      <c r="O521" t="s">
        <v>1252</v>
      </c>
      <c r="P521" s="23">
        <f>VLOOKUP(A521,вариация!A$2:G$805,2,FALSE)</f>
        <v>1.4907119849998598</v>
      </c>
      <c r="Q521" t="str">
        <f>IF(вариация!H522="Yes",IF(P524&lt;0.1,"X",IF(P524&lt;0.25,"Y","Z")),"")</f>
        <v/>
      </c>
      <c r="R521" t="str">
        <f>O521&amp;Q521</f>
        <v>AAA</v>
      </c>
    </row>
    <row r="522" spans="1:18" x14ac:dyDescent="0.25">
      <c r="A522" s="7" t="s">
        <v>94</v>
      </c>
      <c r="B522" s="8">
        <v>26</v>
      </c>
      <c r="C522" s="11">
        <v>1.6160501603739746E-2</v>
      </c>
      <c r="D522" s="12">
        <v>8.0180950264708742E-2</v>
      </c>
      <c r="E522" t="s">
        <v>1238</v>
      </c>
      <c r="F522" s="8">
        <v>52</v>
      </c>
      <c r="G522" s="11">
        <v>1.4867002755639751E-4</v>
      </c>
      <c r="H522" s="12">
        <v>0.99393090018382568</v>
      </c>
      <c r="I522" t="s">
        <v>1240</v>
      </c>
      <c r="J522" s="8">
        <v>5</v>
      </c>
      <c r="K522">
        <v>156</v>
      </c>
      <c r="L522" s="11">
        <v>1.6160501603739736E-2</v>
      </c>
      <c r="M522" s="12">
        <v>8.0180950264708686E-2</v>
      </c>
      <c r="N522" t="s">
        <v>1238</v>
      </c>
      <c r="O522" t="s">
        <v>1254</v>
      </c>
      <c r="P522" s="23">
        <f>VLOOKUP(A522,вариация!A$2:G$805,2,FALSE)</f>
        <v>0.61418151625658901</v>
      </c>
      <c r="Q522" t="str">
        <f>IF(вариация!H523="Yes",IF(P525&lt;0.1,"X",IF(P525&lt;0.25,"Y","Z")),"")</f>
        <v>Z</v>
      </c>
      <c r="R522" t="str">
        <f>O522&amp;Q522</f>
        <v>ACAZ</v>
      </c>
    </row>
    <row r="523" spans="1:18" x14ac:dyDescent="0.25">
      <c r="A523" s="7" t="s">
        <v>1012</v>
      </c>
      <c r="B523" s="8">
        <v>2</v>
      </c>
      <c r="C523" s="11">
        <v>1.2431155079799805E-3</v>
      </c>
      <c r="D523" s="12">
        <v>0.63088112029983734</v>
      </c>
      <c r="E523" t="s">
        <v>1238</v>
      </c>
      <c r="F523" s="8">
        <v>328</v>
      </c>
      <c r="G523" s="11">
        <v>9.3776478920189188E-4</v>
      </c>
      <c r="H523" s="12">
        <v>0.7999437322243208</v>
      </c>
      <c r="I523" t="s">
        <v>1238</v>
      </c>
      <c r="J523" s="8">
        <v>5</v>
      </c>
      <c r="K523">
        <v>12</v>
      </c>
      <c r="L523" s="11">
        <v>1.2431155079799796E-3</v>
      </c>
      <c r="M523" s="12">
        <v>0.63088112029983723</v>
      </c>
      <c r="N523" t="s">
        <v>1238</v>
      </c>
      <c r="O523" t="s">
        <v>1252</v>
      </c>
      <c r="P523" s="23">
        <f>VLOOKUP(A523,вариация!A$2:G$805,2,FALSE)</f>
        <v>1.3693063937629151</v>
      </c>
      <c r="Q523" t="str">
        <f>IF(вариация!H524="Yes",IF(P526&lt;0.1,"X",IF(P526&lt;0.25,"Y","Z")),"")</f>
        <v/>
      </c>
      <c r="R523" t="str">
        <f>O523&amp;Q523</f>
        <v>AAA</v>
      </c>
    </row>
    <row r="524" spans="1:18" x14ac:dyDescent="0.25">
      <c r="A524" s="7" t="s">
        <v>990</v>
      </c>
      <c r="B524" s="8">
        <v>1</v>
      </c>
      <c r="C524" s="11">
        <v>6.2155775398999025E-4</v>
      </c>
      <c r="D524" s="12">
        <v>0.89150028654783442</v>
      </c>
      <c r="E524" t="s">
        <v>1239</v>
      </c>
      <c r="F524" s="8">
        <v>574</v>
      </c>
      <c r="G524" s="11">
        <v>1.6410883811033108E-3</v>
      </c>
      <c r="H524" s="12">
        <v>0.60669031063925927</v>
      </c>
      <c r="I524" t="s">
        <v>1238</v>
      </c>
      <c r="J524" s="8">
        <v>5</v>
      </c>
      <c r="K524">
        <v>6</v>
      </c>
      <c r="L524" s="11">
        <v>6.2155775398998981E-4</v>
      </c>
      <c r="M524" s="12">
        <v>0.89150028654783431</v>
      </c>
      <c r="N524" t="s">
        <v>1239</v>
      </c>
      <c r="O524" t="s">
        <v>1255</v>
      </c>
      <c r="P524" s="23">
        <f>VLOOKUP(A524,вариация!A$2:G$805,2,FALSE)</f>
        <v>2.2360679774997894</v>
      </c>
      <c r="Q524" t="str">
        <f>IF(вариация!H525="Yes",IF(P527&lt;0.1,"X",IF(P527&lt;0.25,"Y","Z")),"")</f>
        <v/>
      </c>
      <c r="R524" t="str">
        <f>O524&amp;Q524</f>
        <v>BAB</v>
      </c>
    </row>
    <row r="525" spans="1:18" x14ac:dyDescent="0.25">
      <c r="A525" s="7" t="s">
        <v>1223</v>
      </c>
      <c r="B525" s="8">
        <v>1</v>
      </c>
      <c r="C525" s="11">
        <v>6.2155775398999025E-4</v>
      </c>
      <c r="D525" s="12">
        <v>0.8921218443018244</v>
      </c>
      <c r="E525" t="s">
        <v>1239</v>
      </c>
      <c r="F525" s="8">
        <v>76</v>
      </c>
      <c r="G525" s="11">
        <v>2.1728696335165788E-4</v>
      </c>
      <c r="H525" s="12">
        <v>0.98486828979827656</v>
      </c>
      <c r="I525" t="s">
        <v>1240</v>
      </c>
      <c r="J525" s="8">
        <v>5</v>
      </c>
      <c r="K525">
        <v>6</v>
      </c>
      <c r="L525" s="11">
        <v>6.2155775398998981E-4</v>
      </c>
      <c r="M525" s="12">
        <v>0.89212184430182428</v>
      </c>
      <c r="N525" t="s">
        <v>1239</v>
      </c>
      <c r="O525" t="s">
        <v>1257</v>
      </c>
      <c r="P525" s="23">
        <f>VLOOKUP(A525,вариация!A$2:G$805,2,FALSE)</f>
        <v>2.2360679774997894</v>
      </c>
      <c r="Q525" t="str">
        <f>IF(вариация!H526="Yes",IF(P528&lt;0.1,"X",IF(P528&lt;0.25,"Y","Z")),"")</f>
        <v/>
      </c>
      <c r="R525" t="str">
        <f>O525&amp;Q525</f>
        <v>BCB</v>
      </c>
    </row>
    <row r="526" spans="1:18" x14ac:dyDescent="0.25">
      <c r="A526" s="7" t="s">
        <v>217</v>
      </c>
      <c r="B526" s="8">
        <v>7</v>
      </c>
      <c r="C526" s="11">
        <v>4.3509042779299317E-3</v>
      </c>
      <c r="D526" s="12">
        <v>0.25794646790584586</v>
      </c>
      <c r="E526" t="s">
        <v>1238</v>
      </c>
      <c r="F526" s="8">
        <v>336</v>
      </c>
      <c r="G526" s="11">
        <v>9.6063710113364537E-4</v>
      </c>
      <c r="H526" s="12">
        <v>0.794270998599787</v>
      </c>
      <c r="I526" t="s">
        <v>1238</v>
      </c>
      <c r="J526" s="8">
        <v>5</v>
      </c>
      <c r="K526">
        <v>42</v>
      </c>
      <c r="L526" s="11">
        <v>4.3509042779299291E-3</v>
      </c>
      <c r="M526" s="12">
        <v>0.25794646790584569</v>
      </c>
      <c r="N526" t="s">
        <v>1238</v>
      </c>
      <c r="O526" t="s">
        <v>1252</v>
      </c>
      <c r="P526" s="23">
        <f>VLOOKUP(A526,вариация!A$2:G$805,2,FALSE)</f>
        <v>1.8626292586293283</v>
      </c>
      <c r="Q526" t="str">
        <f>IF(вариация!H527="Yes",IF(P529&lt;0.1,"X",IF(P529&lt;0.25,"Y","Z")),"")</f>
        <v/>
      </c>
      <c r="R526" t="str">
        <f>O526&amp;Q526</f>
        <v>AAA</v>
      </c>
    </row>
    <row r="527" spans="1:18" x14ac:dyDescent="0.25">
      <c r="A527" s="7" t="s">
        <v>446</v>
      </c>
      <c r="B527" s="8">
        <v>2</v>
      </c>
      <c r="C527" s="11">
        <v>1.2431155079799805E-3</v>
      </c>
      <c r="D527" s="12">
        <v>0.63212423580781729</v>
      </c>
      <c r="E527" t="s">
        <v>1238</v>
      </c>
      <c r="F527" s="8">
        <v>96</v>
      </c>
      <c r="G527" s="11">
        <v>2.7446774318104153E-4</v>
      </c>
      <c r="H527" s="12">
        <v>0.97229772434136474</v>
      </c>
      <c r="I527" t="s">
        <v>1240</v>
      </c>
      <c r="J527" s="8">
        <v>5</v>
      </c>
      <c r="K527">
        <v>12</v>
      </c>
      <c r="L527" s="11">
        <v>1.2431155079799796E-3</v>
      </c>
      <c r="M527" s="12">
        <v>0.63212423580781718</v>
      </c>
      <c r="N527" t="s">
        <v>1238</v>
      </c>
      <c r="O527" t="s">
        <v>1254</v>
      </c>
      <c r="P527" s="23">
        <f>VLOOKUP(A527,вариация!A$2:G$805,2,FALSE)</f>
        <v>1.3693063937629151</v>
      </c>
      <c r="Q527" t="str">
        <f>IF(вариация!H528="Yes",IF(P530&lt;0.1,"X",IF(P530&lt;0.25,"Y","Z")),"")</f>
        <v/>
      </c>
      <c r="R527" t="str">
        <f>O527&amp;Q527</f>
        <v>ACA</v>
      </c>
    </row>
    <row r="528" spans="1:18" x14ac:dyDescent="0.25">
      <c r="A528" s="7" t="s">
        <v>801</v>
      </c>
      <c r="B528" s="8">
        <v>1</v>
      </c>
      <c r="C528" s="11">
        <v>6.2155775398999025E-4</v>
      </c>
      <c r="D528" s="12">
        <v>0.89274340205581437</v>
      </c>
      <c r="E528" t="s">
        <v>1239</v>
      </c>
      <c r="F528" s="8">
        <v>352</v>
      </c>
      <c r="G528" s="11">
        <v>1.0063817249971524E-3</v>
      </c>
      <c r="H528" s="12">
        <v>0.77755108126416583</v>
      </c>
      <c r="I528" t="s">
        <v>1238</v>
      </c>
      <c r="J528" s="8">
        <v>5</v>
      </c>
      <c r="K528">
        <v>6</v>
      </c>
      <c r="L528" s="11">
        <v>6.2155775398998981E-4</v>
      </c>
      <c r="M528" s="12">
        <v>0.89274340205581426</v>
      </c>
      <c r="N528" t="s">
        <v>1239</v>
      </c>
      <c r="O528" t="s">
        <v>1255</v>
      </c>
      <c r="P528" s="23">
        <f>VLOOKUP(A528,вариация!A$2:G$805,2,FALSE)</f>
        <v>2.2360679774997894</v>
      </c>
      <c r="Q528" t="str">
        <f>IF(вариация!H529="Yes",IF(P531&lt;0.1,"X",IF(P531&lt;0.25,"Y","Z")),"")</f>
        <v/>
      </c>
      <c r="R528" t="str">
        <f>O528&amp;Q528</f>
        <v>BAB</v>
      </c>
    </row>
    <row r="529" spans="1:18" x14ac:dyDescent="0.25">
      <c r="A529" s="7" t="s">
        <v>121</v>
      </c>
      <c r="B529" s="8">
        <v>4</v>
      </c>
      <c r="C529" s="11">
        <v>2.486231015959961E-3</v>
      </c>
      <c r="D529" s="12">
        <v>0.39966163581556324</v>
      </c>
      <c r="E529" t="s">
        <v>1238</v>
      </c>
      <c r="F529" s="8">
        <v>100</v>
      </c>
      <c r="G529" s="11">
        <v>2.8590389914691827E-4</v>
      </c>
      <c r="H529" s="12">
        <v>0.96840371323498375</v>
      </c>
      <c r="I529" t="s">
        <v>1240</v>
      </c>
      <c r="J529" s="8">
        <v>5</v>
      </c>
      <c r="K529">
        <v>24</v>
      </c>
      <c r="L529" s="11">
        <v>2.4862310159599593E-3</v>
      </c>
      <c r="M529" s="12">
        <v>0.39966163581556308</v>
      </c>
      <c r="N529" t="s">
        <v>1238</v>
      </c>
      <c r="O529" t="s">
        <v>1254</v>
      </c>
      <c r="P529" s="23">
        <f>VLOOKUP(A529,вариация!A$2:G$805,2,FALSE)</f>
        <v>1.0458250331675945</v>
      </c>
      <c r="Q529" t="str">
        <f>IF(вариация!H530="Yes",IF(P532&lt;0.1,"X",IF(P532&lt;0.25,"Y","Z")),"")</f>
        <v>Z</v>
      </c>
      <c r="R529" t="str">
        <f>O529&amp;Q529</f>
        <v>ACAZ</v>
      </c>
    </row>
    <row r="530" spans="1:18" x14ac:dyDescent="0.25">
      <c r="A530" s="7" t="s">
        <v>920</v>
      </c>
      <c r="B530" s="8">
        <v>2</v>
      </c>
      <c r="C530" s="11">
        <v>1.2431155079799805E-3</v>
      </c>
      <c r="D530" s="12">
        <v>0.63336735131579724</v>
      </c>
      <c r="E530" t="s">
        <v>1238</v>
      </c>
      <c r="F530" s="8">
        <v>154</v>
      </c>
      <c r="G530" s="11">
        <v>4.4029200468625416E-4</v>
      </c>
      <c r="H530" s="12">
        <v>0.93268279430439793</v>
      </c>
      <c r="I530" t="s">
        <v>1239</v>
      </c>
      <c r="J530" s="8">
        <v>5</v>
      </c>
      <c r="K530">
        <v>12</v>
      </c>
      <c r="L530" s="11">
        <v>1.2431155079799796E-3</v>
      </c>
      <c r="M530" s="12">
        <v>0.63336735131579713</v>
      </c>
      <c r="N530" t="s">
        <v>1238</v>
      </c>
      <c r="O530" t="s">
        <v>1253</v>
      </c>
      <c r="P530" s="23">
        <f>VLOOKUP(A530,вариация!A$2:G$805,2,FALSE)</f>
        <v>2.2360679774997894</v>
      </c>
      <c r="Q530" t="str">
        <f>IF(вариация!H531="Yes",IF(P533&lt;0.1,"X",IF(P533&lt;0.25,"Y","Z")),"")</f>
        <v/>
      </c>
      <c r="R530" t="str">
        <f>O530&amp;Q530</f>
        <v>ABA</v>
      </c>
    </row>
    <row r="531" spans="1:18" x14ac:dyDescent="0.25">
      <c r="A531" s="7" t="s">
        <v>50</v>
      </c>
      <c r="B531" s="8">
        <v>2</v>
      </c>
      <c r="C531" s="11">
        <v>1.2431155079799805E-3</v>
      </c>
      <c r="D531" s="12">
        <v>0.6346104668237772</v>
      </c>
      <c r="E531" t="s">
        <v>1238</v>
      </c>
      <c r="F531" s="8">
        <v>206</v>
      </c>
      <c r="G531" s="11">
        <v>5.8896203224265164E-4</v>
      </c>
      <c r="H531" s="12">
        <v>0.90104275325809702</v>
      </c>
      <c r="I531" t="s">
        <v>1239</v>
      </c>
      <c r="J531" s="8">
        <v>5</v>
      </c>
      <c r="K531">
        <v>12</v>
      </c>
      <c r="L531" s="11">
        <v>1.2431155079799796E-3</v>
      </c>
      <c r="M531" s="12">
        <v>0.63461046682377709</v>
      </c>
      <c r="N531" t="s">
        <v>1238</v>
      </c>
      <c r="O531" t="s">
        <v>1253</v>
      </c>
      <c r="P531" s="23">
        <f>VLOOKUP(A531,вариация!A$2:G$805,2,FALSE)</f>
        <v>2.2360679774997894</v>
      </c>
      <c r="Q531" t="str">
        <f>IF(вариация!H532="Yes",IF(P534&lt;0.1,"X",IF(P534&lt;0.25,"Y","Z")),"")</f>
        <v/>
      </c>
      <c r="R531" t="str">
        <f>O531&amp;Q531</f>
        <v>ABA</v>
      </c>
    </row>
    <row r="532" spans="1:18" x14ac:dyDescent="0.25">
      <c r="A532" s="7" t="s">
        <v>115</v>
      </c>
      <c r="B532" s="8">
        <v>6</v>
      </c>
      <c r="C532" s="11">
        <v>3.729346523939941E-3</v>
      </c>
      <c r="D532" s="12">
        <v>0.29461837539125524</v>
      </c>
      <c r="E532" t="s">
        <v>1238</v>
      </c>
      <c r="F532" s="8">
        <v>491.67</v>
      </c>
      <c r="G532" s="11">
        <v>1.4057037009356532E-3</v>
      </c>
      <c r="H532" s="12">
        <v>0.65658801263329392</v>
      </c>
      <c r="I532" t="s">
        <v>1238</v>
      </c>
      <c r="J532" s="8">
        <v>5</v>
      </c>
      <c r="K532">
        <v>36</v>
      </c>
      <c r="L532" s="11">
        <v>3.7293465239399393E-3</v>
      </c>
      <c r="M532" s="12">
        <v>0.29461837539125507</v>
      </c>
      <c r="N532" t="s">
        <v>1238</v>
      </c>
      <c r="O532" t="s">
        <v>1252</v>
      </c>
      <c r="P532" s="23">
        <f>VLOOKUP(A532,вариация!A$2:G$805,2,FALSE)</f>
        <v>1.0865337342004415</v>
      </c>
      <c r="Q532" t="str">
        <f>IF(вариация!H533="Yes",IF(P535&lt;0.1,"X",IF(P535&lt;0.25,"Y","Z")),"")</f>
        <v>Z</v>
      </c>
      <c r="R532" t="str">
        <f>O532&amp;Q532</f>
        <v>AAAZ</v>
      </c>
    </row>
    <row r="533" spans="1:18" x14ac:dyDescent="0.25">
      <c r="A533" s="7" t="s">
        <v>495</v>
      </c>
      <c r="B533" s="8">
        <v>5</v>
      </c>
      <c r="C533" s="11">
        <v>3.1077887699499512E-3</v>
      </c>
      <c r="D533" s="12">
        <v>0.34807234223439409</v>
      </c>
      <c r="E533" t="s">
        <v>1238</v>
      </c>
      <c r="F533" s="8">
        <v>504</v>
      </c>
      <c r="G533" s="11">
        <v>1.4409556517004682E-3</v>
      </c>
      <c r="H533" s="12">
        <v>0.64804042954607788</v>
      </c>
      <c r="I533" t="s">
        <v>1238</v>
      </c>
      <c r="J533" s="8">
        <v>5</v>
      </c>
      <c r="K533">
        <v>30</v>
      </c>
      <c r="L533" s="11">
        <v>3.1077887699499491E-3</v>
      </c>
      <c r="M533" s="12">
        <v>0.34807234223439393</v>
      </c>
      <c r="N533" t="s">
        <v>1238</v>
      </c>
      <c r="O533" t="s">
        <v>1252</v>
      </c>
      <c r="P533" s="23">
        <f>VLOOKUP(A533,вариация!A$2:G$805,2,FALSE)</f>
        <v>1</v>
      </c>
      <c r="Q533" t="str">
        <f>IF(вариация!H534="Yes",IF(P536&lt;0.1,"X",IF(P536&lt;0.25,"Y","Z")),"")</f>
        <v>Z</v>
      </c>
      <c r="R533" t="str">
        <f>O533&amp;Q533</f>
        <v>AAAZ</v>
      </c>
    </row>
    <row r="534" spans="1:18" x14ac:dyDescent="0.25">
      <c r="A534" s="7" t="s">
        <v>1161</v>
      </c>
      <c r="B534" s="8">
        <v>1</v>
      </c>
      <c r="C534" s="11">
        <v>6.2155775398999025E-4</v>
      </c>
      <c r="D534" s="12">
        <v>0.89336495980980435</v>
      </c>
      <c r="E534" t="s">
        <v>1239</v>
      </c>
      <c r="F534" s="8">
        <v>38</v>
      </c>
      <c r="G534" s="11">
        <v>1.0864348167582894E-4</v>
      </c>
      <c r="H534" s="12">
        <v>0.99753316397738179</v>
      </c>
      <c r="I534" t="s">
        <v>1240</v>
      </c>
      <c r="J534" s="8">
        <v>5</v>
      </c>
      <c r="K534">
        <v>6</v>
      </c>
      <c r="L534" s="11">
        <v>6.2155775398998981E-4</v>
      </c>
      <c r="M534" s="12">
        <v>0.89336495980980424</v>
      </c>
      <c r="N534" t="s">
        <v>1239</v>
      </c>
      <c r="O534" t="s">
        <v>1257</v>
      </c>
      <c r="P534" s="23">
        <f>VLOOKUP(A534,вариация!A$2:G$805,2,FALSE)</f>
        <v>2.2360679774997894</v>
      </c>
      <c r="Q534" t="str">
        <f>IF(вариация!H535="Yes",IF(P537&lt;0.1,"X",IF(P537&lt;0.25,"Y","Z")),"")</f>
        <v/>
      </c>
      <c r="R534" t="str">
        <f>O534&amp;Q534</f>
        <v>BCB</v>
      </c>
    </row>
    <row r="535" spans="1:18" x14ac:dyDescent="0.25">
      <c r="A535" s="7" t="s">
        <v>101</v>
      </c>
      <c r="B535" s="8">
        <v>10</v>
      </c>
      <c r="C535" s="11">
        <v>6.2155775398999025E-3</v>
      </c>
      <c r="D535" s="12">
        <v>0.20387094330871675</v>
      </c>
      <c r="E535" t="s">
        <v>1238</v>
      </c>
      <c r="F535" s="8">
        <v>2095</v>
      </c>
      <c r="G535" s="11">
        <v>5.989686687127938E-3</v>
      </c>
      <c r="H535" s="12">
        <v>0.17443055010858799</v>
      </c>
      <c r="I535" t="s">
        <v>1238</v>
      </c>
      <c r="J535" s="8">
        <v>5</v>
      </c>
      <c r="K535">
        <v>60</v>
      </c>
      <c r="L535" s="11">
        <v>6.2155775398998981E-3</v>
      </c>
      <c r="M535" s="12">
        <v>0.20387094330871661</v>
      </c>
      <c r="N535" t="s">
        <v>1238</v>
      </c>
      <c r="O535" t="s">
        <v>1252</v>
      </c>
      <c r="P535" s="23">
        <f>VLOOKUP(A535,вариация!A$2:G$805,2,FALSE)</f>
        <v>0.61237243569579447</v>
      </c>
      <c r="Q535" t="str">
        <f>IF(вариация!H536="Yes",IF(P538&lt;0.1,"X",IF(P538&lt;0.25,"Y","Z")),"")</f>
        <v>Z</v>
      </c>
      <c r="R535" t="str">
        <f>O535&amp;Q535</f>
        <v>AAAZ</v>
      </c>
    </row>
    <row r="536" spans="1:18" x14ac:dyDescent="0.25">
      <c r="A536" s="7" t="s">
        <v>452</v>
      </c>
      <c r="B536" s="8">
        <v>1</v>
      </c>
      <c r="C536" s="11">
        <v>6.2155775398999025E-4</v>
      </c>
      <c r="D536" s="12">
        <v>0.89398651756379433</v>
      </c>
      <c r="E536" t="s">
        <v>1239</v>
      </c>
      <c r="F536" s="8">
        <v>402</v>
      </c>
      <c r="G536" s="11">
        <v>1.1493336745706114E-3</v>
      </c>
      <c r="H536" s="12">
        <v>0.73367914405361501</v>
      </c>
      <c r="I536" t="s">
        <v>1238</v>
      </c>
      <c r="J536" s="8">
        <v>5</v>
      </c>
      <c r="K536">
        <v>6</v>
      </c>
      <c r="L536" s="11">
        <v>6.2155775398998981E-4</v>
      </c>
      <c r="M536" s="12">
        <v>0.89398651756379421</v>
      </c>
      <c r="N536" t="s">
        <v>1239</v>
      </c>
      <c r="O536" t="s">
        <v>1255</v>
      </c>
      <c r="P536" s="23">
        <f>VLOOKUP(A536,вариация!A$2:G$805,2,FALSE)</f>
        <v>2.2360679774997894</v>
      </c>
      <c r="Q536" t="str">
        <f>IF(вариация!H537="Yes",IF(P539&lt;0.1,"X",IF(P539&lt;0.25,"Y","Z")),"")</f>
        <v/>
      </c>
      <c r="R536" t="str">
        <f>O536&amp;Q536</f>
        <v>BAB</v>
      </c>
    </row>
    <row r="537" spans="1:18" x14ac:dyDescent="0.25">
      <c r="A537" s="7" t="s">
        <v>1016</v>
      </c>
      <c r="B537" s="8">
        <v>1</v>
      </c>
      <c r="C537" s="11">
        <v>6.2155775398999025E-4</v>
      </c>
      <c r="D537" s="12">
        <v>0.8946080753177843</v>
      </c>
      <c r="E537" t="s">
        <v>1239</v>
      </c>
      <c r="F537" s="8">
        <v>449</v>
      </c>
      <c r="G537" s="11">
        <v>1.283708507169663E-3</v>
      </c>
      <c r="H537" s="12">
        <v>0.6936726114459868</v>
      </c>
      <c r="I537" t="s">
        <v>1238</v>
      </c>
      <c r="J537" s="8">
        <v>5</v>
      </c>
      <c r="K537">
        <v>6</v>
      </c>
      <c r="L537" s="11">
        <v>6.2155775398998981E-4</v>
      </c>
      <c r="M537" s="12">
        <v>0.89460807531778419</v>
      </c>
      <c r="N537" t="s">
        <v>1239</v>
      </c>
      <c r="O537" t="s">
        <v>1255</v>
      </c>
      <c r="P537" s="23">
        <f>VLOOKUP(A537,вариация!A$2:G$805,2,FALSE)</f>
        <v>2.2360679774997894</v>
      </c>
      <c r="Q537" t="str">
        <f>IF(вариация!H538="Yes",IF(P540&lt;0.1,"X",IF(P540&lt;0.25,"Y","Z")),"")</f>
        <v/>
      </c>
      <c r="R537" t="str">
        <f>O537&amp;Q537</f>
        <v>BAB</v>
      </c>
    </row>
    <row r="538" spans="1:18" x14ac:dyDescent="0.25">
      <c r="A538" s="7" t="s">
        <v>594</v>
      </c>
      <c r="B538" s="8">
        <v>13</v>
      </c>
      <c r="C538" s="11">
        <v>8.0802508018698732E-3</v>
      </c>
      <c r="D538" s="12">
        <v>0.16160501603739746</v>
      </c>
      <c r="E538" t="s">
        <v>1238</v>
      </c>
      <c r="F538" s="8">
        <v>203</v>
      </c>
      <c r="G538" s="11">
        <v>5.8038491526824409E-4</v>
      </c>
      <c r="H538" s="12">
        <v>0.90395897302939554</v>
      </c>
      <c r="I538" t="s">
        <v>1239</v>
      </c>
      <c r="J538" s="8">
        <v>5</v>
      </c>
      <c r="K538">
        <v>78</v>
      </c>
      <c r="L538" s="11">
        <v>8.080250801869868E-3</v>
      </c>
      <c r="M538" s="12">
        <v>0.16160501603739733</v>
      </c>
      <c r="N538" t="s">
        <v>1238</v>
      </c>
      <c r="O538" t="s">
        <v>1253</v>
      </c>
      <c r="P538" s="23">
        <f>VLOOKUP(A538,вариация!A$2:G$805,2,FALSE)</f>
        <v>0.88545111024779533</v>
      </c>
      <c r="Q538" t="str">
        <f>IF(вариация!H539="Yes",IF(P541&lt;0.1,"X",IF(P541&lt;0.25,"Y","Z")),"")</f>
        <v>Z</v>
      </c>
      <c r="R538" t="str">
        <f>O538&amp;Q538</f>
        <v>ABAZ</v>
      </c>
    </row>
    <row r="539" spans="1:18" x14ac:dyDescent="0.25">
      <c r="A539" s="7" t="s">
        <v>96</v>
      </c>
      <c r="B539" s="8">
        <v>2</v>
      </c>
      <c r="C539" s="11">
        <v>1.2431155079799805E-3</v>
      </c>
      <c r="D539" s="12">
        <v>0.63585358233175715</v>
      </c>
      <c r="E539" t="s">
        <v>1238</v>
      </c>
      <c r="F539" s="8">
        <v>29</v>
      </c>
      <c r="G539" s="11">
        <v>8.2912130752606301E-5</v>
      </c>
      <c r="H539" s="12">
        <v>0.99897955180316644</v>
      </c>
      <c r="I539" t="s">
        <v>1240</v>
      </c>
      <c r="J539" s="8">
        <v>5</v>
      </c>
      <c r="K539">
        <v>12</v>
      </c>
      <c r="L539" s="11">
        <v>1.2431155079799796E-3</v>
      </c>
      <c r="M539" s="12">
        <v>0.63585358233175704</v>
      </c>
      <c r="N539" t="s">
        <v>1238</v>
      </c>
      <c r="O539" t="s">
        <v>1254</v>
      </c>
      <c r="P539" s="23">
        <f>VLOOKUP(A539,вариация!A$2:G$805,2,FALSE)</f>
        <v>2.2360679774997894</v>
      </c>
      <c r="Q539" t="str">
        <f>IF(вариация!H540="Yes",IF(P542&lt;0.1,"X",IF(P542&lt;0.25,"Y","Z")),"")</f>
        <v/>
      </c>
      <c r="R539" t="str">
        <f>O539&amp;Q539</f>
        <v>ACA</v>
      </c>
    </row>
    <row r="540" spans="1:18" x14ac:dyDescent="0.25">
      <c r="A540" s="7" t="s">
        <v>1008</v>
      </c>
      <c r="B540" s="8">
        <v>2</v>
      </c>
      <c r="C540" s="11">
        <v>1.2431155079799805E-3</v>
      </c>
      <c r="D540" s="12">
        <v>0.6370966978397371</v>
      </c>
      <c r="E540" t="s">
        <v>1238</v>
      </c>
      <c r="F540" s="8">
        <v>305</v>
      </c>
      <c r="G540" s="11">
        <v>8.7200689239810077E-4</v>
      </c>
      <c r="H540" s="12">
        <v>0.81708129797581552</v>
      </c>
      <c r="I540" t="s">
        <v>1239</v>
      </c>
      <c r="J540" s="8">
        <v>5</v>
      </c>
      <c r="K540">
        <v>12</v>
      </c>
      <c r="L540" s="11">
        <v>1.2431155079799796E-3</v>
      </c>
      <c r="M540" s="12">
        <v>0.63709669783973699</v>
      </c>
      <c r="N540" t="s">
        <v>1238</v>
      </c>
      <c r="O540" t="s">
        <v>1253</v>
      </c>
      <c r="P540" s="23">
        <f>VLOOKUP(A540,вариация!A$2:G$805,2,FALSE)</f>
        <v>2.2360679774997894</v>
      </c>
      <c r="Q540" t="str">
        <f>IF(вариация!H541="Yes",IF(P543&lt;0.1,"X",IF(P543&lt;0.25,"Y","Z")),"")</f>
        <v/>
      </c>
      <c r="R540" t="str">
        <f>O540&amp;Q540</f>
        <v>ABA</v>
      </c>
    </row>
    <row r="541" spans="1:18" x14ac:dyDescent="0.25">
      <c r="A541" s="7" t="s">
        <v>595</v>
      </c>
      <c r="B541" s="8">
        <v>5</v>
      </c>
      <c r="C541" s="11">
        <v>3.1077887699499512E-3</v>
      </c>
      <c r="D541" s="12">
        <v>0.35118013100434403</v>
      </c>
      <c r="E541" t="s">
        <v>1238</v>
      </c>
      <c r="F541" s="8">
        <v>115</v>
      </c>
      <c r="G541" s="11">
        <v>3.28789484018956E-4</v>
      </c>
      <c r="H541" s="12">
        <v>0.95869999194598743</v>
      </c>
      <c r="I541" t="s">
        <v>1240</v>
      </c>
      <c r="J541" s="8">
        <v>5</v>
      </c>
      <c r="K541">
        <v>30</v>
      </c>
      <c r="L541" s="11">
        <v>3.1077887699499491E-3</v>
      </c>
      <c r="M541" s="12">
        <v>0.35118013100434387</v>
      </c>
      <c r="N541" t="s">
        <v>1238</v>
      </c>
      <c r="O541" t="s">
        <v>1254</v>
      </c>
      <c r="P541" s="23">
        <f>VLOOKUP(A541,вариация!A$2:G$805,2,FALSE)</f>
        <v>2.2360679774997898</v>
      </c>
      <c r="Q541" t="str">
        <f>IF(вариация!H542="Yes",IF(P544&lt;0.1,"X",IF(P544&lt;0.25,"Y","Z")),"")</f>
        <v/>
      </c>
      <c r="R541" t="str">
        <f>O541&amp;Q541</f>
        <v>ACA</v>
      </c>
    </row>
    <row r="542" spans="1:18" x14ac:dyDescent="0.25">
      <c r="A542" s="7" t="s">
        <v>1017</v>
      </c>
      <c r="B542" s="8">
        <v>1</v>
      </c>
      <c r="C542" s="11">
        <v>6.2155775398999025E-4</v>
      </c>
      <c r="D542" s="12">
        <v>0.89522963307177428</v>
      </c>
      <c r="E542" t="s">
        <v>1239</v>
      </c>
      <c r="F542" s="8">
        <v>271</v>
      </c>
      <c r="G542" s="11">
        <v>7.7479956668814851E-4</v>
      </c>
      <c r="H542" s="12">
        <v>0.8488379020702459</v>
      </c>
      <c r="I542" t="s">
        <v>1239</v>
      </c>
      <c r="J542" s="8">
        <v>5</v>
      </c>
      <c r="K542">
        <v>6</v>
      </c>
      <c r="L542" s="11">
        <v>6.2155775398998981E-4</v>
      </c>
      <c r="M542" s="12">
        <v>0.89522963307177417</v>
      </c>
      <c r="N542" t="s">
        <v>1239</v>
      </c>
      <c r="O542" t="s">
        <v>1256</v>
      </c>
      <c r="P542" s="23">
        <f>VLOOKUP(A542,вариация!A$2:G$805,2,FALSE)</f>
        <v>2.2360679774997894</v>
      </c>
      <c r="Q542" t="str">
        <f>IF(вариация!H543="Yes",IF(P545&lt;0.1,"X",IF(P545&lt;0.25,"Y","Z")),"")</f>
        <v/>
      </c>
      <c r="R542" t="str">
        <f>O542&amp;Q542</f>
        <v>BBB</v>
      </c>
    </row>
    <row r="543" spans="1:18" x14ac:dyDescent="0.25">
      <c r="A543" s="7" t="s">
        <v>705</v>
      </c>
      <c r="B543" s="8">
        <v>2</v>
      </c>
      <c r="C543" s="11">
        <v>1.2431155079799805E-3</v>
      </c>
      <c r="D543" s="12">
        <v>0.63833981334771706</v>
      </c>
      <c r="E543" t="s">
        <v>1238</v>
      </c>
      <c r="F543" s="8">
        <v>476</v>
      </c>
      <c r="G543" s="11">
        <v>1.360902559939331E-3</v>
      </c>
      <c r="H543" s="12">
        <v>0.65794891519323329</v>
      </c>
      <c r="I543" t="s">
        <v>1238</v>
      </c>
      <c r="J543" s="8">
        <v>5</v>
      </c>
      <c r="K543">
        <v>12</v>
      </c>
      <c r="L543" s="11">
        <v>1.2431155079799796E-3</v>
      </c>
      <c r="M543" s="12">
        <v>0.63833981334771694</v>
      </c>
      <c r="N543" t="s">
        <v>1238</v>
      </c>
      <c r="O543" t="s">
        <v>1252</v>
      </c>
      <c r="P543" s="23">
        <f>VLOOKUP(A543,вариация!A$2:G$805,2,FALSE)</f>
        <v>1.3693063937629151</v>
      </c>
      <c r="Q543" t="str">
        <f>IF(вариация!H544="Yes",IF(P546&lt;0.1,"X",IF(P546&lt;0.25,"Y","Z")),"")</f>
        <v/>
      </c>
      <c r="R543" t="str">
        <f>O543&amp;Q543</f>
        <v>AAA</v>
      </c>
    </row>
    <row r="544" spans="1:18" x14ac:dyDescent="0.25">
      <c r="A544" s="7" t="s">
        <v>437</v>
      </c>
      <c r="B544" s="8">
        <v>2</v>
      </c>
      <c r="C544" s="11">
        <v>1.2431155079799805E-3</v>
      </c>
      <c r="D544" s="12">
        <v>0.63958292885569701</v>
      </c>
      <c r="E544" t="s">
        <v>1238</v>
      </c>
      <c r="F544" s="8">
        <v>108</v>
      </c>
      <c r="G544" s="11">
        <v>3.0877621107867171E-4</v>
      </c>
      <c r="H544" s="12">
        <v>0.96311506290856386</v>
      </c>
      <c r="I544" t="s">
        <v>1240</v>
      </c>
      <c r="J544" s="8">
        <v>5</v>
      </c>
      <c r="K544">
        <v>12</v>
      </c>
      <c r="L544" s="11">
        <v>1.2431155079799796E-3</v>
      </c>
      <c r="M544" s="12">
        <v>0.6395829288556969</v>
      </c>
      <c r="N544" t="s">
        <v>1238</v>
      </c>
      <c r="O544" t="s">
        <v>1254</v>
      </c>
      <c r="P544" s="23">
        <f>VLOOKUP(A544,вариация!A$2:G$805,2,FALSE)</f>
        <v>2.2360679774997894</v>
      </c>
      <c r="Q544" t="str">
        <f>IF(вариация!H545="Yes",IF(P547&lt;0.1,"X",IF(P547&lt;0.25,"Y","Z")),"")</f>
        <v/>
      </c>
      <c r="R544" t="str">
        <f>O544&amp;Q544</f>
        <v>ACA</v>
      </c>
    </row>
    <row r="545" spans="1:18" x14ac:dyDescent="0.25">
      <c r="A545" s="7" t="s">
        <v>288</v>
      </c>
      <c r="B545" s="8">
        <v>3</v>
      </c>
      <c r="C545" s="11">
        <v>1.8646732619699705E-3</v>
      </c>
      <c r="D545" s="12">
        <v>0.48481504811219245</v>
      </c>
      <c r="E545" t="s">
        <v>1238</v>
      </c>
      <c r="F545" s="8">
        <v>370</v>
      </c>
      <c r="G545" s="11">
        <v>1.0578444268435976E-3</v>
      </c>
      <c r="H545" s="12">
        <v>0.75899779269841905</v>
      </c>
      <c r="I545" t="s">
        <v>1238</v>
      </c>
      <c r="J545" s="8">
        <v>5</v>
      </c>
      <c r="K545">
        <v>18</v>
      </c>
      <c r="L545" s="11">
        <v>1.8646732619699697E-3</v>
      </c>
      <c r="M545" s="12">
        <v>0.48481504811219228</v>
      </c>
      <c r="N545" t="s">
        <v>1238</v>
      </c>
      <c r="O545" t="s">
        <v>1252</v>
      </c>
      <c r="P545" s="23">
        <f>VLOOKUP(A545,вариация!A$2:G$805,2,FALSE)</f>
        <v>1.4907119849998598</v>
      </c>
      <c r="Q545" t="str">
        <f>IF(вариация!H546="Yes",IF(P548&lt;0.1,"X",IF(P548&lt;0.25,"Y","Z")),"")</f>
        <v/>
      </c>
      <c r="R545" t="str">
        <f>O545&amp;Q545</f>
        <v>AAA</v>
      </c>
    </row>
    <row r="546" spans="1:18" x14ac:dyDescent="0.25">
      <c r="A546" s="7" t="s">
        <v>132</v>
      </c>
      <c r="B546" s="8">
        <v>1</v>
      </c>
      <c r="C546" s="11">
        <v>6.2155775398999025E-4</v>
      </c>
      <c r="D546" s="12">
        <v>0.89585119082576425</v>
      </c>
      <c r="E546" t="s">
        <v>1239</v>
      </c>
      <c r="F546" s="8">
        <v>261</v>
      </c>
      <c r="G546" s="11">
        <v>7.4620917677345672E-4</v>
      </c>
      <c r="H546" s="12">
        <v>0.86023508933466875</v>
      </c>
      <c r="I546" t="s">
        <v>1239</v>
      </c>
      <c r="J546" s="8">
        <v>5</v>
      </c>
      <c r="K546">
        <v>6</v>
      </c>
      <c r="L546" s="11">
        <v>6.2155775398998981E-4</v>
      </c>
      <c r="M546" s="12">
        <v>0.89585119082576414</v>
      </c>
      <c r="N546" t="s">
        <v>1239</v>
      </c>
      <c r="O546" t="s">
        <v>1256</v>
      </c>
      <c r="P546" s="23">
        <f>VLOOKUP(A546,вариация!A$2:G$805,2,FALSE)</f>
        <v>2.2360679774997894</v>
      </c>
      <c r="Q546" t="str">
        <f>IF(вариация!H547="Yes",IF(P549&lt;0.1,"X",IF(P549&lt;0.25,"Y","Z")),"")</f>
        <v/>
      </c>
      <c r="R546" t="str">
        <f>O546&amp;Q546</f>
        <v>BBB</v>
      </c>
    </row>
    <row r="547" spans="1:18" x14ac:dyDescent="0.25">
      <c r="A547" s="7" t="s">
        <v>967</v>
      </c>
      <c r="B547" s="8">
        <v>2</v>
      </c>
      <c r="C547" s="11">
        <v>1.2431155079799805E-3</v>
      </c>
      <c r="D547" s="12">
        <v>0.64082604436367696</v>
      </c>
      <c r="E547" t="s">
        <v>1238</v>
      </c>
      <c r="F547" s="8">
        <v>48</v>
      </c>
      <c r="G547" s="11">
        <v>1.3723387159052076E-4</v>
      </c>
      <c r="H547" s="12">
        <v>0.99536246149542096</v>
      </c>
      <c r="I547" t="s">
        <v>1240</v>
      </c>
      <c r="J547" s="8">
        <v>5</v>
      </c>
      <c r="K547">
        <v>12</v>
      </c>
      <c r="L547" s="11">
        <v>1.2431155079799796E-3</v>
      </c>
      <c r="M547" s="12">
        <v>0.64082604436367685</v>
      </c>
      <c r="N547" t="s">
        <v>1238</v>
      </c>
      <c r="O547" t="s">
        <v>1254</v>
      </c>
      <c r="P547" s="23">
        <f>VLOOKUP(A547,вариация!A$2:G$805,2,FALSE)</f>
        <v>2.2360679774997894</v>
      </c>
      <c r="Q547" t="str">
        <f>IF(вариация!H548="Yes",IF(P550&lt;0.1,"X",IF(P550&lt;0.25,"Y","Z")),"")</f>
        <v/>
      </c>
      <c r="R547" t="str">
        <f>O547&amp;Q547</f>
        <v>ACA</v>
      </c>
    </row>
    <row r="548" spans="1:18" x14ac:dyDescent="0.25">
      <c r="A548" s="7" t="s">
        <v>899</v>
      </c>
      <c r="B548" s="8">
        <v>2</v>
      </c>
      <c r="C548" s="11">
        <v>1.2431155079799805E-3</v>
      </c>
      <c r="D548" s="12">
        <v>0.64206915987165691</v>
      </c>
      <c r="E548" t="s">
        <v>1238</v>
      </c>
      <c r="F548" s="8">
        <v>34</v>
      </c>
      <c r="G548" s="11">
        <v>9.7207325709952207E-5</v>
      </c>
      <c r="H548" s="12">
        <v>0.99835656720692512</v>
      </c>
      <c r="I548" t="s">
        <v>1240</v>
      </c>
      <c r="J548" s="8">
        <v>5</v>
      </c>
      <c r="K548">
        <v>12</v>
      </c>
      <c r="L548" s="11">
        <v>1.2431155079799796E-3</v>
      </c>
      <c r="M548" s="12">
        <v>0.6420691598716568</v>
      </c>
      <c r="N548" t="s">
        <v>1238</v>
      </c>
      <c r="O548" t="s">
        <v>1254</v>
      </c>
      <c r="P548" s="23">
        <f>VLOOKUP(A548,вариация!A$2:G$805,2,FALSE)</f>
        <v>2.2360679774997894</v>
      </c>
      <c r="Q548" t="str">
        <f>IF(вариация!H549="Yes",IF(P551&lt;0.1,"X",IF(P551&lt;0.25,"Y","Z")),"")</f>
        <v/>
      </c>
      <c r="R548" t="str">
        <f>O548&amp;Q548</f>
        <v>ACA</v>
      </c>
    </row>
    <row r="549" spans="1:18" x14ac:dyDescent="0.25">
      <c r="A549" s="7" t="s">
        <v>63</v>
      </c>
      <c r="B549" s="8">
        <v>1</v>
      </c>
      <c r="C549" s="11">
        <v>6.2155775398999025E-4</v>
      </c>
      <c r="D549" s="12">
        <v>0.89647274857975423</v>
      </c>
      <c r="E549" t="s">
        <v>1239</v>
      </c>
      <c r="F549" s="8">
        <v>70</v>
      </c>
      <c r="G549" s="11">
        <v>2.0013272940284279E-4</v>
      </c>
      <c r="H549" s="12">
        <v>0.98820879095590952</v>
      </c>
      <c r="I549" t="s">
        <v>1240</v>
      </c>
      <c r="J549" s="8">
        <v>5</v>
      </c>
      <c r="K549">
        <v>6</v>
      </c>
      <c r="L549" s="11">
        <v>6.2155775398998981E-4</v>
      </c>
      <c r="M549" s="12">
        <v>0.89647274857975412</v>
      </c>
      <c r="N549" t="s">
        <v>1239</v>
      </c>
      <c r="O549" t="s">
        <v>1257</v>
      </c>
      <c r="P549" s="23">
        <f>VLOOKUP(A549,вариация!A$2:G$805,2,FALSE)</f>
        <v>2.2360679774997894</v>
      </c>
      <c r="Q549" t="str">
        <f>IF(вариация!H550="Yes",IF(P552&lt;0.1,"X",IF(P552&lt;0.25,"Y","Z")),"")</f>
        <v/>
      </c>
      <c r="R549" t="str">
        <f>O549&amp;Q549</f>
        <v>BCB</v>
      </c>
    </row>
    <row r="550" spans="1:18" x14ac:dyDescent="0.25">
      <c r="A550" s="7" t="s">
        <v>701</v>
      </c>
      <c r="B550" s="8">
        <v>1</v>
      </c>
      <c r="C550" s="11">
        <v>6.2155775398999025E-4</v>
      </c>
      <c r="D550" s="12">
        <v>0.89709430633374421</v>
      </c>
      <c r="E550" t="s">
        <v>1239</v>
      </c>
      <c r="F550" s="8">
        <v>79</v>
      </c>
      <c r="G550" s="11">
        <v>2.2586408032606542E-4</v>
      </c>
      <c r="H550" s="12">
        <v>0.98200925080680768</v>
      </c>
      <c r="I550" t="s">
        <v>1240</v>
      </c>
      <c r="J550" s="8">
        <v>5</v>
      </c>
      <c r="K550">
        <v>6</v>
      </c>
      <c r="L550" s="11">
        <v>6.2155775398998981E-4</v>
      </c>
      <c r="M550" s="12">
        <v>0.8970943063337441</v>
      </c>
      <c r="N550" t="s">
        <v>1239</v>
      </c>
      <c r="O550" t="s">
        <v>1257</v>
      </c>
      <c r="P550" s="23">
        <f>VLOOKUP(A550,вариация!A$2:G$805,2,FALSE)</f>
        <v>2.2360679774997894</v>
      </c>
      <c r="Q550" t="str">
        <f>IF(вариация!H551="Yes",IF(P553&lt;0.1,"X",IF(P553&lt;0.25,"Y","Z")),"")</f>
        <v/>
      </c>
      <c r="R550" t="str">
        <f>O550&amp;Q550</f>
        <v>BCB</v>
      </c>
    </row>
    <row r="551" spans="1:18" x14ac:dyDescent="0.25">
      <c r="A551" s="7" t="s">
        <v>162</v>
      </c>
      <c r="B551" s="8">
        <v>2</v>
      </c>
      <c r="C551" s="11">
        <v>1.2431155079799805E-3</v>
      </c>
      <c r="D551" s="12">
        <v>0.64331227537963687</v>
      </c>
      <c r="E551" t="s">
        <v>1238</v>
      </c>
      <c r="F551" s="8">
        <v>1335.79</v>
      </c>
      <c r="G551" s="11">
        <v>3.8190756944146195E-3</v>
      </c>
      <c r="H551" s="12">
        <v>0.31767110732718834</v>
      </c>
      <c r="I551" t="s">
        <v>1238</v>
      </c>
      <c r="J551" s="8">
        <v>5</v>
      </c>
      <c r="K551">
        <v>12</v>
      </c>
      <c r="L551" s="11">
        <v>1.2431155079799796E-3</v>
      </c>
      <c r="M551" s="12">
        <v>0.64331227537963676</v>
      </c>
      <c r="N551" t="s">
        <v>1238</v>
      </c>
      <c r="O551" t="s">
        <v>1252</v>
      </c>
      <c r="P551" s="23">
        <f>VLOOKUP(A551,вариация!A$2:G$805,2,FALSE)</f>
        <v>1.3693063937629151</v>
      </c>
      <c r="Q551" t="str">
        <f>IF(вариация!H552="Yes",IF(P554&lt;0.1,"X",IF(P554&lt;0.25,"Y","Z")),"")</f>
        <v/>
      </c>
      <c r="R551" t="str">
        <f>O551&amp;Q551</f>
        <v>AAA</v>
      </c>
    </row>
    <row r="552" spans="1:18" x14ac:dyDescent="0.25">
      <c r="A552" s="7" t="s">
        <v>583</v>
      </c>
      <c r="B552" s="8">
        <v>1</v>
      </c>
      <c r="C552" s="11">
        <v>6.2155775398999025E-4</v>
      </c>
      <c r="D552" s="12">
        <v>0.89771586408773418</v>
      </c>
      <c r="E552" t="s">
        <v>1239</v>
      </c>
      <c r="F552" s="8">
        <v>47.24</v>
      </c>
      <c r="G552" s="11">
        <v>1.3506100195700421E-4</v>
      </c>
      <c r="H552" s="12">
        <v>0.995497522497378</v>
      </c>
      <c r="I552" t="s">
        <v>1240</v>
      </c>
      <c r="J552" s="8">
        <v>5</v>
      </c>
      <c r="K552">
        <v>6</v>
      </c>
      <c r="L552" s="11">
        <v>6.2155775398998981E-4</v>
      </c>
      <c r="M552" s="12">
        <v>0.89771586408773407</v>
      </c>
      <c r="N552" t="s">
        <v>1239</v>
      </c>
      <c r="O552" t="s">
        <v>1257</v>
      </c>
      <c r="P552" s="23">
        <f>VLOOKUP(A552,вариация!A$2:G$805,2,FALSE)</f>
        <v>2.2360679774997894</v>
      </c>
      <c r="Q552" t="str">
        <f>IF(вариация!H553="Yes",IF(P555&lt;0.1,"X",IF(P555&lt;0.25,"Y","Z")),"")</f>
        <v/>
      </c>
      <c r="R552" t="str">
        <f>O552&amp;Q552</f>
        <v>BCB</v>
      </c>
    </row>
    <row r="553" spans="1:18" x14ac:dyDescent="0.25">
      <c r="A553" s="7" t="s">
        <v>1061</v>
      </c>
      <c r="B553" s="8">
        <v>1</v>
      </c>
      <c r="C553" s="11">
        <v>6.2155775398999025E-4</v>
      </c>
      <c r="D553" s="12">
        <v>0.89833742184172416</v>
      </c>
      <c r="E553" t="s">
        <v>1239</v>
      </c>
      <c r="F553" s="8">
        <v>843</v>
      </c>
      <c r="G553" s="11">
        <v>2.410169869808521E-3</v>
      </c>
      <c r="H553" s="12">
        <v>0.4619751154407436</v>
      </c>
      <c r="I553" t="s">
        <v>1238</v>
      </c>
      <c r="J553" s="8">
        <v>5</v>
      </c>
      <c r="K553">
        <v>6</v>
      </c>
      <c r="L553" s="11">
        <v>6.2155775398998981E-4</v>
      </c>
      <c r="M553" s="12">
        <v>0.89833742184172405</v>
      </c>
      <c r="N553" t="s">
        <v>1239</v>
      </c>
      <c r="O553" t="s">
        <v>1255</v>
      </c>
      <c r="P553" s="23">
        <f>VLOOKUP(A553,вариация!A$2:G$805,2,FALSE)</f>
        <v>2.2360679774997894</v>
      </c>
      <c r="Q553" t="str">
        <f>IF(вариация!H554="Yes",IF(P556&lt;0.1,"X",IF(P556&lt;0.25,"Y","Z")),"")</f>
        <v/>
      </c>
      <c r="R553" t="str">
        <f>O553&amp;Q553</f>
        <v>BAB</v>
      </c>
    </row>
    <row r="554" spans="1:18" x14ac:dyDescent="0.25">
      <c r="A554" s="7" t="s">
        <v>354</v>
      </c>
      <c r="B554" s="8">
        <v>1</v>
      </c>
      <c r="C554" s="11">
        <v>6.2155775398999025E-4</v>
      </c>
      <c r="D554" s="12">
        <v>0.89895897959571414</v>
      </c>
      <c r="E554" t="s">
        <v>1239</v>
      </c>
      <c r="F554" s="8">
        <v>996.23</v>
      </c>
      <c r="G554" s="11">
        <v>2.848260414471344E-3</v>
      </c>
      <c r="H554" s="12">
        <v>0.41999156696050299</v>
      </c>
      <c r="I554" t="s">
        <v>1238</v>
      </c>
      <c r="J554" s="8">
        <v>5</v>
      </c>
      <c r="K554">
        <v>6</v>
      </c>
      <c r="L554" s="11">
        <v>6.2155775398998981E-4</v>
      </c>
      <c r="M554" s="12">
        <v>0.89895897959571403</v>
      </c>
      <c r="N554" t="s">
        <v>1239</v>
      </c>
      <c r="O554" t="s">
        <v>1255</v>
      </c>
      <c r="P554" s="23">
        <f>VLOOKUP(A554,вариация!A$2:G$805,2,FALSE)</f>
        <v>2.2360679774997894</v>
      </c>
      <c r="Q554" t="str">
        <f>IF(вариация!H555="Yes",IF(P557&lt;0.1,"X",IF(P557&lt;0.25,"Y","Z")),"")</f>
        <v/>
      </c>
      <c r="R554" t="str">
        <f>O554&amp;Q554</f>
        <v>BAB</v>
      </c>
    </row>
    <row r="555" spans="1:18" x14ac:dyDescent="0.25">
      <c r="A555" s="7" t="s">
        <v>1030</v>
      </c>
      <c r="B555" s="8">
        <v>1</v>
      </c>
      <c r="C555" s="11">
        <v>6.2155775398999025E-4</v>
      </c>
      <c r="D555" s="12">
        <v>0.89958053734970411</v>
      </c>
      <c r="E555" t="s">
        <v>1239</v>
      </c>
      <c r="F555" s="8">
        <v>452</v>
      </c>
      <c r="G555" s="11">
        <v>1.2922856241440706E-3</v>
      </c>
      <c r="H555" s="12">
        <v>0.68981862688548645</v>
      </c>
      <c r="I555" t="s">
        <v>1238</v>
      </c>
      <c r="J555" s="8">
        <v>5</v>
      </c>
      <c r="K555">
        <v>6</v>
      </c>
      <c r="L555" s="11">
        <v>6.2155775398998981E-4</v>
      </c>
      <c r="M555" s="12">
        <v>0.899580537349704</v>
      </c>
      <c r="N555" t="s">
        <v>1239</v>
      </c>
      <c r="O555" t="s">
        <v>1255</v>
      </c>
      <c r="P555" s="23">
        <f>VLOOKUP(A555,вариация!A$2:G$805,2,FALSE)</f>
        <v>2.2360679774997894</v>
      </c>
      <c r="Q555" t="str">
        <f>IF(вариация!H556="Yes",IF(P558&lt;0.1,"X",IF(P558&lt;0.25,"Y","Z")),"")</f>
        <v/>
      </c>
      <c r="R555" t="str">
        <f>O555&amp;Q555</f>
        <v>BAB</v>
      </c>
    </row>
    <row r="556" spans="1:18" x14ac:dyDescent="0.25">
      <c r="A556" s="7" t="s">
        <v>579</v>
      </c>
      <c r="B556" s="8">
        <v>1</v>
      </c>
      <c r="C556" s="11">
        <v>6.2155775398999025E-4</v>
      </c>
      <c r="D556" s="12">
        <v>0.90020209510369409</v>
      </c>
      <c r="E556" t="s">
        <v>1239</v>
      </c>
      <c r="F556" s="8">
        <v>532</v>
      </c>
      <c r="G556" s="11">
        <v>1.5210087434616051E-3</v>
      </c>
      <c r="H556" s="12">
        <v>0.63029056248863058</v>
      </c>
      <c r="I556" t="s">
        <v>1238</v>
      </c>
      <c r="J556" s="8">
        <v>5</v>
      </c>
      <c r="K556">
        <v>6</v>
      </c>
      <c r="L556" s="11">
        <v>6.2155775398998981E-4</v>
      </c>
      <c r="M556" s="12">
        <v>0.90020209510369398</v>
      </c>
      <c r="N556" t="s">
        <v>1239</v>
      </c>
      <c r="O556" t="s">
        <v>1255</v>
      </c>
      <c r="P556" s="23">
        <f>VLOOKUP(A556,вариация!A$2:G$805,2,FALSE)</f>
        <v>2.2360679774997894</v>
      </c>
      <c r="Q556" t="str">
        <f>IF(вариация!H557="Yes",IF(P559&lt;0.1,"X",IF(P559&lt;0.25,"Y","Z")),"")</f>
        <v/>
      </c>
      <c r="R556" t="str">
        <f>O556&amp;Q556</f>
        <v>BAB</v>
      </c>
    </row>
    <row r="557" spans="1:18" x14ac:dyDescent="0.25">
      <c r="A557" s="7" t="s">
        <v>1000</v>
      </c>
      <c r="B557" s="8">
        <v>1</v>
      </c>
      <c r="C557" s="11">
        <v>6.2155775398999025E-4</v>
      </c>
      <c r="D557" s="12">
        <v>0.90082365285768407</v>
      </c>
      <c r="E557" t="s">
        <v>1239</v>
      </c>
      <c r="F557" s="8">
        <v>128</v>
      </c>
      <c r="G557" s="11">
        <v>3.6595699090805539E-4</v>
      </c>
      <c r="H557" s="12">
        <v>0.94752440879379318</v>
      </c>
      <c r="I557" t="s">
        <v>1239</v>
      </c>
      <c r="J557" s="8">
        <v>5</v>
      </c>
      <c r="K557">
        <v>6</v>
      </c>
      <c r="L557" s="11">
        <v>6.2155775398998981E-4</v>
      </c>
      <c r="M557" s="12">
        <v>0.90082365285768395</v>
      </c>
      <c r="N557" t="s">
        <v>1239</v>
      </c>
      <c r="O557" t="s">
        <v>1256</v>
      </c>
      <c r="P557" s="23">
        <f>VLOOKUP(A557,вариация!A$2:G$805,2,FALSE)</f>
        <v>2.2360679774997894</v>
      </c>
      <c r="Q557" t="str">
        <f>IF(вариация!H558="Yes",IF(P560&lt;0.1,"X",IF(P560&lt;0.25,"Y","Z")),"")</f>
        <v/>
      </c>
      <c r="R557" t="str">
        <f>O557&amp;Q557</f>
        <v>BBB</v>
      </c>
    </row>
    <row r="558" spans="1:18" x14ac:dyDescent="0.25">
      <c r="A558" s="7" t="s">
        <v>1021</v>
      </c>
      <c r="B558" s="8">
        <v>0.33333332999999998</v>
      </c>
      <c r="C558" s="11">
        <v>2.0718591592480421E-4</v>
      </c>
      <c r="D558" s="12">
        <v>0.99687652441138486</v>
      </c>
      <c r="E558" t="s">
        <v>1240</v>
      </c>
      <c r="F558" s="8">
        <v>3355.0032987499999</v>
      </c>
      <c r="G558" s="11">
        <v>9.5920852476339812E-3</v>
      </c>
      <c r="H558" s="12">
        <v>9.8719766767694284E-2</v>
      </c>
      <c r="I558" t="s">
        <v>1238</v>
      </c>
      <c r="J558" s="8">
        <v>5</v>
      </c>
      <c r="K558">
        <v>1.9999999799999999</v>
      </c>
      <c r="L558" s="11">
        <v>2.071859159248041E-4</v>
      </c>
      <c r="M558" s="12">
        <v>0.99687652441138475</v>
      </c>
      <c r="N558" t="s">
        <v>1240</v>
      </c>
      <c r="O558" t="s">
        <v>1258</v>
      </c>
      <c r="P558" s="23">
        <f>VLOOKUP(A558,вариация!A$2:G$805,2,FALSE)</f>
        <v>2.2360679774997898</v>
      </c>
      <c r="Q558" t="str">
        <f>IF(вариация!H559="Yes",IF(P561&lt;0.1,"X",IF(P561&lt;0.25,"Y","Z")),"")</f>
        <v/>
      </c>
      <c r="R558" t="str">
        <f>O558&amp;Q558</f>
        <v>CAC</v>
      </c>
    </row>
    <row r="559" spans="1:18" x14ac:dyDescent="0.25">
      <c r="A559" s="7" t="s">
        <v>178</v>
      </c>
      <c r="B559" s="8">
        <v>1</v>
      </c>
      <c r="C559" s="11">
        <v>6.2155775398999025E-4</v>
      </c>
      <c r="D559" s="12">
        <v>0.90144521061167404</v>
      </c>
      <c r="E559" t="s">
        <v>1239</v>
      </c>
      <c r="F559" s="8">
        <v>357</v>
      </c>
      <c r="G559" s="11">
        <v>1.0206769199544983E-3</v>
      </c>
      <c r="H559" s="12">
        <v>0.77351125916921981</v>
      </c>
      <c r="I559" t="s">
        <v>1238</v>
      </c>
      <c r="J559" s="8">
        <v>5</v>
      </c>
      <c r="K559">
        <v>6</v>
      </c>
      <c r="L559" s="11">
        <v>6.2155775398998981E-4</v>
      </c>
      <c r="M559" s="12">
        <v>0.90144521061167393</v>
      </c>
      <c r="N559" t="s">
        <v>1239</v>
      </c>
      <c r="O559" t="s">
        <v>1255</v>
      </c>
      <c r="P559" s="23">
        <f>VLOOKUP(A559,вариация!A$2:G$805,2,FALSE)</f>
        <v>2.2360679774997894</v>
      </c>
      <c r="Q559" t="str">
        <f>IF(вариация!H560="Yes",IF(P562&lt;0.1,"X",IF(P562&lt;0.25,"Y","Z")),"")</f>
        <v/>
      </c>
      <c r="R559" t="str">
        <f>O559&amp;Q559</f>
        <v>BAB</v>
      </c>
    </row>
    <row r="560" spans="1:18" x14ac:dyDescent="0.25">
      <c r="A560" s="7" t="s">
        <v>909</v>
      </c>
      <c r="B560" s="8">
        <v>1</v>
      </c>
      <c r="C560" s="11">
        <v>6.2155775398999025E-4</v>
      </c>
      <c r="D560" s="12">
        <v>0.90206676836566402</v>
      </c>
      <c r="E560" t="s">
        <v>1239</v>
      </c>
      <c r="F560" s="8">
        <v>742</v>
      </c>
      <c r="G560" s="11">
        <v>2.1214069316701336E-3</v>
      </c>
      <c r="H560" s="12">
        <v>0.50032432030321061</v>
      </c>
      <c r="I560" t="s">
        <v>1238</v>
      </c>
      <c r="J560" s="8">
        <v>5</v>
      </c>
      <c r="K560">
        <v>6</v>
      </c>
      <c r="L560" s="11">
        <v>6.2155775398998981E-4</v>
      </c>
      <c r="M560" s="12">
        <v>0.90206676836566391</v>
      </c>
      <c r="N560" t="s">
        <v>1239</v>
      </c>
      <c r="O560" t="s">
        <v>1255</v>
      </c>
      <c r="P560" s="23">
        <f>VLOOKUP(A560,вариация!A$2:G$805,2,FALSE)</f>
        <v>2.2360679774997894</v>
      </c>
      <c r="Q560" t="str">
        <f>IF(вариация!H561="Yes",IF(P563&lt;0.1,"X",IF(P563&lt;0.25,"Y","Z")),"")</f>
        <v/>
      </c>
      <c r="R560" t="str">
        <f>O560&amp;Q560</f>
        <v>BAB</v>
      </c>
    </row>
    <row r="561" spans="1:18" x14ac:dyDescent="0.25">
      <c r="A561" s="7" t="s">
        <v>615</v>
      </c>
      <c r="B561" s="8">
        <v>2</v>
      </c>
      <c r="C561" s="11">
        <v>1.2431155079799805E-3</v>
      </c>
      <c r="D561" s="12">
        <v>0.64455539088761682</v>
      </c>
      <c r="E561" t="s">
        <v>1238</v>
      </c>
      <c r="F561" s="8">
        <v>64</v>
      </c>
      <c r="G561" s="11">
        <v>1.8297849545402769E-4</v>
      </c>
      <c r="H561" s="12">
        <v>0.99010559178440982</v>
      </c>
      <c r="I561" t="s">
        <v>1240</v>
      </c>
      <c r="J561" s="8">
        <v>5</v>
      </c>
      <c r="K561">
        <v>12</v>
      </c>
      <c r="L561" s="11">
        <v>1.2431155079799796E-3</v>
      </c>
      <c r="M561" s="12">
        <v>0.64455539088761671</v>
      </c>
      <c r="N561" t="s">
        <v>1238</v>
      </c>
      <c r="O561" t="s">
        <v>1254</v>
      </c>
      <c r="P561" s="23">
        <f>VLOOKUP(A561,вариация!A$2:G$805,2,FALSE)</f>
        <v>2.2360679774997894</v>
      </c>
      <c r="Q561" t="str">
        <f>IF(вариация!H562="Yes",IF(P564&lt;0.1,"X",IF(P564&lt;0.25,"Y","Z")),"")</f>
        <v/>
      </c>
      <c r="R561" t="str">
        <f>O561&amp;Q561</f>
        <v>ACA</v>
      </c>
    </row>
    <row r="562" spans="1:18" x14ac:dyDescent="0.25">
      <c r="A562" s="7" t="s">
        <v>785</v>
      </c>
      <c r="B562" s="8">
        <v>1</v>
      </c>
      <c r="C562" s="11">
        <v>6.2155775398999025E-4</v>
      </c>
      <c r="D562" s="12">
        <v>0.90268832611965399</v>
      </c>
      <c r="E562" t="s">
        <v>1239</v>
      </c>
      <c r="F562" s="8">
        <v>928</v>
      </c>
      <c r="G562" s="11">
        <v>2.6531881840834016E-3</v>
      </c>
      <c r="H562" s="12">
        <v>0.43917856807148337</v>
      </c>
      <c r="I562" t="s">
        <v>1238</v>
      </c>
      <c r="J562" s="8">
        <v>5</v>
      </c>
      <c r="K562">
        <v>6</v>
      </c>
      <c r="L562" s="11">
        <v>6.2155775398998981E-4</v>
      </c>
      <c r="M562" s="12">
        <v>0.90268832611965388</v>
      </c>
      <c r="N562" t="s">
        <v>1239</v>
      </c>
      <c r="O562" t="s">
        <v>1255</v>
      </c>
      <c r="P562" s="23">
        <f>VLOOKUP(A562,вариация!A$2:G$805,2,FALSE)</f>
        <v>2.2360679774997894</v>
      </c>
      <c r="Q562" t="str">
        <f>IF(вариация!H563="Yes",IF(P565&lt;0.1,"X",IF(P565&lt;0.25,"Y","Z")),"")</f>
        <v/>
      </c>
      <c r="R562" t="str">
        <f>O562&amp;Q562</f>
        <v>BAB</v>
      </c>
    </row>
    <row r="563" spans="1:18" x14ac:dyDescent="0.25">
      <c r="A563" s="7" t="s">
        <v>784</v>
      </c>
      <c r="B563" s="8">
        <v>2</v>
      </c>
      <c r="C563" s="11">
        <v>1.2431155079799805E-3</v>
      </c>
      <c r="D563" s="12">
        <v>0.64579850639559677</v>
      </c>
      <c r="E563" t="s">
        <v>1238</v>
      </c>
      <c r="F563" s="8">
        <v>1408</v>
      </c>
      <c r="G563" s="11">
        <v>4.0255268999886094E-3</v>
      </c>
      <c r="H563" s="12">
        <v>0.28630520329101566</v>
      </c>
      <c r="I563" t="s">
        <v>1238</v>
      </c>
      <c r="J563" s="8">
        <v>5</v>
      </c>
      <c r="K563">
        <v>12</v>
      </c>
      <c r="L563" s="11">
        <v>1.2431155079799796E-3</v>
      </c>
      <c r="M563" s="12">
        <v>0.64579850639559666</v>
      </c>
      <c r="N563" t="s">
        <v>1238</v>
      </c>
      <c r="O563" t="s">
        <v>1252</v>
      </c>
      <c r="P563" s="23">
        <f>VLOOKUP(A563,вариация!A$2:G$805,2,FALSE)</f>
        <v>2.2360679774997894</v>
      </c>
      <c r="Q563" t="str">
        <f>IF(вариация!H564="Yes",IF(P566&lt;0.1,"X",IF(P566&lt;0.25,"Y","Z")),"")</f>
        <v/>
      </c>
      <c r="R563" t="str">
        <f>O563&amp;Q563</f>
        <v>AAA</v>
      </c>
    </row>
    <row r="564" spans="1:18" x14ac:dyDescent="0.25">
      <c r="A564" s="7" t="s">
        <v>1141</v>
      </c>
      <c r="B564" s="8">
        <v>1</v>
      </c>
      <c r="C564" s="11">
        <v>6.2155775398999025E-4</v>
      </c>
      <c r="D564" s="12">
        <v>0.90330988387364397</v>
      </c>
      <c r="E564" t="s">
        <v>1239</v>
      </c>
      <c r="F564" s="8">
        <v>52</v>
      </c>
      <c r="G564" s="11">
        <v>1.4867002755639751E-4</v>
      </c>
      <c r="H564" s="12">
        <v>0.99407957021138205</v>
      </c>
      <c r="I564" t="s">
        <v>1240</v>
      </c>
      <c r="J564" s="8">
        <v>5</v>
      </c>
      <c r="K564">
        <v>6</v>
      </c>
      <c r="L564" s="11">
        <v>6.2155775398998981E-4</v>
      </c>
      <c r="M564" s="12">
        <v>0.90330988387364386</v>
      </c>
      <c r="N564" t="s">
        <v>1239</v>
      </c>
      <c r="O564" t="s">
        <v>1257</v>
      </c>
      <c r="P564" s="23">
        <f>VLOOKUP(A564,вариация!A$2:G$805,2,FALSE)</f>
        <v>2.2360679774997894</v>
      </c>
      <c r="Q564" t="str">
        <f>IF(вариация!H565="Yes",IF(P567&lt;0.1,"X",IF(P567&lt;0.25,"Y","Z")),"")</f>
        <v/>
      </c>
      <c r="R564" t="str">
        <f>O564&amp;Q564</f>
        <v>BCB</v>
      </c>
    </row>
    <row r="565" spans="1:18" x14ac:dyDescent="0.25">
      <c r="A565" s="7" t="s">
        <v>183</v>
      </c>
      <c r="B565" s="8">
        <v>1</v>
      </c>
      <c r="C565" s="11">
        <v>6.2155775398999025E-4</v>
      </c>
      <c r="D565" s="12">
        <v>0.90393144162763395</v>
      </c>
      <c r="E565" t="s">
        <v>1239</v>
      </c>
      <c r="F565" s="8">
        <v>651</v>
      </c>
      <c r="G565" s="11">
        <v>1.861234383446438E-3</v>
      </c>
      <c r="H565" s="12">
        <v>0.55314051032904155</v>
      </c>
      <c r="I565" t="s">
        <v>1238</v>
      </c>
      <c r="J565" s="8">
        <v>5</v>
      </c>
      <c r="K565">
        <v>6</v>
      </c>
      <c r="L565" s="11">
        <v>6.2155775398998981E-4</v>
      </c>
      <c r="M565" s="12">
        <v>0.90393144162763384</v>
      </c>
      <c r="N565" t="s">
        <v>1239</v>
      </c>
      <c r="O565" t="s">
        <v>1255</v>
      </c>
      <c r="P565" s="23">
        <f>VLOOKUP(A565,вариация!A$2:G$805,2,FALSE)</f>
        <v>2.2360679774997894</v>
      </c>
      <c r="Q565" t="str">
        <f>IF(вариация!H566="Yes",IF(P568&lt;0.1,"X",IF(P568&lt;0.25,"Y","Z")),"")</f>
        <v/>
      </c>
      <c r="R565" t="str">
        <f>O565&amp;Q565</f>
        <v>BAB</v>
      </c>
    </row>
    <row r="566" spans="1:18" x14ac:dyDescent="0.25">
      <c r="A566" s="7" t="s">
        <v>1024</v>
      </c>
      <c r="B566" s="8">
        <v>1</v>
      </c>
      <c r="C566" s="11">
        <v>6.2155775398999025E-4</v>
      </c>
      <c r="D566" s="12">
        <v>0.90455299938162392</v>
      </c>
      <c r="E566" t="s">
        <v>1239</v>
      </c>
      <c r="F566" s="8">
        <v>64</v>
      </c>
      <c r="G566" s="11">
        <v>1.8297849545402769E-4</v>
      </c>
      <c r="H566" s="12">
        <v>0.99028857027986383</v>
      </c>
      <c r="I566" t="s">
        <v>1240</v>
      </c>
      <c r="J566" s="8">
        <v>5</v>
      </c>
      <c r="K566">
        <v>6</v>
      </c>
      <c r="L566" s="11">
        <v>6.2155775398998981E-4</v>
      </c>
      <c r="M566" s="12">
        <v>0.90455299938162381</v>
      </c>
      <c r="N566" t="s">
        <v>1239</v>
      </c>
      <c r="O566" t="s">
        <v>1257</v>
      </c>
      <c r="P566" s="23">
        <f>VLOOKUP(A566,вариация!A$2:G$805,2,FALSE)</f>
        <v>2.2360679774997894</v>
      </c>
      <c r="Q566" t="str">
        <f>IF(вариация!H567="Yes",IF(P569&lt;0.1,"X",IF(P569&lt;0.25,"Y","Z")),"")</f>
        <v/>
      </c>
      <c r="R566" t="str">
        <f>O566&amp;Q566</f>
        <v>BCB</v>
      </c>
    </row>
    <row r="567" spans="1:18" x14ac:dyDescent="0.25">
      <c r="A567" s="7" t="s">
        <v>126</v>
      </c>
      <c r="B567" s="8">
        <v>1</v>
      </c>
      <c r="C567" s="11">
        <v>6.2155775398999025E-4</v>
      </c>
      <c r="D567" s="12">
        <v>0.9051745571356139</v>
      </c>
      <c r="E567" t="s">
        <v>1239</v>
      </c>
      <c r="F567" s="8">
        <v>124</v>
      </c>
      <c r="G567" s="11">
        <v>3.5452083494217864E-4</v>
      </c>
      <c r="H567" s="12">
        <v>0.95148406343541825</v>
      </c>
      <c r="I567" t="s">
        <v>1240</v>
      </c>
      <c r="J567" s="8">
        <v>5</v>
      </c>
      <c r="K567">
        <v>6</v>
      </c>
      <c r="L567" s="11">
        <v>6.2155775398998981E-4</v>
      </c>
      <c r="M567" s="12">
        <v>0.90517455713561379</v>
      </c>
      <c r="N567" t="s">
        <v>1239</v>
      </c>
      <c r="O567" t="s">
        <v>1257</v>
      </c>
      <c r="P567" s="23">
        <f>VLOOKUP(A567,вариация!A$2:G$805,2,FALSE)</f>
        <v>2.2360679774997894</v>
      </c>
      <c r="Q567" t="str">
        <f>IF(вариация!H568="Yes",IF(P570&lt;0.1,"X",IF(P570&lt;0.25,"Y","Z")),"")</f>
        <v/>
      </c>
      <c r="R567" t="str">
        <f>O567&amp;Q567</f>
        <v>BCB</v>
      </c>
    </row>
    <row r="568" spans="1:18" x14ac:dyDescent="0.25">
      <c r="A568" s="7" t="s">
        <v>510</v>
      </c>
      <c r="B568" s="8">
        <v>1</v>
      </c>
      <c r="C568" s="11">
        <v>6.2155775398999025E-4</v>
      </c>
      <c r="D568" s="12">
        <v>0.90579611488960388</v>
      </c>
      <c r="E568" t="s">
        <v>1239</v>
      </c>
      <c r="F568" s="8">
        <v>676</v>
      </c>
      <c r="G568" s="11">
        <v>1.9327103582331675E-3</v>
      </c>
      <c r="H568" s="12">
        <v>0.53420509504754243</v>
      </c>
      <c r="I568" t="s">
        <v>1238</v>
      </c>
      <c r="J568" s="8">
        <v>5</v>
      </c>
      <c r="K568">
        <v>6</v>
      </c>
      <c r="L568" s="11">
        <v>6.2155775398998981E-4</v>
      </c>
      <c r="M568" s="12">
        <v>0.90579611488960377</v>
      </c>
      <c r="N568" t="s">
        <v>1239</v>
      </c>
      <c r="O568" t="s">
        <v>1255</v>
      </c>
      <c r="P568" s="23">
        <f>VLOOKUP(A568,вариация!A$2:G$805,2,FALSE)</f>
        <v>2.2360679774997894</v>
      </c>
      <c r="Q568" t="str">
        <f>IF(вариация!H569="Yes",IF(P571&lt;0.1,"X",IF(P571&lt;0.25,"Y","Z")),"")</f>
        <v/>
      </c>
      <c r="R568" t="str">
        <f>O568&amp;Q568</f>
        <v>BAB</v>
      </c>
    </row>
    <row r="569" spans="1:18" x14ac:dyDescent="0.25">
      <c r="A569" s="7" t="s">
        <v>602</v>
      </c>
      <c r="B569" s="8">
        <v>1</v>
      </c>
      <c r="C569" s="11">
        <v>6.2155775398999025E-4</v>
      </c>
      <c r="D569" s="12">
        <v>0.90641767264359385</v>
      </c>
      <c r="E569" t="s">
        <v>1239</v>
      </c>
      <c r="F569" s="8">
        <v>255</v>
      </c>
      <c r="G569" s="11">
        <v>7.2905494282464163E-4</v>
      </c>
      <c r="H569" s="12">
        <v>0.86684232844395415</v>
      </c>
      <c r="I569" t="s">
        <v>1239</v>
      </c>
      <c r="J569" s="8">
        <v>5</v>
      </c>
      <c r="K569">
        <v>6</v>
      </c>
      <c r="L569" s="11">
        <v>6.2155775398998981E-4</v>
      </c>
      <c r="M569" s="12">
        <v>0.90641767264359374</v>
      </c>
      <c r="N569" t="s">
        <v>1239</v>
      </c>
      <c r="O569" t="s">
        <v>1256</v>
      </c>
      <c r="P569" s="23">
        <f>VLOOKUP(A569,вариация!A$2:G$805,2,FALSE)</f>
        <v>2.2360679774997894</v>
      </c>
      <c r="Q569" t="str">
        <f>IF(вариация!H570="Yes",IF(P572&lt;0.1,"X",IF(P572&lt;0.25,"Y","Z")),"")</f>
        <v/>
      </c>
      <c r="R569" t="str">
        <f>O569&amp;Q569</f>
        <v>BBB</v>
      </c>
    </row>
    <row r="570" spans="1:18" x14ac:dyDescent="0.25">
      <c r="A570" s="7" t="s">
        <v>898</v>
      </c>
      <c r="B570" s="8">
        <v>1</v>
      </c>
      <c r="C570" s="11">
        <v>6.2155775398999025E-4</v>
      </c>
      <c r="D570" s="12">
        <v>0.90703923039758383</v>
      </c>
      <c r="E570" t="s">
        <v>1239</v>
      </c>
      <c r="F570" s="8">
        <v>563</v>
      </c>
      <c r="G570" s="11">
        <v>1.6096389521971499E-3</v>
      </c>
      <c r="H570" s="12">
        <v>0.61318318818888573</v>
      </c>
      <c r="I570" t="s">
        <v>1238</v>
      </c>
      <c r="J570" s="8">
        <v>5</v>
      </c>
      <c r="K570">
        <v>6</v>
      </c>
      <c r="L570" s="11">
        <v>6.2155775398998981E-4</v>
      </c>
      <c r="M570" s="12">
        <v>0.90703923039758372</v>
      </c>
      <c r="N570" t="s">
        <v>1239</v>
      </c>
      <c r="O570" t="s">
        <v>1255</v>
      </c>
      <c r="P570" s="23">
        <f>VLOOKUP(A570,вариация!A$2:G$805,2,FALSE)</f>
        <v>2.2360679774997894</v>
      </c>
      <c r="Q570" t="str">
        <f>IF(вариация!H571="Yes",IF(P573&lt;0.1,"X",IF(P573&lt;0.25,"Y","Z")),"")</f>
        <v/>
      </c>
      <c r="R570" t="str">
        <f>O570&amp;Q570</f>
        <v>BAB</v>
      </c>
    </row>
    <row r="571" spans="1:18" x14ac:dyDescent="0.25">
      <c r="A571" s="7" t="s">
        <v>467</v>
      </c>
      <c r="B571" s="8">
        <v>1</v>
      </c>
      <c r="C571" s="11">
        <v>6.2155775398999025E-4</v>
      </c>
      <c r="D571" s="12">
        <v>0.90766078815157381</v>
      </c>
      <c r="E571" t="s">
        <v>1239</v>
      </c>
      <c r="F571" s="8">
        <v>378.65</v>
      </c>
      <c r="G571" s="11">
        <v>1.082575114119806E-3</v>
      </c>
      <c r="H571" s="12">
        <v>0.75256495496761333</v>
      </c>
      <c r="I571" t="s">
        <v>1238</v>
      </c>
      <c r="J571" s="8">
        <v>5</v>
      </c>
      <c r="K571">
        <v>6</v>
      </c>
      <c r="L571" s="11">
        <v>6.2155775398998981E-4</v>
      </c>
      <c r="M571" s="12">
        <v>0.90766078815157369</v>
      </c>
      <c r="N571" t="s">
        <v>1239</v>
      </c>
      <c r="O571" t="s">
        <v>1255</v>
      </c>
      <c r="P571" s="23">
        <f>VLOOKUP(A571,вариация!A$2:G$805,2,FALSE)</f>
        <v>2.2360679774997894</v>
      </c>
      <c r="Q571" t="str">
        <f>IF(вариация!H572="Yes",IF(P574&lt;0.1,"X",IF(P574&lt;0.25,"Y","Z")),"")</f>
        <v/>
      </c>
      <c r="R571" t="str">
        <f>O571&amp;Q571</f>
        <v>BAB</v>
      </c>
    </row>
    <row r="572" spans="1:18" x14ac:dyDescent="0.25">
      <c r="A572" s="7" t="s">
        <v>605</v>
      </c>
      <c r="B572" s="8">
        <v>0.5</v>
      </c>
      <c r="C572" s="11">
        <v>3.1077887699499512E-4</v>
      </c>
      <c r="D572" s="12">
        <v>0.99604778073525435</v>
      </c>
      <c r="E572" t="s">
        <v>1240</v>
      </c>
      <c r="F572" s="8">
        <v>324</v>
      </c>
      <c r="G572" s="11">
        <v>9.2632863323601519E-4</v>
      </c>
      <c r="H572" s="12">
        <v>0.80180668203116212</v>
      </c>
      <c r="I572" t="s">
        <v>1239</v>
      </c>
      <c r="J572" s="8">
        <v>5</v>
      </c>
      <c r="K572">
        <v>3</v>
      </c>
      <c r="L572" s="11">
        <v>3.1077887699499491E-4</v>
      </c>
      <c r="M572" s="12">
        <v>0.99604778073525424</v>
      </c>
      <c r="N572" t="s">
        <v>1240</v>
      </c>
      <c r="O572" t="s">
        <v>1259</v>
      </c>
      <c r="P572" s="23">
        <f>VLOOKUP(A572,вариация!A$2:G$805,2,FALSE)</f>
        <v>1.3693063937629151</v>
      </c>
      <c r="Q572" t="str">
        <f>IF(вариация!H573="Yes",IF(P575&lt;0.1,"X",IF(P575&lt;0.25,"Y","Z")),"")</f>
        <v/>
      </c>
      <c r="R572" t="str">
        <f>O572&amp;Q572</f>
        <v>CBC</v>
      </c>
    </row>
    <row r="573" spans="1:18" x14ac:dyDescent="0.25">
      <c r="A573" s="7" t="s">
        <v>250</v>
      </c>
      <c r="B573" s="8">
        <v>7</v>
      </c>
      <c r="C573" s="11">
        <v>4.3509042779299317E-3</v>
      </c>
      <c r="D573" s="12">
        <v>0.2622973721837758</v>
      </c>
      <c r="E573" t="s">
        <v>1238</v>
      </c>
      <c r="F573" s="8">
        <v>173</v>
      </c>
      <c r="G573" s="11">
        <v>4.9461374552416863E-4</v>
      </c>
      <c r="H573" s="12">
        <v>0.92053579547407227</v>
      </c>
      <c r="I573" t="s">
        <v>1239</v>
      </c>
      <c r="J573" s="8">
        <v>5</v>
      </c>
      <c r="K573">
        <v>42</v>
      </c>
      <c r="L573" s="11">
        <v>4.3509042779299291E-3</v>
      </c>
      <c r="M573" s="12">
        <v>0.26229737218377563</v>
      </c>
      <c r="N573" t="s">
        <v>1238</v>
      </c>
      <c r="O573" t="s">
        <v>1253</v>
      </c>
      <c r="P573" s="23">
        <f>VLOOKUP(A573,вариация!A$2:G$805,2,FALSE)</f>
        <v>0.63887656499993983</v>
      </c>
      <c r="Q573" t="str">
        <f>IF(вариация!H574="Yes",IF(P576&lt;0.1,"X",IF(P576&lt;0.25,"Y","Z")),"")</f>
        <v>Z</v>
      </c>
      <c r="R573" t="str">
        <f>O573&amp;Q573</f>
        <v>ABAZ</v>
      </c>
    </row>
    <row r="574" spans="1:18" x14ac:dyDescent="0.25">
      <c r="A574" s="7" t="s">
        <v>828</v>
      </c>
      <c r="B574" s="8">
        <v>6</v>
      </c>
      <c r="C574" s="11">
        <v>3.729346523939941E-3</v>
      </c>
      <c r="D574" s="12">
        <v>0.29834772191519515</v>
      </c>
      <c r="E574" t="s">
        <v>1238</v>
      </c>
      <c r="F574" s="8">
        <v>692</v>
      </c>
      <c r="G574" s="11">
        <v>1.9784549820966745E-3</v>
      </c>
      <c r="H574" s="12">
        <v>0.5186500168883903</v>
      </c>
      <c r="I574" t="s">
        <v>1238</v>
      </c>
      <c r="J574" s="8">
        <v>5</v>
      </c>
      <c r="K574">
        <v>36</v>
      </c>
      <c r="L574" s="11">
        <v>3.7293465239399393E-3</v>
      </c>
      <c r="M574" s="12">
        <v>0.29834772191519499</v>
      </c>
      <c r="N574" t="s">
        <v>1238</v>
      </c>
      <c r="O574" t="s">
        <v>1252</v>
      </c>
      <c r="P574" s="23">
        <f>VLOOKUP(A574,вариация!A$2:G$805,2,FALSE)</f>
        <v>1.0865337342004415</v>
      </c>
      <c r="Q574" t="str">
        <f>IF(вариация!H575="Yes",IF(P577&lt;0.1,"X",IF(P577&lt;0.25,"Y","Z")),"")</f>
        <v>Z</v>
      </c>
      <c r="R574" t="str">
        <f>O574&amp;Q574</f>
        <v>AAAZ</v>
      </c>
    </row>
    <row r="575" spans="1:18" x14ac:dyDescent="0.25">
      <c r="A575" s="7" t="s">
        <v>901</v>
      </c>
      <c r="B575" s="8">
        <v>1</v>
      </c>
      <c r="C575" s="11">
        <v>6.2155775398999025E-4</v>
      </c>
      <c r="D575" s="12">
        <v>0.90828234590556378</v>
      </c>
      <c r="E575" t="s">
        <v>1239</v>
      </c>
      <c r="F575" s="8">
        <v>532</v>
      </c>
      <c r="G575" s="11">
        <v>1.5210087434616051E-3</v>
      </c>
      <c r="H575" s="12">
        <v>0.6318115712320922</v>
      </c>
      <c r="I575" t="s">
        <v>1238</v>
      </c>
      <c r="J575" s="8">
        <v>5</v>
      </c>
      <c r="K575">
        <v>6</v>
      </c>
      <c r="L575" s="11">
        <v>6.2155775398998981E-4</v>
      </c>
      <c r="M575" s="12">
        <v>0.90828234590556367</v>
      </c>
      <c r="N575" t="s">
        <v>1239</v>
      </c>
      <c r="O575" t="s">
        <v>1255</v>
      </c>
      <c r="P575" s="23">
        <f>VLOOKUP(A575,вариация!A$2:G$805,2,FALSE)</f>
        <v>2.2360679774997894</v>
      </c>
      <c r="Q575" t="str">
        <f>IF(вариация!H576="Yes",IF(P578&lt;0.1,"X",IF(P578&lt;0.25,"Y","Z")),"")</f>
        <v/>
      </c>
      <c r="R575" t="str">
        <f>O575&amp;Q575</f>
        <v>BAB</v>
      </c>
    </row>
    <row r="576" spans="1:18" x14ac:dyDescent="0.25">
      <c r="A576" s="7" t="s">
        <v>152</v>
      </c>
      <c r="B576" s="8">
        <v>1</v>
      </c>
      <c r="C576" s="11">
        <v>6.2155775398999025E-4</v>
      </c>
      <c r="D576" s="12">
        <v>0.90890390365955376</v>
      </c>
      <c r="E576" t="s">
        <v>1239</v>
      </c>
      <c r="F576" s="8">
        <v>190</v>
      </c>
      <c r="G576" s="11">
        <v>5.4321740837914476E-4</v>
      </c>
      <c r="H576" s="12">
        <v>0.91234607827243019</v>
      </c>
      <c r="I576" t="s">
        <v>1239</v>
      </c>
      <c r="J576" s="8">
        <v>5</v>
      </c>
      <c r="K576">
        <v>6</v>
      </c>
      <c r="L576" s="11">
        <v>6.2155775398998981E-4</v>
      </c>
      <c r="M576" s="12">
        <v>0.90890390365955365</v>
      </c>
      <c r="N576" t="s">
        <v>1239</v>
      </c>
      <c r="O576" t="s">
        <v>1256</v>
      </c>
      <c r="P576" s="23">
        <f>VLOOKUP(A576,вариация!A$2:G$805,2,FALSE)</f>
        <v>2.2360679774997894</v>
      </c>
      <c r="Q576" t="str">
        <f>IF(вариация!H577="Yes",IF(P579&lt;0.1,"X",IF(P579&lt;0.25,"Y","Z")),"")</f>
        <v/>
      </c>
      <c r="R576" t="str">
        <f>O576&amp;Q576</f>
        <v>BBB</v>
      </c>
    </row>
    <row r="577" spans="1:18" x14ac:dyDescent="0.25">
      <c r="A577" s="7" t="s">
        <v>514</v>
      </c>
      <c r="B577" s="8">
        <v>1</v>
      </c>
      <c r="C577" s="11">
        <v>6.2155775398999025E-4</v>
      </c>
      <c r="D577" s="12">
        <v>0.90952546141354373</v>
      </c>
      <c r="E577" t="s">
        <v>1239</v>
      </c>
      <c r="F577" s="8">
        <v>49</v>
      </c>
      <c r="G577" s="11">
        <v>1.4009291058198996E-4</v>
      </c>
      <c r="H577" s="12">
        <v>0.99508513471324844</v>
      </c>
      <c r="I577" t="s">
        <v>1240</v>
      </c>
      <c r="J577" s="8">
        <v>5</v>
      </c>
      <c r="K577">
        <v>6</v>
      </c>
      <c r="L577" s="11">
        <v>6.2155775398998981E-4</v>
      </c>
      <c r="M577" s="12">
        <v>0.90952546141354362</v>
      </c>
      <c r="N577" t="s">
        <v>1239</v>
      </c>
      <c r="O577" t="s">
        <v>1257</v>
      </c>
      <c r="P577" s="23">
        <f>VLOOKUP(A577,вариация!A$2:G$805,2,FALSE)</f>
        <v>2.2360679774997894</v>
      </c>
      <c r="Q577" t="str">
        <f>IF(вариация!H578="Yes",IF(P580&lt;0.1,"X",IF(P580&lt;0.25,"Y","Z")),"")</f>
        <v/>
      </c>
      <c r="R577" t="str">
        <f>O577&amp;Q577</f>
        <v>BCB</v>
      </c>
    </row>
    <row r="578" spans="1:18" x14ac:dyDescent="0.25">
      <c r="A578" s="7" t="s">
        <v>1143</v>
      </c>
      <c r="B578" s="8">
        <v>13</v>
      </c>
      <c r="C578" s="11">
        <v>8.0802508018698732E-3</v>
      </c>
      <c r="D578" s="12">
        <v>0.16968526683926732</v>
      </c>
      <c r="E578" t="s">
        <v>1238</v>
      </c>
      <c r="F578" s="8">
        <v>1557</v>
      </c>
      <c r="G578" s="11">
        <v>4.4515237097175172E-3</v>
      </c>
      <c r="H578" s="12">
        <v>0.24461423927117346</v>
      </c>
      <c r="I578" t="s">
        <v>1238</v>
      </c>
      <c r="J578" s="8">
        <v>5</v>
      </c>
      <c r="K578">
        <v>78</v>
      </c>
      <c r="L578" s="11">
        <v>8.080250801869868E-3</v>
      </c>
      <c r="M578" s="12">
        <v>0.16968526683926718</v>
      </c>
      <c r="N578" t="s">
        <v>1238</v>
      </c>
      <c r="O578" t="s">
        <v>1252</v>
      </c>
      <c r="P578" s="23">
        <f>VLOOKUP(A578,вариация!A$2:G$805,2,FALSE)</f>
        <v>2.2360679774997894</v>
      </c>
      <c r="Q578" t="str">
        <f>IF(вариация!H579="Yes",IF(P581&lt;0.1,"X",IF(P581&lt;0.25,"Y","Z")),"")</f>
        <v/>
      </c>
      <c r="R578" t="str">
        <f>O578&amp;Q578</f>
        <v>AAA</v>
      </c>
    </row>
    <row r="579" spans="1:18" x14ac:dyDescent="0.25">
      <c r="A579" s="7" t="s">
        <v>1101</v>
      </c>
      <c r="B579" s="8">
        <v>2</v>
      </c>
      <c r="C579" s="11">
        <v>1.2431155079799805E-3</v>
      </c>
      <c r="D579" s="12">
        <v>0.64704162190357672</v>
      </c>
      <c r="E579" t="s">
        <v>1238</v>
      </c>
      <c r="F579" s="8">
        <v>336</v>
      </c>
      <c r="G579" s="11">
        <v>9.6063710113364537E-4</v>
      </c>
      <c r="H579" s="12">
        <v>0.7952316357009207</v>
      </c>
      <c r="I579" t="s">
        <v>1238</v>
      </c>
      <c r="J579" s="8">
        <v>5</v>
      </c>
      <c r="K579">
        <v>12</v>
      </c>
      <c r="L579" s="11">
        <v>1.2431155079799796E-3</v>
      </c>
      <c r="M579" s="12">
        <v>0.64704162190357661</v>
      </c>
      <c r="N579" t="s">
        <v>1238</v>
      </c>
      <c r="O579" t="s">
        <v>1252</v>
      </c>
      <c r="P579" s="23">
        <f>VLOOKUP(A579,вариация!A$2:G$805,2,FALSE)</f>
        <v>2.2360679774997894</v>
      </c>
      <c r="Q579" t="str">
        <f>IF(вариация!H580="Yes",IF(P582&lt;0.1,"X",IF(P582&lt;0.25,"Y","Z")),"")</f>
        <v/>
      </c>
      <c r="R579" t="str">
        <f>O579&amp;Q579</f>
        <v>AAA</v>
      </c>
    </row>
    <row r="580" spans="1:18" x14ac:dyDescent="0.25">
      <c r="A580" s="7" t="s">
        <v>164</v>
      </c>
      <c r="B580" s="8">
        <v>1</v>
      </c>
      <c r="C580" s="11">
        <v>6.2155775398999025E-4</v>
      </c>
      <c r="D580" s="12">
        <v>0.91014701916753371</v>
      </c>
      <c r="E580" t="s">
        <v>1239</v>
      </c>
      <c r="F580" s="8">
        <v>286.20999999999998</v>
      </c>
      <c r="G580" s="11">
        <v>8.1828554974839468E-4</v>
      </c>
      <c r="H580" s="12">
        <v>0.83061152846060404</v>
      </c>
      <c r="I580" t="s">
        <v>1239</v>
      </c>
      <c r="J580" s="8">
        <v>5</v>
      </c>
      <c r="K580">
        <v>6</v>
      </c>
      <c r="L580" s="11">
        <v>6.2155775398998981E-4</v>
      </c>
      <c r="M580" s="12">
        <v>0.9101470191675336</v>
      </c>
      <c r="N580" t="s">
        <v>1239</v>
      </c>
      <c r="O580" t="s">
        <v>1256</v>
      </c>
      <c r="P580" s="23">
        <f>VLOOKUP(A580,вариация!A$2:G$805,2,FALSE)</f>
        <v>2.2360679774997894</v>
      </c>
      <c r="Q580" t="str">
        <f>IF(вариация!H581="Yes",IF(P583&lt;0.1,"X",IF(P583&lt;0.25,"Y","Z")),"")</f>
        <v/>
      </c>
      <c r="R580" t="str">
        <f>O580&amp;Q580</f>
        <v>BBB</v>
      </c>
    </row>
    <row r="581" spans="1:18" x14ac:dyDescent="0.25">
      <c r="A581" s="7" t="s">
        <v>879</v>
      </c>
      <c r="B581" s="8">
        <v>0.1</v>
      </c>
      <c r="C581" s="11">
        <v>6.2155775398999027E-5</v>
      </c>
      <c r="D581" s="12">
        <v>0.99982714785288473</v>
      </c>
      <c r="E581" t="s">
        <v>1240</v>
      </c>
      <c r="F581" s="8">
        <v>75.900000000000006</v>
      </c>
      <c r="G581" s="11">
        <v>2.1700105945251098E-4</v>
      </c>
      <c r="H581" s="12">
        <v>0.98530257782108077</v>
      </c>
      <c r="I581" t="s">
        <v>1240</v>
      </c>
      <c r="J581" s="8">
        <v>5</v>
      </c>
      <c r="K581">
        <v>0.6</v>
      </c>
      <c r="L581" s="11">
        <v>6.2155775398998987E-5</v>
      </c>
      <c r="M581" s="12">
        <v>0.99982714785288462</v>
      </c>
      <c r="N581" t="s">
        <v>1240</v>
      </c>
      <c r="O581" t="s">
        <v>1260</v>
      </c>
      <c r="P581" s="23">
        <f>VLOOKUP(A581,вариация!A$2:G$805,2,FALSE)</f>
        <v>2.2360679774997898</v>
      </c>
      <c r="Q581" t="str">
        <f>IF(вариация!H582="Yes",IF(P584&lt;0.1,"X",IF(P584&lt;0.25,"Y","Z")),"")</f>
        <v/>
      </c>
      <c r="R581" t="str">
        <f>O581&amp;Q581</f>
        <v>CCC</v>
      </c>
    </row>
    <row r="582" spans="1:18" x14ac:dyDescent="0.25">
      <c r="A582" s="7" t="s">
        <v>1085</v>
      </c>
      <c r="B582" s="8">
        <v>0.33333332999999998</v>
      </c>
      <c r="C582" s="11">
        <v>2.0718591592480421E-4</v>
      </c>
      <c r="D582" s="12">
        <v>0.99708371032730969</v>
      </c>
      <c r="E582" t="s">
        <v>1240</v>
      </c>
      <c r="F582" s="8">
        <v>676.33332656999994</v>
      </c>
      <c r="G582" s="11">
        <v>1.9336633518936899E-3</v>
      </c>
      <c r="H582" s="12">
        <v>0.53227238468930926</v>
      </c>
      <c r="I582" t="s">
        <v>1238</v>
      </c>
      <c r="J582" s="8">
        <v>5</v>
      </c>
      <c r="K582">
        <v>1.9999999799999999</v>
      </c>
      <c r="L582" s="11">
        <v>2.071859159248041E-4</v>
      </c>
      <c r="M582" s="12">
        <v>0.99708371032730958</v>
      </c>
      <c r="N582" t="s">
        <v>1240</v>
      </c>
      <c r="O582" t="s">
        <v>1258</v>
      </c>
      <c r="P582" s="23">
        <f>VLOOKUP(A582,вариация!A$2:G$805,2,FALSE)</f>
        <v>2.2360679774997898</v>
      </c>
      <c r="Q582" t="str">
        <f>IF(вариация!H583="Yes",IF(P585&lt;0.1,"X",IF(P585&lt;0.25,"Y","Z")),"")</f>
        <v/>
      </c>
      <c r="R582" t="str">
        <f>O582&amp;Q582</f>
        <v>CAC</v>
      </c>
    </row>
    <row r="583" spans="1:18" x14ac:dyDescent="0.25">
      <c r="A583" s="7" t="s">
        <v>892</v>
      </c>
      <c r="B583" s="8">
        <v>1</v>
      </c>
      <c r="C583" s="11">
        <v>6.2155775398999025E-4</v>
      </c>
      <c r="D583" s="12">
        <v>0.91076857692152369</v>
      </c>
      <c r="E583" t="s">
        <v>1239</v>
      </c>
      <c r="F583" s="8">
        <v>658</v>
      </c>
      <c r="G583" s="11">
        <v>1.8812476563867223E-3</v>
      </c>
      <c r="H583" s="12">
        <v>0.54753965294475337</v>
      </c>
      <c r="I583" t="s">
        <v>1238</v>
      </c>
      <c r="J583" s="8">
        <v>5</v>
      </c>
      <c r="K583">
        <v>6</v>
      </c>
      <c r="L583" s="11">
        <v>6.2155775398998981E-4</v>
      </c>
      <c r="M583" s="12">
        <v>0.91076857692152358</v>
      </c>
      <c r="N583" t="s">
        <v>1239</v>
      </c>
      <c r="O583" t="s">
        <v>1255</v>
      </c>
      <c r="P583" s="23">
        <f>VLOOKUP(A583,вариация!A$2:G$805,2,FALSE)</f>
        <v>2.2360679774997894</v>
      </c>
      <c r="Q583" t="str">
        <f>IF(вариация!H584="Yes",IF(P586&lt;0.1,"X",IF(P586&lt;0.25,"Y","Z")),"")</f>
        <v/>
      </c>
      <c r="R583" t="str">
        <f>O583&amp;Q583</f>
        <v>BAB</v>
      </c>
    </row>
    <row r="584" spans="1:18" x14ac:dyDescent="0.25">
      <c r="A584" s="7" t="s">
        <v>1175</v>
      </c>
      <c r="B584" s="8">
        <v>2</v>
      </c>
      <c r="C584" s="11">
        <v>1.2431155079799805E-3</v>
      </c>
      <c r="D584" s="12">
        <v>0.64828473741155668</v>
      </c>
      <c r="E584" t="s">
        <v>1238</v>
      </c>
      <c r="F584" s="8">
        <v>1764</v>
      </c>
      <c r="G584" s="11">
        <v>5.0433447809516384E-3</v>
      </c>
      <c r="H584" s="12">
        <v>0.21149513159399447</v>
      </c>
      <c r="I584" t="s">
        <v>1238</v>
      </c>
      <c r="J584" s="8">
        <v>5</v>
      </c>
      <c r="K584">
        <v>12</v>
      </c>
      <c r="L584" s="11">
        <v>1.2431155079799796E-3</v>
      </c>
      <c r="M584" s="12">
        <v>0.64828473741155657</v>
      </c>
      <c r="N584" t="s">
        <v>1238</v>
      </c>
      <c r="O584" t="s">
        <v>1252</v>
      </c>
      <c r="P584" s="23">
        <f>VLOOKUP(A584,вариация!A$2:G$805,2,FALSE)</f>
        <v>2.2360679774997894</v>
      </c>
      <c r="Q584" t="str">
        <f>IF(вариация!H585="Yes",IF(P587&lt;0.1,"X",IF(P587&lt;0.25,"Y","Z")),"")</f>
        <v/>
      </c>
      <c r="R584" t="str">
        <f>O584&amp;Q584</f>
        <v>AAA</v>
      </c>
    </row>
    <row r="585" spans="1:18" x14ac:dyDescent="0.25">
      <c r="A585" s="7" t="s">
        <v>412</v>
      </c>
      <c r="B585" s="8">
        <v>1</v>
      </c>
      <c r="C585" s="11">
        <v>6.2155775398999025E-4</v>
      </c>
      <c r="D585" s="12">
        <v>0.91139013467551366</v>
      </c>
      <c r="E585" t="s">
        <v>1239</v>
      </c>
      <c r="F585" s="8">
        <v>759</v>
      </c>
      <c r="G585" s="11">
        <v>2.1700105945251097E-3</v>
      </c>
      <c r="H585" s="12">
        <v>0.49179437749474869</v>
      </c>
      <c r="I585" t="s">
        <v>1238</v>
      </c>
      <c r="J585" s="8">
        <v>5</v>
      </c>
      <c r="K585">
        <v>6</v>
      </c>
      <c r="L585" s="11">
        <v>6.2155775398998981E-4</v>
      </c>
      <c r="M585" s="12">
        <v>0.91139013467551355</v>
      </c>
      <c r="N585" t="s">
        <v>1239</v>
      </c>
      <c r="O585" t="s">
        <v>1255</v>
      </c>
      <c r="P585" s="23">
        <f>VLOOKUP(A585,вариация!A$2:G$805,2,FALSE)</f>
        <v>2.2360679774997894</v>
      </c>
      <c r="Q585" t="str">
        <f>IF(вариация!H586="Yes",IF(P588&lt;0.1,"X",IF(P588&lt;0.25,"Y","Z")),"")</f>
        <v/>
      </c>
      <c r="R585" t="str">
        <f>O585&amp;Q585</f>
        <v>BAB</v>
      </c>
    </row>
    <row r="586" spans="1:18" x14ac:dyDescent="0.25">
      <c r="A586" s="7" t="s">
        <v>1132</v>
      </c>
      <c r="B586" s="8">
        <v>1</v>
      </c>
      <c r="C586" s="11">
        <v>6.2155775398999025E-4</v>
      </c>
      <c r="D586" s="12">
        <v>0.91201169242950364</v>
      </c>
      <c r="E586" t="s">
        <v>1239</v>
      </c>
      <c r="F586" s="8">
        <v>257</v>
      </c>
      <c r="G586" s="11">
        <v>7.3477302080757992E-4</v>
      </c>
      <c r="H586" s="12">
        <v>0.86318847661285647</v>
      </c>
      <c r="I586" t="s">
        <v>1239</v>
      </c>
      <c r="J586" s="8">
        <v>5</v>
      </c>
      <c r="K586">
        <v>6</v>
      </c>
      <c r="L586" s="11">
        <v>6.2155775398998981E-4</v>
      </c>
      <c r="M586" s="12">
        <v>0.91201169242950353</v>
      </c>
      <c r="N586" t="s">
        <v>1239</v>
      </c>
      <c r="O586" t="s">
        <v>1256</v>
      </c>
      <c r="P586" s="23">
        <f>VLOOKUP(A586,вариация!A$2:G$805,2,FALSE)</f>
        <v>2.2360679774997894</v>
      </c>
      <c r="Q586" t="str">
        <f>IF(вариация!H587="Yes",IF(P589&lt;0.1,"X",IF(P589&lt;0.25,"Y","Z")),"")</f>
        <v/>
      </c>
      <c r="R586" t="str">
        <f>O586&amp;Q586</f>
        <v>BBB</v>
      </c>
    </row>
    <row r="587" spans="1:18" x14ac:dyDescent="0.25">
      <c r="A587" s="7" t="s">
        <v>630</v>
      </c>
      <c r="B587" s="8">
        <v>1</v>
      </c>
      <c r="C587" s="11">
        <v>6.2155775398999025E-4</v>
      </c>
      <c r="D587" s="12">
        <v>0.91263325018349362</v>
      </c>
      <c r="E587" t="s">
        <v>1239</v>
      </c>
      <c r="F587" s="8">
        <v>421</v>
      </c>
      <c r="G587" s="11">
        <v>1.2036554154085258E-3</v>
      </c>
      <c r="H587" s="12">
        <v>0.7160903361780967</v>
      </c>
      <c r="I587" t="s">
        <v>1238</v>
      </c>
      <c r="J587" s="8">
        <v>5</v>
      </c>
      <c r="K587">
        <v>6</v>
      </c>
      <c r="L587" s="11">
        <v>6.2155775398998981E-4</v>
      </c>
      <c r="M587" s="12">
        <v>0.91263325018349351</v>
      </c>
      <c r="N587" t="s">
        <v>1239</v>
      </c>
      <c r="O587" t="s">
        <v>1255</v>
      </c>
      <c r="P587" s="23">
        <f>VLOOKUP(A587,вариация!A$2:G$805,2,FALSE)</f>
        <v>2.2360679774997894</v>
      </c>
      <c r="Q587" t="str">
        <f>IF(вариация!H588="Yes",IF(P590&lt;0.1,"X",IF(P590&lt;0.25,"Y","Z")),"")</f>
        <v/>
      </c>
      <c r="R587" t="str">
        <f>O587&amp;Q587</f>
        <v>BAB</v>
      </c>
    </row>
    <row r="588" spans="1:18" x14ac:dyDescent="0.25">
      <c r="A588" s="7" t="s">
        <v>1209</v>
      </c>
      <c r="B588" s="8">
        <v>1</v>
      </c>
      <c r="C588" s="11">
        <v>6.2155775398999025E-4</v>
      </c>
      <c r="D588" s="12">
        <v>0.91325480793748359</v>
      </c>
      <c r="E588" t="s">
        <v>1239</v>
      </c>
      <c r="F588" s="8">
        <v>472</v>
      </c>
      <c r="G588" s="11">
        <v>1.3494664039734542E-3</v>
      </c>
      <c r="H588" s="12">
        <v>0.66336679813641342</v>
      </c>
      <c r="I588" t="s">
        <v>1238</v>
      </c>
      <c r="J588" s="8">
        <v>5</v>
      </c>
      <c r="K588">
        <v>6</v>
      </c>
      <c r="L588" s="11">
        <v>6.2155775398998981E-4</v>
      </c>
      <c r="M588" s="12">
        <v>0.91325480793748348</v>
      </c>
      <c r="N588" t="s">
        <v>1239</v>
      </c>
      <c r="O588" t="s">
        <v>1255</v>
      </c>
      <c r="P588" s="23">
        <f>VLOOKUP(A588,вариация!A$2:G$805,2,FALSE)</f>
        <v>2.2360679774997894</v>
      </c>
      <c r="Q588" t="str">
        <f>IF(вариация!H589="Yes",IF(P591&lt;0.1,"X",IF(P591&lt;0.25,"Y","Z")),"")</f>
        <v/>
      </c>
      <c r="R588" t="str">
        <f>O588&amp;Q588</f>
        <v>BAB</v>
      </c>
    </row>
    <row r="589" spans="1:18" x14ac:dyDescent="0.25">
      <c r="A589" s="7" t="s">
        <v>590</v>
      </c>
      <c r="B589" s="8">
        <v>3</v>
      </c>
      <c r="C589" s="11">
        <v>1.8646732619699705E-3</v>
      </c>
      <c r="D589" s="12">
        <v>0.48667972137416243</v>
      </c>
      <c r="E589" t="s">
        <v>1238</v>
      </c>
      <c r="F589" s="8">
        <v>93</v>
      </c>
      <c r="G589" s="11">
        <v>2.6589062620663398E-4</v>
      </c>
      <c r="H589" s="12">
        <v>0.97497950291536262</v>
      </c>
      <c r="I589" t="s">
        <v>1240</v>
      </c>
      <c r="J589" s="8">
        <v>5</v>
      </c>
      <c r="K589">
        <v>18</v>
      </c>
      <c r="L589" s="11">
        <v>1.8646732619699697E-3</v>
      </c>
      <c r="M589" s="12">
        <v>0.48667972137416227</v>
      </c>
      <c r="N589" t="s">
        <v>1238</v>
      </c>
      <c r="O589" t="s">
        <v>1254</v>
      </c>
      <c r="P589" s="23">
        <f>VLOOKUP(A589,вариация!A$2:G$805,2,FALSE)</f>
        <v>2.2360679774997898</v>
      </c>
      <c r="Q589" t="str">
        <f>IF(вариация!H590="Yes",IF(P592&lt;0.1,"X",IF(P592&lt;0.25,"Y","Z")),"")</f>
        <v/>
      </c>
      <c r="R589" t="str">
        <f>O589&amp;Q589</f>
        <v>ACA</v>
      </c>
    </row>
    <row r="590" spans="1:18" x14ac:dyDescent="0.25">
      <c r="A590" s="7" t="s">
        <v>1020</v>
      </c>
      <c r="B590" s="8">
        <v>2</v>
      </c>
      <c r="C590" s="11">
        <v>1.2431155079799805E-3</v>
      </c>
      <c r="D590" s="12">
        <v>0.64952785291953663</v>
      </c>
      <c r="E590" t="s">
        <v>1238</v>
      </c>
      <c r="F590" s="8">
        <v>180</v>
      </c>
      <c r="G590" s="11">
        <v>5.1462701846445287E-4</v>
      </c>
      <c r="H590" s="12">
        <v>0.9155367657869099</v>
      </c>
      <c r="I590" t="s">
        <v>1239</v>
      </c>
      <c r="J590" s="8">
        <v>5</v>
      </c>
      <c r="K590">
        <v>12</v>
      </c>
      <c r="L590" s="11">
        <v>1.2431155079799796E-3</v>
      </c>
      <c r="M590" s="12">
        <v>0.64952785291953652</v>
      </c>
      <c r="N590" t="s">
        <v>1238</v>
      </c>
      <c r="O590" t="s">
        <v>1253</v>
      </c>
      <c r="P590" s="23">
        <f>VLOOKUP(A590,вариация!A$2:G$805,2,FALSE)</f>
        <v>2.2360679774997894</v>
      </c>
      <c r="Q590" t="str">
        <f>IF(вариация!H591="Yes",IF(P593&lt;0.1,"X",IF(P593&lt;0.25,"Y","Z")),"")</f>
        <v/>
      </c>
      <c r="R590" t="str">
        <f>O590&amp;Q590</f>
        <v>ABA</v>
      </c>
    </row>
    <row r="591" spans="1:18" x14ac:dyDescent="0.25">
      <c r="A591" s="7" t="s">
        <v>763</v>
      </c>
      <c r="B591" s="8">
        <v>1</v>
      </c>
      <c r="C591" s="11">
        <v>6.2155775398999025E-4</v>
      </c>
      <c r="D591" s="12">
        <v>0.91387636569147357</v>
      </c>
      <c r="E591" t="s">
        <v>1239</v>
      </c>
      <c r="F591" s="8">
        <v>1086.3300002199999</v>
      </c>
      <c r="G591" s="11">
        <v>3.1058598282317053E-3</v>
      </c>
      <c r="H591" s="12">
        <v>0.37258727096244815</v>
      </c>
      <c r="I591" t="s">
        <v>1238</v>
      </c>
      <c r="J591" s="8">
        <v>5</v>
      </c>
      <c r="K591">
        <v>6</v>
      </c>
      <c r="L591" s="11">
        <v>6.2155775398998981E-4</v>
      </c>
      <c r="M591" s="12">
        <v>0.91387636569147346</v>
      </c>
      <c r="N591" t="s">
        <v>1239</v>
      </c>
      <c r="O591" t="s">
        <v>1255</v>
      </c>
      <c r="P591" s="23">
        <f>VLOOKUP(A591,вариация!A$2:G$805,2,FALSE)</f>
        <v>1.4907119896583345</v>
      </c>
      <c r="Q591" t="str">
        <f>IF(вариация!H592="Yes",IF(P594&lt;0.1,"X",IF(P594&lt;0.25,"Y","Z")),"")</f>
        <v/>
      </c>
      <c r="R591" t="str">
        <f>O591&amp;Q591</f>
        <v>BAB</v>
      </c>
    </row>
    <row r="592" spans="1:18" x14ac:dyDescent="0.25">
      <c r="A592" s="7" t="s">
        <v>1094</v>
      </c>
      <c r="B592" s="8">
        <v>1</v>
      </c>
      <c r="C592" s="11">
        <v>6.2155775398999025E-4</v>
      </c>
      <c r="D592" s="12">
        <v>0.91449792344546355</v>
      </c>
      <c r="E592" t="s">
        <v>1239</v>
      </c>
      <c r="F592" s="8">
        <v>94</v>
      </c>
      <c r="G592" s="11">
        <v>2.6874966519810318E-4</v>
      </c>
      <c r="H592" s="12">
        <v>0.97391594041053609</v>
      </c>
      <c r="I592" t="s">
        <v>1240</v>
      </c>
      <c r="J592" s="8">
        <v>5</v>
      </c>
      <c r="K592">
        <v>6</v>
      </c>
      <c r="L592" s="11">
        <v>6.2155775398998981E-4</v>
      </c>
      <c r="M592" s="12">
        <v>0.91449792344546343</v>
      </c>
      <c r="N592" t="s">
        <v>1239</v>
      </c>
      <c r="O592" t="s">
        <v>1257</v>
      </c>
      <c r="P592" s="23">
        <f>VLOOKUP(A592,вариация!A$2:G$805,2,FALSE)</f>
        <v>2.2360679774997894</v>
      </c>
      <c r="Q592" t="str">
        <f>IF(вариация!H593="Yes",IF(P595&lt;0.1,"X",IF(P595&lt;0.25,"Y","Z")),"")</f>
        <v/>
      </c>
      <c r="R592" t="str">
        <f>O592&amp;Q592</f>
        <v>BCB</v>
      </c>
    </row>
    <row r="593" spans="1:18" x14ac:dyDescent="0.25">
      <c r="A593" s="7" t="s">
        <v>695</v>
      </c>
      <c r="B593" s="8">
        <v>1</v>
      </c>
      <c r="C593" s="11">
        <v>6.2155775398999025E-4</v>
      </c>
      <c r="D593" s="12">
        <v>0.91511948119945352</v>
      </c>
      <c r="E593" t="s">
        <v>1239</v>
      </c>
      <c r="F593" s="8">
        <v>359</v>
      </c>
      <c r="G593" s="11">
        <v>1.0263949979374366E-3</v>
      </c>
      <c r="H593" s="12">
        <v>0.76942569245041048</v>
      </c>
      <c r="I593" t="s">
        <v>1238</v>
      </c>
      <c r="J593" s="8">
        <v>5</v>
      </c>
      <c r="K593">
        <v>6</v>
      </c>
      <c r="L593" s="11">
        <v>6.2155775398998981E-4</v>
      </c>
      <c r="M593" s="12">
        <v>0.91511948119945341</v>
      </c>
      <c r="N593" t="s">
        <v>1239</v>
      </c>
      <c r="O593" t="s">
        <v>1255</v>
      </c>
      <c r="P593" s="23">
        <f>VLOOKUP(A593,вариация!A$2:G$805,2,FALSE)</f>
        <v>2.2360679774997894</v>
      </c>
      <c r="Q593" t="str">
        <f>IF(вариация!H594="Yes",IF(P596&lt;0.1,"X",IF(P596&lt;0.25,"Y","Z")),"")</f>
        <v/>
      </c>
      <c r="R593" t="str">
        <f>O593&amp;Q593</f>
        <v>BAB</v>
      </c>
    </row>
    <row r="594" spans="1:18" x14ac:dyDescent="0.25">
      <c r="A594" s="7" t="s">
        <v>55</v>
      </c>
      <c r="B594" s="8">
        <v>3</v>
      </c>
      <c r="C594" s="11">
        <v>1.8646732619699705E-3</v>
      </c>
      <c r="D594" s="12">
        <v>0.48854439463613242</v>
      </c>
      <c r="E594" t="s">
        <v>1238</v>
      </c>
      <c r="F594" s="8">
        <v>263.37</v>
      </c>
      <c r="G594" s="11">
        <v>7.5298509918323862E-4</v>
      </c>
      <c r="H594" s="12">
        <v>0.85799074372636541</v>
      </c>
      <c r="I594" t="s">
        <v>1239</v>
      </c>
      <c r="J594" s="8">
        <v>5</v>
      </c>
      <c r="K594">
        <v>18</v>
      </c>
      <c r="L594" s="11">
        <v>1.8646732619699697E-3</v>
      </c>
      <c r="M594" s="12">
        <v>0.48854439463613225</v>
      </c>
      <c r="N594" t="s">
        <v>1238</v>
      </c>
      <c r="O594" t="s">
        <v>1253</v>
      </c>
      <c r="P594" s="23">
        <f>VLOOKUP(A594,вариация!A$2:G$805,2,FALSE)</f>
        <v>1.4907119849998598</v>
      </c>
      <c r="Q594" t="str">
        <f>IF(вариация!H595="Yes",IF(P597&lt;0.1,"X",IF(P597&lt;0.25,"Y","Z")),"")</f>
        <v/>
      </c>
      <c r="R594" t="str">
        <f>O594&amp;Q594</f>
        <v>ABA</v>
      </c>
    </row>
    <row r="595" spans="1:18" x14ac:dyDescent="0.25">
      <c r="A595" s="7" t="s">
        <v>617</v>
      </c>
      <c r="B595" s="8">
        <v>3</v>
      </c>
      <c r="C595" s="11">
        <v>1.8646732619699705E-3</v>
      </c>
      <c r="D595" s="12">
        <v>0.4904090678981024</v>
      </c>
      <c r="E595" t="s">
        <v>1238</v>
      </c>
      <c r="F595" s="8">
        <v>75</v>
      </c>
      <c r="G595" s="11">
        <v>2.1442792436018871E-4</v>
      </c>
      <c r="H595" s="12">
        <v>0.98551700574544099</v>
      </c>
      <c r="I595" t="s">
        <v>1240</v>
      </c>
      <c r="J595" s="8">
        <v>5</v>
      </c>
      <c r="K595">
        <v>18</v>
      </c>
      <c r="L595" s="11">
        <v>1.8646732619699697E-3</v>
      </c>
      <c r="M595" s="12">
        <v>0.49040906789810224</v>
      </c>
      <c r="N595" t="s">
        <v>1238</v>
      </c>
      <c r="O595" t="s">
        <v>1254</v>
      </c>
      <c r="P595" s="23">
        <f>VLOOKUP(A595,вариация!A$2:G$805,2,FALSE)</f>
        <v>1.4907119849998598</v>
      </c>
      <c r="Q595" t="str">
        <f>IF(вариация!H596="Yes",IF(P598&lt;0.1,"X",IF(P598&lt;0.25,"Y","Z")),"")</f>
        <v/>
      </c>
      <c r="R595" t="str">
        <f>O595&amp;Q595</f>
        <v>ACA</v>
      </c>
    </row>
    <row r="596" spans="1:18" x14ac:dyDescent="0.25">
      <c r="A596" s="7" t="s">
        <v>878</v>
      </c>
      <c r="B596" s="8">
        <v>1</v>
      </c>
      <c r="C596" s="11">
        <v>6.2155775398999025E-4</v>
      </c>
      <c r="D596" s="12">
        <v>0.9157410389534435</v>
      </c>
      <c r="E596" t="s">
        <v>1239</v>
      </c>
      <c r="F596" s="8">
        <v>101</v>
      </c>
      <c r="G596" s="11">
        <v>2.8876293813838747E-4</v>
      </c>
      <c r="H596" s="12">
        <v>0.96754314249855145</v>
      </c>
      <c r="I596" t="s">
        <v>1240</v>
      </c>
      <c r="J596" s="8">
        <v>5</v>
      </c>
      <c r="K596">
        <v>6</v>
      </c>
      <c r="L596" s="11">
        <v>6.2155775398998981E-4</v>
      </c>
      <c r="M596" s="12">
        <v>0.91574103895344339</v>
      </c>
      <c r="N596" t="s">
        <v>1239</v>
      </c>
      <c r="O596" t="s">
        <v>1257</v>
      </c>
      <c r="P596" s="23">
        <f>VLOOKUP(A596,вариация!A$2:G$805,2,FALSE)</f>
        <v>2.2360679774997894</v>
      </c>
      <c r="Q596" t="str">
        <f>IF(вариация!H597="Yes",IF(P599&lt;0.1,"X",IF(P599&lt;0.25,"Y","Z")),"")</f>
        <v/>
      </c>
      <c r="R596" t="str">
        <f>O596&amp;Q596</f>
        <v>BCB</v>
      </c>
    </row>
    <row r="597" spans="1:18" x14ac:dyDescent="0.25">
      <c r="A597" s="7" t="s">
        <v>676</v>
      </c>
      <c r="B597" s="8">
        <v>3</v>
      </c>
      <c r="C597" s="11">
        <v>1.8646732619699705E-3</v>
      </c>
      <c r="D597" s="12">
        <v>0.49227374116007239</v>
      </c>
      <c r="E597" t="s">
        <v>1238</v>
      </c>
      <c r="F597" s="8">
        <v>87.56</v>
      </c>
      <c r="G597" s="11">
        <v>2.5033745409304165E-4</v>
      </c>
      <c r="H597" s="12">
        <v>0.97705487931927038</v>
      </c>
      <c r="I597" t="s">
        <v>1240</v>
      </c>
      <c r="J597" s="8">
        <v>5</v>
      </c>
      <c r="K597">
        <v>18</v>
      </c>
      <c r="L597" s="11">
        <v>1.8646732619699697E-3</v>
      </c>
      <c r="M597" s="12">
        <v>0.49227374116007222</v>
      </c>
      <c r="N597" t="s">
        <v>1238</v>
      </c>
      <c r="O597" t="s">
        <v>1254</v>
      </c>
      <c r="P597" s="23">
        <f>VLOOKUP(A597,вариация!A$2:G$805,2,FALSE)</f>
        <v>1.4907119849998598</v>
      </c>
      <c r="Q597" t="str">
        <f>IF(вариация!H598="Yes",IF(P600&lt;0.1,"X",IF(P600&lt;0.25,"Y","Z")),"")</f>
        <v/>
      </c>
      <c r="R597" t="str">
        <f>O597&amp;Q597</f>
        <v>ACA</v>
      </c>
    </row>
    <row r="598" spans="1:18" x14ac:dyDescent="0.25">
      <c r="A598" s="7" t="s">
        <v>281</v>
      </c>
      <c r="B598" s="8">
        <v>3</v>
      </c>
      <c r="C598" s="11">
        <v>1.8646732619699705E-3</v>
      </c>
      <c r="D598" s="12">
        <v>0.49413841442204237</v>
      </c>
      <c r="E598" t="s">
        <v>1238</v>
      </c>
      <c r="F598" s="8">
        <v>290</v>
      </c>
      <c r="G598" s="11">
        <v>8.2912130752606293E-4</v>
      </c>
      <c r="H598" s="12">
        <v>0.82897269872030399</v>
      </c>
      <c r="I598" t="s">
        <v>1239</v>
      </c>
      <c r="J598" s="8">
        <v>5</v>
      </c>
      <c r="K598">
        <v>18</v>
      </c>
      <c r="L598" s="11">
        <v>1.8646732619699697E-3</v>
      </c>
      <c r="M598" s="12">
        <v>0.4941384144220422</v>
      </c>
      <c r="N598" t="s">
        <v>1238</v>
      </c>
      <c r="O598" t="s">
        <v>1253</v>
      </c>
      <c r="P598" s="23">
        <f>VLOOKUP(A598,вариация!A$2:G$805,2,FALSE)</f>
        <v>0.91287092917527679</v>
      </c>
      <c r="Q598" t="str">
        <f>IF(вариация!H599="Yes",IF(P601&lt;0.1,"X",IF(P601&lt;0.25,"Y","Z")),"")</f>
        <v>Z</v>
      </c>
      <c r="R598" t="str">
        <f>O598&amp;Q598</f>
        <v>ABAZ</v>
      </c>
    </row>
    <row r="599" spans="1:18" x14ac:dyDescent="0.25">
      <c r="A599" s="7" t="s">
        <v>134</v>
      </c>
      <c r="B599" s="8">
        <v>1</v>
      </c>
      <c r="C599" s="11">
        <v>6.2155775398999025E-4</v>
      </c>
      <c r="D599" s="12">
        <v>0.91636259670743347</v>
      </c>
      <c r="E599" t="s">
        <v>1239</v>
      </c>
      <c r="F599" s="8">
        <v>405</v>
      </c>
      <c r="G599" s="11">
        <v>1.157910791545019E-3</v>
      </c>
      <c r="H599" s="12">
        <v>0.72907037319936674</v>
      </c>
      <c r="I599" t="s">
        <v>1238</v>
      </c>
      <c r="J599" s="8">
        <v>5</v>
      </c>
      <c r="K599">
        <v>6</v>
      </c>
      <c r="L599" s="11">
        <v>6.2155775398998981E-4</v>
      </c>
      <c r="M599" s="12">
        <v>0.91636259670743336</v>
      </c>
      <c r="N599" t="s">
        <v>1239</v>
      </c>
      <c r="O599" t="s">
        <v>1255</v>
      </c>
      <c r="P599" s="23">
        <f>VLOOKUP(A599,вариация!A$2:G$805,2,FALSE)</f>
        <v>2.2360679774997894</v>
      </c>
      <c r="Q599" t="str">
        <f>IF(вариация!H600="Yes",IF(P602&lt;0.1,"X",IF(P602&lt;0.25,"Y","Z")),"")</f>
        <v/>
      </c>
      <c r="R599" t="str">
        <f>O599&amp;Q599</f>
        <v>BAB</v>
      </c>
    </row>
    <row r="600" spans="1:18" x14ac:dyDescent="0.25">
      <c r="A600" s="7" t="s">
        <v>1220</v>
      </c>
      <c r="B600" s="8">
        <v>0.33333333999999998</v>
      </c>
      <c r="C600" s="11">
        <v>2.0718592214038174E-4</v>
      </c>
      <c r="D600" s="12">
        <v>0.99646215257953519</v>
      </c>
      <c r="E600" t="s">
        <v>1240</v>
      </c>
      <c r="F600" s="8">
        <v>680.33334693999996</v>
      </c>
      <c r="G600" s="11">
        <v>1.9450995660981909E-3</v>
      </c>
      <c r="H600" s="12">
        <v>0.52645328734800889</v>
      </c>
      <c r="I600" t="s">
        <v>1238</v>
      </c>
      <c r="J600" s="8">
        <v>5</v>
      </c>
      <c r="K600">
        <v>2.0000000399999998</v>
      </c>
      <c r="L600" s="11">
        <v>2.0718592214038161E-4</v>
      </c>
      <c r="M600" s="12">
        <v>0.99646215257953508</v>
      </c>
      <c r="N600" t="s">
        <v>1240</v>
      </c>
      <c r="O600" t="s">
        <v>1258</v>
      </c>
      <c r="P600" s="23">
        <f>VLOOKUP(A600,вариация!A$2:G$805,2,FALSE)</f>
        <v>2.2360679774997894</v>
      </c>
      <c r="Q600" t="str">
        <f>IF(вариация!H601="Yes",IF(P603&lt;0.1,"X",IF(P603&lt;0.25,"Y","Z")),"")</f>
        <v/>
      </c>
      <c r="R600" t="str">
        <f>O600&amp;Q600</f>
        <v>CAC</v>
      </c>
    </row>
    <row r="601" spans="1:18" x14ac:dyDescent="0.25">
      <c r="A601" s="7" t="s">
        <v>816</v>
      </c>
      <c r="B601" s="8">
        <v>1</v>
      </c>
      <c r="C601" s="11">
        <v>6.2155775398999025E-4</v>
      </c>
      <c r="D601" s="12">
        <v>0.91698415446142345</v>
      </c>
      <c r="E601" t="s">
        <v>1239</v>
      </c>
      <c r="F601" s="8">
        <v>409</v>
      </c>
      <c r="G601" s="11">
        <v>1.1693469475108956E-3</v>
      </c>
      <c r="H601" s="12">
        <v>0.72674311546031078</v>
      </c>
      <c r="I601" t="s">
        <v>1238</v>
      </c>
      <c r="J601" s="8">
        <v>5</v>
      </c>
      <c r="K601">
        <v>6</v>
      </c>
      <c r="L601" s="11">
        <v>6.2155775398998981E-4</v>
      </c>
      <c r="M601" s="12">
        <v>0.91698415446142334</v>
      </c>
      <c r="N601" t="s">
        <v>1239</v>
      </c>
      <c r="O601" t="s">
        <v>1255</v>
      </c>
      <c r="P601" s="23">
        <f>VLOOKUP(A601,вариация!A$2:G$805,2,FALSE)</f>
        <v>2.2360679774997894</v>
      </c>
      <c r="Q601" t="str">
        <f>IF(вариация!H602="Yes",IF(P604&lt;0.1,"X",IF(P604&lt;0.25,"Y","Z")),"")</f>
        <v/>
      </c>
      <c r="R601" t="str">
        <f>O601&amp;Q601</f>
        <v>BAB</v>
      </c>
    </row>
    <row r="602" spans="1:18" x14ac:dyDescent="0.25">
      <c r="A602" s="7" t="s">
        <v>1092</v>
      </c>
      <c r="B602" s="8">
        <v>1</v>
      </c>
      <c r="C602" s="11">
        <v>6.2155775398999025E-4</v>
      </c>
      <c r="D602" s="12">
        <v>0.91760571221541343</v>
      </c>
      <c r="E602" t="s">
        <v>1239</v>
      </c>
      <c r="F602" s="8">
        <v>247</v>
      </c>
      <c r="G602" s="11">
        <v>7.0618263089288814E-4</v>
      </c>
      <c r="H602" s="12">
        <v>0.87187652430013307</v>
      </c>
      <c r="I602" t="s">
        <v>1239</v>
      </c>
      <c r="J602" s="8">
        <v>5</v>
      </c>
      <c r="K602">
        <v>6</v>
      </c>
      <c r="L602" s="11">
        <v>6.2155775398998981E-4</v>
      </c>
      <c r="M602" s="12">
        <v>0.91760571221541332</v>
      </c>
      <c r="N602" t="s">
        <v>1239</v>
      </c>
      <c r="O602" t="s">
        <v>1256</v>
      </c>
      <c r="P602" s="23">
        <f>VLOOKUP(A602,вариация!A$2:G$805,2,FALSE)</f>
        <v>2.2360679774997894</v>
      </c>
      <c r="Q602" t="str">
        <f>IF(вариация!H603="Yes",IF(P605&lt;0.1,"X",IF(P605&lt;0.25,"Y","Z")),"")</f>
        <v/>
      </c>
      <c r="R602" t="str">
        <f>O602&amp;Q602</f>
        <v>BBB</v>
      </c>
    </row>
    <row r="603" spans="1:18" x14ac:dyDescent="0.25">
      <c r="A603" s="7" t="s">
        <v>149</v>
      </c>
      <c r="B603" s="8">
        <v>3</v>
      </c>
      <c r="C603" s="11">
        <v>1.8646732619699705E-3</v>
      </c>
      <c r="D603" s="12">
        <v>0.49600308768401236</v>
      </c>
      <c r="E603" t="s">
        <v>1238</v>
      </c>
      <c r="F603" s="8">
        <v>295</v>
      </c>
      <c r="G603" s="11">
        <v>8.4341650248340888E-4</v>
      </c>
      <c r="H603" s="12">
        <v>0.82562762310028504</v>
      </c>
      <c r="I603" t="s">
        <v>1239</v>
      </c>
      <c r="J603" s="8">
        <v>5</v>
      </c>
      <c r="K603">
        <v>18</v>
      </c>
      <c r="L603" s="11">
        <v>1.8646732619699697E-3</v>
      </c>
      <c r="M603" s="12">
        <v>0.49600308768401219</v>
      </c>
      <c r="N603" t="s">
        <v>1238</v>
      </c>
      <c r="O603" t="s">
        <v>1253</v>
      </c>
      <c r="P603" s="23">
        <f>VLOOKUP(A603,вариация!A$2:G$805,2,FALSE)</f>
        <v>1.4907119849998598</v>
      </c>
      <c r="Q603" t="str">
        <f>IF(вариация!H604="Yes",IF(P606&lt;0.1,"X",IF(P606&lt;0.25,"Y","Z")),"")</f>
        <v/>
      </c>
      <c r="R603" t="str">
        <f>O603&amp;Q603</f>
        <v>ABA</v>
      </c>
    </row>
    <row r="604" spans="1:18" x14ac:dyDescent="0.25">
      <c r="A604" s="7" t="s">
        <v>1010</v>
      </c>
      <c r="B604" s="8">
        <v>1</v>
      </c>
      <c r="C604" s="11">
        <v>6.2155775398999025E-4</v>
      </c>
      <c r="D604" s="12">
        <v>0.9182272699694034</v>
      </c>
      <c r="E604" t="s">
        <v>1239</v>
      </c>
      <c r="F604" s="8">
        <v>76</v>
      </c>
      <c r="G604" s="11">
        <v>2.1728696335165788E-4</v>
      </c>
      <c r="H604" s="12">
        <v>0.98508557676162822</v>
      </c>
      <c r="I604" t="s">
        <v>1240</v>
      </c>
      <c r="J604" s="8">
        <v>5</v>
      </c>
      <c r="K604">
        <v>6</v>
      </c>
      <c r="L604" s="11">
        <v>6.2155775398998981E-4</v>
      </c>
      <c r="M604" s="12">
        <v>0.91822726996940329</v>
      </c>
      <c r="N604" t="s">
        <v>1239</v>
      </c>
      <c r="O604" t="s">
        <v>1257</v>
      </c>
      <c r="P604" s="23">
        <f>VLOOKUP(A604,вариация!A$2:G$805,2,FALSE)</f>
        <v>2.2360679774997894</v>
      </c>
      <c r="Q604" t="str">
        <f>IF(вариация!H605="Yes",IF(P607&lt;0.1,"X",IF(P607&lt;0.25,"Y","Z")),"")</f>
        <v/>
      </c>
      <c r="R604" t="str">
        <f>O604&amp;Q604</f>
        <v>BCB</v>
      </c>
    </row>
    <row r="605" spans="1:18" x14ac:dyDescent="0.25">
      <c r="A605" s="7" t="s">
        <v>271</v>
      </c>
      <c r="B605" s="8">
        <v>1</v>
      </c>
      <c r="C605" s="11">
        <v>6.2155775398999025E-4</v>
      </c>
      <c r="D605" s="12">
        <v>0.91884882772339338</v>
      </c>
      <c r="E605" t="s">
        <v>1239</v>
      </c>
      <c r="F605" s="8">
        <v>266</v>
      </c>
      <c r="G605" s="11">
        <v>7.6050437173080256E-4</v>
      </c>
      <c r="H605" s="12">
        <v>0.85496768166795578</v>
      </c>
      <c r="I605" t="s">
        <v>1239</v>
      </c>
      <c r="J605" s="8">
        <v>5</v>
      </c>
      <c r="K605">
        <v>6</v>
      </c>
      <c r="L605" s="11">
        <v>6.2155775398998981E-4</v>
      </c>
      <c r="M605" s="12">
        <v>0.91884882772339327</v>
      </c>
      <c r="N605" t="s">
        <v>1239</v>
      </c>
      <c r="O605" t="s">
        <v>1256</v>
      </c>
      <c r="P605" s="23">
        <f>VLOOKUP(A605,вариация!A$2:G$805,2,FALSE)</f>
        <v>2.2360679774997894</v>
      </c>
      <c r="Q605" t="str">
        <f>IF(вариация!H606="Yes",IF(P608&lt;0.1,"X",IF(P608&lt;0.25,"Y","Z")),"")</f>
        <v/>
      </c>
      <c r="R605" t="str">
        <f>O605&amp;Q605</f>
        <v>BBB</v>
      </c>
    </row>
    <row r="606" spans="1:18" x14ac:dyDescent="0.25">
      <c r="A606" s="7" t="s">
        <v>304</v>
      </c>
      <c r="B606" s="8">
        <v>3</v>
      </c>
      <c r="C606" s="11">
        <v>1.8646732619699705E-3</v>
      </c>
      <c r="D606" s="12">
        <v>0.49786776094598234</v>
      </c>
      <c r="E606" t="s">
        <v>1238</v>
      </c>
      <c r="F606" s="8">
        <v>203</v>
      </c>
      <c r="G606" s="11">
        <v>5.8038491526824409E-4</v>
      </c>
      <c r="H606" s="12">
        <v>0.90453935794466378</v>
      </c>
      <c r="I606" t="s">
        <v>1239</v>
      </c>
      <c r="J606" s="8">
        <v>5</v>
      </c>
      <c r="K606">
        <v>18</v>
      </c>
      <c r="L606" s="11">
        <v>1.8646732619699697E-3</v>
      </c>
      <c r="M606" s="12">
        <v>0.49786776094598217</v>
      </c>
      <c r="N606" t="s">
        <v>1238</v>
      </c>
      <c r="O606" t="s">
        <v>1253</v>
      </c>
      <c r="P606" s="23">
        <f>VLOOKUP(A606,вариация!A$2:G$805,2,FALSE)</f>
        <v>1.4907119849998598</v>
      </c>
      <c r="Q606" t="str">
        <f>IF(вариация!H607="Yes",IF(P609&lt;0.1,"X",IF(P609&lt;0.25,"Y","Z")),"")</f>
        <v/>
      </c>
      <c r="R606" t="str">
        <f>O606&amp;Q606</f>
        <v>ABA</v>
      </c>
    </row>
    <row r="607" spans="1:18" x14ac:dyDescent="0.25">
      <c r="A607" s="7" t="s">
        <v>968</v>
      </c>
      <c r="B607" s="8">
        <v>1</v>
      </c>
      <c r="C607" s="11">
        <v>6.2155775398999025E-4</v>
      </c>
      <c r="D607" s="12">
        <v>0.91947038547738336</v>
      </c>
      <c r="E607" t="s">
        <v>1239</v>
      </c>
      <c r="F607" s="8">
        <v>25</v>
      </c>
      <c r="G607" s="11">
        <v>7.1475974786729568E-5</v>
      </c>
      <c r="H607" s="12">
        <v>0.99959081433954255</v>
      </c>
      <c r="I607" t="s">
        <v>1240</v>
      </c>
      <c r="J607" s="8">
        <v>5</v>
      </c>
      <c r="K607">
        <v>6</v>
      </c>
      <c r="L607" s="11">
        <v>6.2155775398998981E-4</v>
      </c>
      <c r="M607" s="12">
        <v>0.91947038547738325</v>
      </c>
      <c r="N607" t="s">
        <v>1239</v>
      </c>
      <c r="O607" t="s">
        <v>1257</v>
      </c>
      <c r="P607" s="23">
        <f>VLOOKUP(A607,вариация!A$2:G$805,2,FALSE)</f>
        <v>2.2360679774997894</v>
      </c>
      <c r="Q607" t="str">
        <f>IF(вариация!H608="Yes",IF(P610&lt;0.1,"X",IF(P610&lt;0.25,"Y","Z")),"")</f>
        <v/>
      </c>
      <c r="R607" t="str">
        <f>O607&amp;Q607</f>
        <v>BCB</v>
      </c>
    </row>
    <row r="608" spans="1:18" x14ac:dyDescent="0.25">
      <c r="A608" s="7" t="s">
        <v>237</v>
      </c>
      <c r="B608" s="8">
        <v>3</v>
      </c>
      <c r="C608" s="11">
        <v>1.8646732619699705E-3</v>
      </c>
      <c r="D608" s="12">
        <v>0.49973243420795233</v>
      </c>
      <c r="E608" t="s">
        <v>1238</v>
      </c>
      <c r="F608" s="8">
        <v>65</v>
      </c>
      <c r="G608" s="11">
        <v>1.8583753444549687E-4</v>
      </c>
      <c r="H608" s="12">
        <v>0.98955539832089157</v>
      </c>
      <c r="I608" t="s">
        <v>1240</v>
      </c>
      <c r="J608" s="8">
        <v>5</v>
      </c>
      <c r="K608">
        <v>18</v>
      </c>
      <c r="L608" s="11">
        <v>1.8646732619699697E-3</v>
      </c>
      <c r="M608" s="12">
        <v>0.49973243420795216</v>
      </c>
      <c r="N608" t="s">
        <v>1238</v>
      </c>
      <c r="O608" t="s">
        <v>1254</v>
      </c>
      <c r="P608" s="23">
        <f>VLOOKUP(A608,вариация!A$2:G$805,2,FALSE)</f>
        <v>1.4907119849998598</v>
      </c>
      <c r="Q608" t="str">
        <f>IF(вариация!H609="Yes",IF(P611&lt;0.1,"X",IF(P611&lt;0.25,"Y","Z")),"")</f>
        <v/>
      </c>
      <c r="R608" t="str">
        <f>O608&amp;Q608</f>
        <v>ACA</v>
      </c>
    </row>
    <row r="609" spans="1:18" x14ac:dyDescent="0.25">
      <c r="A609" s="7" t="s">
        <v>267</v>
      </c>
      <c r="B609" s="8">
        <v>2</v>
      </c>
      <c r="C609" s="11">
        <v>1.2431155079799805E-3</v>
      </c>
      <c r="D609" s="12">
        <v>0.65077096842751658</v>
      </c>
      <c r="E609" t="s">
        <v>1238</v>
      </c>
      <c r="F609" s="8">
        <v>141</v>
      </c>
      <c r="G609" s="11">
        <v>4.0312449779715477E-4</v>
      </c>
      <c r="H609" s="12">
        <v>0.94023340191930826</v>
      </c>
      <c r="I609" t="s">
        <v>1239</v>
      </c>
      <c r="J609" s="8">
        <v>5</v>
      </c>
      <c r="K609">
        <v>12</v>
      </c>
      <c r="L609" s="11">
        <v>1.2431155079799796E-3</v>
      </c>
      <c r="M609" s="12">
        <v>0.65077096842751647</v>
      </c>
      <c r="N609" t="s">
        <v>1238</v>
      </c>
      <c r="O609" t="s">
        <v>1253</v>
      </c>
      <c r="P609" s="23">
        <f>VLOOKUP(A609,вариация!A$2:G$805,2,FALSE)</f>
        <v>2.2360679774997894</v>
      </c>
      <c r="Q609" t="str">
        <f>IF(вариация!H610="Yes",IF(P612&lt;0.1,"X",IF(P612&lt;0.25,"Y","Z")),"")</f>
        <v/>
      </c>
      <c r="R609" t="str">
        <f>O609&amp;Q609</f>
        <v>ABA</v>
      </c>
    </row>
    <row r="610" spans="1:18" x14ac:dyDescent="0.25">
      <c r="A610" s="7" t="s">
        <v>997</v>
      </c>
      <c r="B610" s="8">
        <v>2</v>
      </c>
      <c r="C610" s="11">
        <v>1.2431155079799805E-3</v>
      </c>
      <c r="D610" s="12">
        <v>0.65201408393549654</v>
      </c>
      <c r="E610" t="s">
        <v>1238</v>
      </c>
      <c r="F610" s="8">
        <v>78</v>
      </c>
      <c r="G610" s="11">
        <v>2.2300504133459625E-4</v>
      </c>
      <c r="H610" s="12">
        <v>0.9831242760134804</v>
      </c>
      <c r="I610" t="s">
        <v>1240</v>
      </c>
      <c r="J610" s="8">
        <v>5</v>
      </c>
      <c r="K610">
        <v>12</v>
      </c>
      <c r="L610" s="11">
        <v>1.2431155079799796E-3</v>
      </c>
      <c r="M610" s="12">
        <v>0.65201408393549642</v>
      </c>
      <c r="N610" t="s">
        <v>1238</v>
      </c>
      <c r="O610" t="s">
        <v>1254</v>
      </c>
      <c r="P610" s="23">
        <f>VLOOKUP(A610,вариация!A$2:G$805,2,FALSE)</f>
        <v>2.2360679774997894</v>
      </c>
      <c r="Q610" t="str">
        <f>IF(вариация!H611="Yes",IF(P613&lt;0.1,"X",IF(P613&lt;0.25,"Y","Z")),"")</f>
        <v/>
      </c>
      <c r="R610" t="str">
        <f>O610&amp;Q610</f>
        <v>ACA</v>
      </c>
    </row>
    <row r="611" spans="1:18" x14ac:dyDescent="0.25">
      <c r="A611" s="7" t="s">
        <v>406</v>
      </c>
      <c r="B611" s="8">
        <v>1</v>
      </c>
      <c r="C611" s="11">
        <v>6.2155775398999025E-4</v>
      </c>
      <c r="D611" s="12">
        <v>0.92009194323137333</v>
      </c>
      <c r="E611" t="s">
        <v>1239</v>
      </c>
      <c r="F611" s="8">
        <v>16</v>
      </c>
      <c r="G611" s="11">
        <v>4.5744623863506924E-5</v>
      </c>
      <c r="H611" s="12">
        <v>0.99988815439465528</v>
      </c>
      <c r="I611" t="s">
        <v>1240</v>
      </c>
      <c r="J611" s="8">
        <v>5</v>
      </c>
      <c r="K611">
        <v>6</v>
      </c>
      <c r="L611" s="11">
        <v>6.2155775398998981E-4</v>
      </c>
      <c r="M611" s="12">
        <v>0.92009194323137322</v>
      </c>
      <c r="N611" t="s">
        <v>1239</v>
      </c>
      <c r="O611" t="s">
        <v>1257</v>
      </c>
      <c r="P611" s="23">
        <f>VLOOKUP(A611,вариация!A$2:G$805,2,FALSE)</f>
        <v>2.2360679774997894</v>
      </c>
      <c r="Q611" t="str">
        <f>IF(вариация!H612="Yes",IF(P614&lt;0.1,"X",IF(P614&lt;0.25,"Y","Z")),"")</f>
        <v/>
      </c>
      <c r="R611" t="str">
        <f>O611&amp;Q611</f>
        <v>BCB</v>
      </c>
    </row>
    <row r="612" spans="1:18" x14ac:dyDescent="0.25">
      <c r="A612" s="7" t="s">
        <v>641</v>
      </c>
      <c r="B612" s="8">
        <v>3</v>
      </c>
      <c r="C612" s="11">
        <v>1.8646732619699705E-3</v>
      </c>
      <c r="D612" s="12">
        <v>0.50159710746992225</v>
      </c>
      <c r="E612" t="s">
        <v>1238</v>
      </c>
      <c r="F612" s="8">
        <v>173</v>
      </c>
      <c r="G612" s="11">
        <v>4.9461374552416863E-4</v>
      </c>
      <c r="H612" s="12">
        <v>0.92103040921959645</v>
      </c>
      <c r="I612" t="s">
        <v>1239</v>
      </c>
      <c r="J612" s="8">
        <v>5</v>
      </c>
      <c r="K612">
        <v>18</v>
      </c>
      <c r="L612" s="11">
        <v>1.8646732619699697E-3</v>
      </c>
      <c r="M612" s="12">
        <v>0.50159710746992214</v>
      </c>
      <c r="N612" t="s">
        <v>1238</v>
      </c>
      <c r="O612" t="s">
        <v>1253</v>
      </c>
      <c r="P612" s="23">
        <f>VLOOKUP(A612,вариация!A$2:G$805,2,FALSE)</f>
        <v>2.2360679774997898</v>
      </c>
      <c r="Q612" t="str">
        <f>IF(вариация!H613="Yes",IF(P615&lt;0.1,"X",IF(P615&lt;0.25,"Y","Z")),"")</f>
        <v/>
      </c>
      <c r="R612" t="str">
        <f>O612&amp;Q612</f>
        <v>ABA</v>
      </c>
    </row>
    <row r="613" spans="1:18" x14ac:dyDescent="0.25">
      <c r="A613" s="7" t="s">
        <v>265</v>
      </c>
      <c r="B613" s="8">
        <v>1</v>
      </c>
      <c r="C613" s="11">
        <v>6.2155775398999025E-4</v>
      </c>
      <c r="D613" s="12">
        <v>0.92071350098536331</v>
      </c>
      <c r="E613" t="s">
        <v>1239</v>
      </c>
      <c r="F613" s="8">
        <v>62</v>
      </c>
      <c r="G613" s="11">
        <v>1.7726041747108932E-4</v>
      </c>
      <c r="H613" s="12">
        <v>0.99136359753104619</v>
      </c>
      <c r="I613" t="s">
        <v>1240</v>
      </c>
      <c r="J613" s="8">
        <v>5</v>
      </c>
      <c r="K613">
        <v>6</v>
      </c>
      <c r="L613" s="11">
        <v>6.2155775398998981E-4</v>
      </c>
      <c r="M613" s="12">
        <v>0.9207135009853632</v>
      </c>
      <c r="N613" t="s">
        <v>1239</v>
      </c>
      <c r="O613" t="s">
        <v>1257</v>
      </c>
      <c r="P613" s="23">
        <f>VLOOKUP(A613,вариация!A$2:G$805,2,FALSE)</f>
        <v>2.2360679774997894</v>
      </c>
      <c r="Q613" t="str">
        <f>IF(вариация!H614="Yes",IF(P616&lt;0.1,"X",IF(P616&lt;0.25,"Y","Z")),"")</f>
        <v/>
      </c>
      <c r="R613" t="str">
        <f>O613&amp;Q613</f>
        <v>BCB</v>
      </c>
    </row>
    <row r="614" spans="1:18" x14ac:dyDescent="0.25">
      <c r="A614" s="7" t="s">
        <v>503</v>
      </c>
      <c r="B614" s="8">
        <v>1</v>
      </c>
      <c r="C614" s="11">
        <v>6.2155775398999025E-4</v>
      </c>
      <c r="D614" s="12">
        <v>0.92133505873935329</v>
      </c>
      <c r="E614" t="s">
        <v>1239</v>
      </c>
      <c r="F614" s="8">
        <v>108</v>
      </c>
      <c r="G614" s="11">
        <v>3.0877621107867171E-4</v>
      </c>
      <c r="H614" s="12">
        <v>0.96342383911964258</v>
      </c>
      <c r="I614" t="s">
        <v>1240</v>
      </c>
      <c r="J614" s="8">
        <v>5</v>
      </c>
      <c r="K614">
        <v>6</v>
      </c>
      <c r="L614" s="11">
        <v>6.2155775398998981E-4</v>
      </c>
      <c r="M614" s="12">
        <v>0.92133505873935317</v>
      </c>
      <c r="N614" t="s">
        <v>1239</v>
      </c>
      <c r="O614" t="s">
        <v>1257</v>
      </c>
      <c r="P614" s="23">
        <f>VLOOKUP(A614,вариация!A$2:G$805,2,FALSE)</f>
        <v>2.2360679774997894</v>
      </c>
      <c r="Q614" t="str">
        <f>IF(вариация!H615="Yes",IF(P617&lt;0.1,"X",IF(P617&lt;0.25,"Y","Z")),"")</f>
        <v/>
      </c>
      <c r="R614" t="str">
        <f>O614&amp;Q614</f>
        <v>BCB</v>
      </c>
    </row>
    <row r="615" spans="1:18" x14ac:dyDescent="0.25">
      <c r="A615" s="7" t="s">
        <v>403</v>
      </c>
      <c r="B615" s="8">
        <v>1</v>
      </c>
      <c r="C615" s="11">
        <v>6.2155775398999025E-4</v>
      </c>
      <c r="D615" s="12">
        <v>0.92195661649334326</v>
      </c>
      <c r="E615" t="s">
        <v>1239</v>
      </c>
      <c r="F615" s="8">
        <v>149</v>
      </c>
      <c r="G615" s="11">
        <v>4.2599680972890821E-4</v>
      </c>
      <c r="H615" s="12">
        <v>0.93571040223480395</v>
      </c>
      <c r="I615" t="s">
        <v>1239</v>
      </c>
      <c r="J615" s="8">
        <v>5</v>
      </c>
      <c r="K615">
        <v>6</v>
      </c>
      <c r="L615" s="11">
        <v>6.2155775398998981E-4</v>
      </c>
      <c r="M615" s="12">
        <v>0.92195661649334315</v>
      </c>
      <c r="N615" t="s">
        <v>1239</v>
      </c>
      <c r="O615" t="s">
        <v>1256</v>
      </c>
      <c r="P615" s="23">
        <f>VLOOKUP(A615,вариация!A$2:G$805,2,FALSE)</f>
        <v>2.2360679774997894</v>
      </c>
      <c r="Q615" t="str">
        <f>IF(вариация!H616="Yes",IF(P618&lt;0.1,"X",IF(P618&lt;0.25,"Y","Z")),"")</f>
        <v/>
      </c>
      <c r="R615" t="str">
        <f>O615&amp;Q615</f>
        <v>BBB</v>
      </c>
    </row>
    <row r="616" spans="1:18" x14ac:dyDescent="0.25">
      <c r="A616" s="7" t="s">
        <v>430</v>
      </c>
      <c r="B616" s="8">
        <v>1</v>
      </c>
      <c r="C616" s="11">
        <v>6.2155775398999025E-4</v>
      </c>
      <c r="D616" s="12">
        <v>0.92257817424733324</v>
      </c>
      <c r="E616" t="s">
        <v>1239</v>
      </c>
      <c r="F616" s="8">
        <v>585</v>
      </c>
      <c r="G616" s="11">
        <v>1.6725378100094718E-3</v>
      </c>
      <c r="H616" s="12">
        <v>0.60006591729602521</v>
      </c>
      <c r="I616" t="s">
        <v>1238</v>
      </c>
      <c r="J616" s="8">
        <v>5</v>
      </c>
      <c r="K616">
        <v>6</v>
      </c>
      <c r="L616" s="11">
        <v>6.2155775398998981E-4</v>
      </c>
      <c r="M616" s="12">
        <v>0.92257817424733313</v>
      </c>
      <c r="N616" t="s">
        <v>1239</v>
      </c>
      <c r="O616" t="s">
        <v>1255</v>
      </c>
      <c r="P616" s="23">
        <f>VLOOKUP(A616,вариация!A$2:G$805,2,FALSE)</f>
        <v>2.2360679774997894</v>
      </c>
      <c r="Q616" t="str">
        <f>IF(вариация!H617="Yes",IF(P619&lt;0.1,"X",IF(P619&lt;0.25,"Y","Z")),"")</f>
        <v/>
      </c>
      <c r="R616" t="str">
        <f>O616&amp;Q616</f>
        <v>BAB</v>
      </c>
    </row>
    <row r="617" spans="1:18" x14ac:dyDescent="0.25">
      <c r="A617" s="7" t="s">
        <v>434</v>
      </c>
      <c r="B617" s="8">
        <v>3</v>
      </c>
      <c r="C617" s="11">
        <v>1.8646732619699705E-3</v>
      </c>
      <c r="D617" s="12">
        <v>0.50346178073189218</v>
      </c>
      <c r="E617" t="s">
        <v>1238</v>
      </c>
      <c r="F617" s="8">
        <v>465</v>
      </c>
      <c r="G617" s="11">
        <v>1.32945313103317E-3</v>
      </c>
      <c r="H617" s="12">
        <v>0.67539191613453275</v>
      </c>
      <c r="I617" t="s">
        <v>1238</v>
      </c>
      <c r="J617" s="8">
        <v>5</v>
      </c>
      <c r="K617">
        <v>18</v>
      </c>
      <c r="L617" s="11">
        <v>1.8646732619699697E-3</v>
      </c>
      <c r="M617" s="12">
        <v>0.50346178073189207</v>
      </c>
      <c r="N617" t="s">
        <v>1238</v>
      </c>
      <c r="O617" t="s">
        <v>1252</v>
      </c>
      <c r="P617" s="23">
        <f>VLOOKUP(A617,вариация!A$2:G$805,2,FALSE)</f>
        <v>2.2360679774997898</v>
      </c>
      <c r="Q617" t="str">
        <f>IF(вариация!H618="Yes",IF(P620&lt;0.1,"X",IF(P620&lt;0.25,"Y","Z")),"")</f>
        <v/>
      </c>
      <c r="R617" t="str">
        <f>O617&amp;Q617</f>
        <v>AAA</v>
      </c>
    </row>
    <row r="618" spans="1:18" x14ac:dyDescent="0.25">
      <c r="A618" s="7" t="s">
        <v>176</v>
      </c>
      <c r="B618" s="8">
        <v>6</v>
      </c>
      <c r="C618" s="11">
        <v>3.729346523939941E-3</v>
      </c>
      <c r="D618" s="12">
        <v>0.30207706843913507</v>
      </c>
      <c r="E618" t="s">
        <v>1238</v>
      </c>
      <c r="F618" s="8">
        <v>214.97</v>
      </c>
      <c r="G618" s="11">
        <v>6.1460761199613018E-4</v>
      </c>
      <c r="H618" s="12">
        <v>0.89441996097669818</v>
      </c>
      <c r="I618" t="s">
        <v>1239</v>
      </c>
      <c r="J618" s="8">
        <v>5</v>
      </c>
      <c r="K618">
        <v>36</v>
      </c>
      <c r="L618" s="11">
        <v>3.7293465239399393E-3</v>
      </c>
      <c r="M618" s="12">
        <v>0.3020770684391349</v>
      </c>
      <c r="N618" t="s">
        <v>1238</v>
      </c>
      <c r="O618" t="s">
        <v>1253</v>
      </c>
      <c r="P618" s="23">
        <f>VLOOKUP(A618,вариация!A$2:G$805,2,FALSE)</f>
        <v>1.0865337342004415</v>
      </c>
      <c r="Q618" t="str">
        <f>IF(вариация!H619="Yes",IF(P621&lt;0.1,"X",IF(P621&lt;0.25,"Y","Z")),"")</f>
        <v>Z</v>
      </c>
      <c r="R618" t="str">
        <f>O618&amp;Q618</f>
        <v>ABAZ</v>
      </c>
    </row>
    <row r="619" spans="1:18" x14ac:dyDescent="0.25">
      <c r="A619" s="7" t="s">
        <v>859</v>
      </c>
      <c r="B619" s="8">
        <v>1</v>
      </c>
      <c r="C619" s="11">
        <v>6.2155775398999025E-4</v>
      </c>
      <c r="D619" s="12">
        <v>0.92319973200132321</v>
      </c>
      <c r="E619" t="s">
        <v>1239</v>
      </c>
      <c r="F619" s="8">
        <v>44</v>
      </c>
      <c r="G619" s="11">
        <v>1.2579771562464404E-4</v>
      </c>
      <c r="H619" s="12">
        <v>0.99600357239886794</v>
      </c>
      <c r="I619" t="s">
        <v>1240</v>
      </c>
      <c r="J619" s="8">
        <v>5</v>
      </c>
      <c r="K619">
        <v>6</v>
      </c>
      <c r="L619" s="11">
        <v>6.2155775398998981E-4</v>
      </c>
      <c r="M619" s="12">
        <v>0.9231997320013231</v>
      </c>
      <c r="N619" t="s">
        <v>1239</v>
      </c>
      <c r="O619" t="s">
        <v>1257</v>
      </c>
      <c r="P619" s="23">
        <f>VLOOKUP(A619,вариация!A$2:G$805,2,FALSE)</f>
        <v>2.2360679774997894</v>
      </c>
      <c r="Q619" t="str">
        <f>IF(вариация!H620="Yes",IF(P622&lt;0.1,"X",IF(P622&lt;0.25,"Y","Z")),"")</f>
        <v/>
      </c>
      <c r="R619" t="str">
        <f>O619&amp;Q619</f>
        <v>BCB</v>
      </c>
    </row>
    <row r="620" spans="1:18" x14ac:dyDescent="0.25">
      <c r="A620" s="7" t="s">
        <v>960</v>
      </c>
      <c r="B620" s="8">
        <v>0.28000000000000003</v>
      </c>
      <c r="C620" s="11">
        <v>1.7403617111719726E-4</v>
      </c>
      <c r="D620" s="12">
        <v>0.9980657715723984</v>
      </c>
      <c r="E620" t="s">
        <v>1240</v>
      </c>
      <c r="F620" s="8">
        <v>163</v>
      </c>
      <c r="G620" s="11">
        <v>4.660233556094768E-4</v>
      </c>
      <c r="H620" s="12">
        <v>0.9267999499043813</v>
      </c>
      <c r="I620" t="s">
        <v>1239</v>
      </c>
      <c r="J620" s="8">
        <v>5</v>
      </c>
      <c r="K620">
        <v>1.6800000000000002</v>
      </c>
      <c r="L620" s="11">
        <v>1.7403617111719718E-4</v>
      </c>
      <c r="M620" s="12">
        <v>0.99806577157239829</v>
      </c>
      <c r="N620" t="s">
        <v>1240</v>
      </c>
      <c r="O620" t="s">
        <v>1259</v>
      </c>
      <c r="P620" s="23">
        <f>VLOOKUP(A620,вариация!A$2:G$805,2,FALSE)</f>
        <v>2.2360679774997894</v>
      </c>
      <c r="Q620" t="str">
        <f>IF(вариация!H621="Yes",IF(P623&lt;0.1,"X",IF(P623&lt;0.25,"Y","Z")),"")</f>
        <v/>
      </c>
      <c r="R620" t="str">
        <f>O620&amp;Q620</f>
        <v>CBC</v>
      </c>
    </row>
    <row r="621" spans="1:18" x14ac:dyDescent="0.25">
      <c r="A621" s="7" t="s">
        <v>1218</v>
      </c>
      <c r="B621" s="8">
        <v>0.33333332999999998</v>
      </c>
      <c r="C621" s="11">
        <v>2.0718591592480421E-4</v>
      </c>
      <c r="D621" s="12">
        <v>0.99729089624323453</v>
      </c>
      <c r="E621" t="s">
        <v>1240</v>
      </c>
      <c r="F621" s="8">
        <v>919.99998977999996</v>
      </c>
      <c r="G621" s="11">
        <v>2.6303158429322694E-3</v>
      </c>
      <c r="H621" s="12">
        <v>0.44180888391441564</v>
      </c>
      <c r="I621" t="s">
        <v>1238</v>
      </c>
      <c r="J621" s="8">
        <v>5</v>
      </c>
      <c r="K621">
        <v>1.9999999799999999</v>
      </c>
      <c r="L621" s="11">
        <v>2.071859159248041E-4</v>
      </c>
      <c r="M621" s="12">
        <v>0.99729089624323441</v>
      </c>
      <c r="N621" t="s">
        <v>1240</v>
      </c>
      <c r="O621" t="s">
        <v>1258</v>
      </c>
      <c r="P621" s="23">
        <f>VLOOKUP(A621,вариация!A$2:G$805,2,FALSE)</f>
        <v>2.2360679774997898</v>
      </c>
      <c r="Q621" t="str">
        <f>IF(вариация!H622="Yes",IF(P624&lt;0.1,"X",IF(P624&lt;0.25,"Y","Z")),"")</f>
        <v/>
      </c>
      <c r="R621" t="str">
        <f>O621&amp;Q621</f>
        <v>CAC</v>
      </c>
    </row>
    <row r="622" spans="1:18" x14ac:dyDescent="0.25">
      <c r="A622" s="7" t="s">
        <v>921</v>
      </c>
      <c r="B622" s="8">
        <v>0.33333332999999998</v>
      </c>
      <c r="C622" s="11">
        <v>2.0718591592480421E-4</v>
      </c>
      <c r="D622" s="12">
        <v>0.99749808215915936</v>
      </c>
      <c r="E622" t="s">
        <v>1240</v>
      </c>
      <c r="F622" s="8">
        <v>964.99665594999999</v>
      </c>
      <c r="G622" s="11">
        <v>2.7589630659984217E-3</v>
      </c>
      <c r="H622" s="12">
        <v>0.42837711876171275</v>
      </c>
      <c r="I622" t="s">
        <v>1238</v>
      </c>
      <c r="J622" s="8">
        <v>5</v>
      </c>
      <c r="K622">
        <v>1.9999999799999999</v>
      </c>
      <c r="L622" s="11">
        <v>2.071859159248041E-4</v>
      </c>
      <c r="M622" s="12">
        <v>0.99749808215915925</v>
      </c>
      <c r="N622" t="s">
        <v>1240</v>
      </c>
      <c r="O622" t="s">
        <v>1258</v>
      </c>
      <c r="P622" s="23">
        <f>VLOOKUP(A622,вариация!A$2:G$805,2,FALSE)</f>
        <v>2.2360679774997898</v>
      </c>
      <c r="Q622" t="str">
        <f>IF(вариация!H623="Yes",IF(P625&lt;0.1,"X",IF(P625&lt;0.25,"Y","Z")),"")</f>
        <v/>
      </c>
      <c r="R622" t="str">
        <f>O622&amp;Q622</f>
        <v>CAC</v>
      </c>
    </row>
    <row r="623" spans="1:18" x14ac:dyDescent="0.25">
      <c r="A623" s="7" t="s">
        <v>1041</v>
      </c>
      <c r="B623" s="8">
        <v>1</v>
      </c>
      <c r="C623" s="11">
        <v>6.2155775398999025E-4</v>
      </c>
      <c r="D623" s="12">
        <v>0.92382128975531319</v>
      </c>
      <c r="E623" t="s">
        <v>1239</v>
      </c>
      <c r="F623" s="8">
        <v>1033</v>
      </c>
      <c r="G623" s="11">
        <v>2.9533872781876656E-3</v>
      </c>
      <c r="H623" s="12">
        <v>0.39971772120653615</v>
      </c>
      <c r="I623" t="s">
        <v>1238</v>
      </c>
      <c r="J623" s="8">
        <v>5</v>
      </c>
      <c r="K623">
        <v>6</v>
      </c>
      <c r="L623" s="11">
        <v>6.2155775398998981E-4</v>
      </c>
      <c r="M623" s="12">
        <v>0.92382128975531308</v>
      </c>
      <c r="N623" t="s">
        <v>1239</v>
      </c>
      <c r="O623" t="s">
        <v>1255</v>
      </c>
      <c r="P623" s="23">
        <f>VLOOKUP(A623,вариация!A$2:G$805,2,FALSE)</f>
        <v>2.2360679774997894</v>
      </c>
      <c r="Q623" t="str">
        <f>IF(вариация!H624="Yes",IF(P626&lt;0.1,"X",IF(P626&lt;0.25,"Y","Z")),"")</f>
        <v/>
      </c>
      <c r="R623" t="str">
        <f>O623&amp;Q623</f>
        <v>BAB</v>
      </c>
    </row>
    <row r="624" spans="1:18" x14ac:dyDescent="0.25">
      <c r="A624" s="7" t="s">
        <v>1089</v>
      </c>
      <c r="B624" s="8">
        <v>2</v>
      </c>
      <c r="C624" s="11">
        <v>1.2431155079799805E-3</v>
      </c>
      <c r="D624" s="12">
        <v>0.65325719944347649</v>
      </c>
      <c r="E624" t="s">
        <v>1238</v>
      </c>
      <c r="F624" s="8">
        <v>72</v>
      </c>
      <c r="G624" s="11">
        <v>2.0585080738578116E-4</v>
      </c>
      <c r="H624" s="12">
        <v>0.98739682388233219</v>
      </c>
      <c r="I624" t="s">
        <v>1240</v>
      </c>
      <c r="J624" s="8">
        <v>5</v>
      </c>
      <c r="K624">
        <v>12</v>
      </c>
      <c r="L624" s="11">
        <v>1.2431155079799796E-3</v>
      </c>
      <c r="M624" s="12">
        <v>0.65325719944347638</v>
      </c>
      <c r="N624" t="s">
        <v>1238</v>
      </c>
      <c r="O624" t="s">
        <v>1254</v>
      </c>
      <c r="P624" s="23">
        <f>VLOOKUP(A624,вариация!A$2:G$805,2,FALSE)</f>
        <v>2.2360679774997894</v>
      </c>
      <c r="Q624" t="str">
        <f>IF(вариация!H625="Yes",IF(P627&lt;0.1,"X",IF(P627&lt;0.25,"Y","Z")),"")</f>
        <v/>
      </c>
      <c r="R624" t="str">
        <f>O624&amp;Q624</f>
        <v>ACA</v>
      </c>
    </row>
    <row r="625" spans="1:18" x14ac:dyDescent="0.25">
      <c r="A625" s="7" t="s">
        <v>340</v>
      </c>
      <c r="B625" s="8">
        <v>2</v>
      </c>
      <c r="C625" s="11">
        <v>1.2431155079799805E-3</v>
      </c>
      <c r="D625" s="12">
        <v>0.65450031495145644</v>
      </c>
      <c r="E625" t="s">
        <v>1238</v>
      </c>
      <c r="F625" s="8">
        <v>418</v>
      </c>
      <c r="G625" s="11">
        <v>1.1950782984341184E-3</v>
      </c>
      <c r="H625" s="12">
        <v>0.71848049277496495</v>
      </c>
      <c r="I625" t="s">
        <v>1238</v>
      </c>
      <c r="J625" s="8">
        <v>5</v>
      </c>
      <c r="K625">
        <v>12</v>
      </c>
      <c r="L625" s="11">
        <v>1.2431155079799796E-3</v>
      </c>
      <c r="M625" s="12">
        <v>0.65450031495145633</v>
      </c>
      <c r="N625" t="s">
        <v>1238</v>
      </c>
      <c r="O625" t="s">
        <v>1252</v>
      </c>
      <c r="P625" s="23">
        <f>VLOOKUP(A625,вариация!A$2:G$805,2,FALSE)</f>
        <v>1.3693063937629151</v>
      </c>
      <c r="Q625" t="str">
        <f>IF(вариация!H626="Yes",IF(P628&lt;0.1,"X",IF(P628&lt;0.25,"Y","Z")),"")</f>
        <v/>
      </c>
      <c r="R625" t="str">
        <f>O625&amp;Q625</f>
        <v>AAA</v>
      </c>
    </row>
    <row r="626" spans="1:18" x14ac:dyDescent="0.25">
      <c r="A626" s="7" t="s">
        <v>240</v>
      </c>
      <c r="B626" s="8">
        <v>1</v>
      </c>
      <c r="C626" s="11">
        <v>6.2155775398999025E-4</v>
      </c>
      <c r="D626" s="12">
        <v>0.92444284750930317</v>
      </c>
      <c r="E626" t="s">
        <v>1239</v>
      </c>
      <c r="F626" s="8">
        <v>450</v>
      </c>
      <c r="G626" s="11">
        <v>1.2865675461611321E-3</v>
      </c>
      <c r="H626" s="12">
        <v>0.69110519443164753</v>
      </c>
      <c r="I626" t="s">
        <v>1238</v>
      </c>
      <c r="J626" s="8">
        <v>5</v>
      </c>
      <c r="K626">
        <v>6</v>
      </c>
      <c r="L626" s="11">
        <v>6.2155775398998981E-4</v>
      </c>
      <c r="M626" s="12">
        <v>0.92444284750930306</v>
      </c>
      <c r="N626" t="s">
        <v>1239</v>
      </c>
      <c r="O626" t="s">
        <v>1255</v>
      </c>
      <c r="P626" s="23">
        <f>VLOOKUP(A626,вариация!A$2:G$805,2,FALSE)</f>
        <v>2.2360679774997894</v>
      </c>
      <c r="Q626" t="str">
        <f>IF(вариация!H627="Yes",IF(P629&lt;0.1,"X",IF(P629&lt;0.25,"Y","Z")),"")</f>
        <v/>
      </c>
      <c r="R626" t="str">
        <f>O626&amp;Q626</f>
        <v>BAB</v>
      </c>
    </row>
    <row r="627" spans="1:18" x14ac:dyDescent="0.25">
      <c r="A627" s="7" t="s">
        <v>537</v>
      </c>
      <c r="B627" s="8">
        <v>1</v>
      </c>
      <c r="C627" s="11">
        <v>6.2155775398999025E-4</v>
      </c>
      <c r="D627" s="12">
        <v>0.92506440526329314</v>
      </c>
      <c r="E627" t="s">
        <v>1239</v>
      </c>
      <c r="F627" s="8">
        <v>672</v>
      </c>
      <c r="G627" s="11">
        <v>1.9212742022672907E-3</v>
      </c>
      <c r="H627" s="12">
        <v>0.53612636924980972</v>
      </c>
      <c r="I627" t="s">
        <v>1238</v>
      </c>
      <c r="J627" s="8">
        <v>5</v>
      </c>
      <c r="K627">
        <v>6</v>
      </c>
      <c r="L627" s="11">
        <v>6.2155775398998981E-4</v>
      </c>
      <c r="M627" s="12">
        <v>0.92506440526329303</v>
      </c>
      <c r="N627" t="s">
        <v>1239</v>
      </c>
      <c r="O627" t="s">
        <v>1255</v>
      </c>
      <c r="P627" s="23">
        <f>VLOOKUP(A627,вариация!A$2:G$805,2,FALSE)</f>
        <v>2.2360679774997894</v>
      </c>
      <c r="Q627" t="str">
        <f>IF(вариация!H628="Yes",IF(P630&lt;0.1,"X",IF(P630&lt;0.25,"Y","Z")),"")</f>
        <v/>
      </c>
      <c r="R627" t="str">
        <f>O627&amp;Q627</f>
        <v>BAB</v>
      </c>
    </row>
    <row r="628" spans="1:18" x14ac:dyDescent="0.25">
      <c r="A628" s="7" t="s">
        <v>681</v>
      </c>
      <c r="B628" s="8">
        <v>1</v>
      </c>
      <c r="C628" s="11">
        <v>6.2155775398999025E-4</v>
      </c>
      <c r="D628" s="12">
        <v>0.92568596301728312</v>
      </c>
      <c r="E628" t="s">
        <v>1239</v>
      </c>
      <c r="F628" s="8">
        <v>279</v>
      </c>
      <c r="G628" s="11">
        <v>7.97671878619902E-4</v>
      </c>
      <c r="H628" s="12">
        <v>0.83863399187066656</v>
      </c>
      <c r="I628" t="s">
        <v>1239</v>
      </c>
      <c r="J628" s="8">
        <v>5</v>
      </c>
      <c r="K628">
        <v>6</v>
      </c>
      <c r="L628" s="11">
        <v>6.2155775398998981E-4</v>
      </c>
      <c r="M628" s="12">
        <v>0.92568596301728301</v>
      </c>
      <c r="N628" t="s">
        <v>1239</v>
      </c>
      <c r="O628" t="s">
        <v>1256</v>
      </c>
      <c r="P628" s="23">
        <f>VLOOKUP(A628,вариация!A$2:G$805,2,FALSE)</f>
        <v>2.2360679774997894</v>
      </c>
      <c r="Q628" t="str">
        <f>IF(вариация!H629="Yes",IF(P631&lt;0.1,"X",IF(P631&lt;0.25,"Y","Z")),"")</f>
        <v/>
      </c>
      <c r="R628" t="str">
        <f>O628&amp;Q628</f>
        <v>BBB</v>
      </c>
    </row>
    <row r="629" spans="1:18" x14ac:dyDescent="0.25">
      <c r="A629" s="7" t="s">
        <v>471</v>
      </c>
      <c r="B629" s="8">
        <v>1</v>
      </c>
      <c r="C629" s="11">
        <v>6.2155775398999025E-4</v>
      </c>
      <c r="D629" s="12">
        <v>0.9263075207712731</v>
      </c>
      <c r="E629" t="s">
        <v>1239</v>
      </c>
      <c r="F629" s="8">
        <v>199</v>
      </c>
      <c r="G629" s="11">
        <v>5.689487593023674E-4</v>
      </c>
      <c r="H629" s="12">
        <v>0.90682658913783909</v>
      </c>
      <c r="I629" t="s">
        <v>1239</v>
      </c>
      <c r="J629" s="8">
        <v>5</v>
      </c>
      <c r="K629">
        <v>6</v>
      </c>
      <c r="L629" s="11">
        <v>6.2155775398998981E-4</v>
      </c>
      <c r="M629" s="12">
        <v>0.92630752077127299</v>
      </c>
      <c r="N629" t="s">
        <v>1239</v>
      </c>
      <c r="O629" t="s">
        <v>1256</v>
      </c>
      <c r="P629" s="23">
        <f>VLOOKUP(A629,вариация!A$2:G$805,2,FALSE)</f>
        <v>2.2360679774997894</v>
      </c>
      <c r="Q629" t="str">
        <f>IF(вариация!H630="Yes",IF(P632&lt;0.1,"X",IF(P632&lt;0.25,"Y","Z")),"")</f>
        <v/>
      </c>
      <c r="R629" t="str">
        <f>O629&amp;Q629</f>
        <v>BBB</v>
      </c>
    </row>
    <row r="630" spans="1:18" x14ac:dyDescent="0.25">
      <c r="A630" s="7" t="s">
        <v>344</v>
      </c>
      <c r="B630" s="8">
        <v>1</v>
      </c>
      <c r="C630" s="11">
        <v>6.2155775398999025E-4</v>
      </c>
      <c r="D630" s="12">
        <v>0.92692907852526307</v>
      </c>
      <c r="E630" t="s">
        <v>1239</v>
      </c>
      <c r="F630" s="8">
        <v>172</v>
      </c>
      <c r="G630" s="11">
        <v>4.9175470653269938E-4</v>
      </c>
      <c r="H630" s="12">
        <v>0.92250853237818609</v>
      </c>
      <c r="I630" t="s">
        <v>1239</v>
      </c>
      <c r="J630" s="8">
        <v>5</v>
      </c>
      <c r="K630">
        <v>6</v>
      </c>
      <c r="L630" s="11">
        <v>6.2155775398998981E-4</v>
      </c>
      <c r="M630" s="12">
        <v>0.92692907852526296</v>
      </c>
      <c r="N630" t="s">
        <v>1239</v>
      </c>
      <c r="O630" t="s">
        <v>1256</v>
      </c>
      <c r="P630" s="23">
        <f>VLOOKUP(A630,вариация!A$2:G$805,2,FALSE)</f>
        <v>2.2360679774997894</v>
      </c>
      <c r="Q630" t="str">
        <f>IF(вариация!H631="Yes",IF(P633&lt;0.1,"X",IF(P633&lt;0.25,"Y","Z")),"")</f>
        <v/>
      </c>
      <c r="R630" t="str">
        <f>O630&amp;Q630</f>
        <v>BBB</v>
      </c>
    </row>
    <row r="631" spans="1:18" x14ac:dyDescent="0.25">
      <c r="A631" s="7" t="s">
        <v>243</v>
      </c>
      <c r="B631" s="8">
        <v>1</v>
      </c>
      <c r="C631" s="11">
        <v>6.2155775398999025E-4</v>
      </c>
      <c r="D631" s="12">
        <v>0.92755063627925305</v>
      </c>
      <c r="E631" t="s">
        <v>1239</v>
      </c>
      <c r="F631" s="8">
        <v>806</v>
      </c>
      <c r="G631" s="11">
        <v>2.3043854271241611E-3</v>
      </c>
      <c r="H631" s="12">
        <v>0.4761988344233028</v>
      </c>
      <c r="I631" t="s">
        <v>1238</v>
      </c>
      <c r="J631" s="8">
        <v>5</v>
      </c>
      <c r="K631">
        <v>6</v>
      </c>
      <c r="L631" s="11">
        <v>6.2155775398998981E-4</v>
      </c>
      <c r="M631" s="12">
        <v>0.92755063627925294</v>
      </c>
      <c r="N631" t="s">
        <v>1239</v>
      </c>
      <c r="O631" t="s">
        <v>1255</v>
      </c>
      <c r="P631" s="23">
        <f>VLOOKUP(A631,вариация!A$2:G$805,2,FALSE)</f>
        <v>2.2360679774997894</v>
      </c>
      <c r="Q631" t="str">
        <f>IF(вариация!H632="Yes",IF(P634&lt;0.1,"X",IF(P634&lt;0.25,"Y","Z")),"")</f>
        <v/>
      </c>
      <c r="R631" t="str">
        <f>O631&amp;Q631</f>
        <v>BAB</v>
      </c>
    </row>
    <row r="632" spans="1:18" x14ac:dyDescent="0.25">
      <c r="A632" s="7" t="s">
        <v>767</v>
      </c>
      <c r="B632" s="8">
        <v>4</v>
      </c>
      <c r="C632" s="11">
        <v>2.486231015959961E-3</v>
      </c>
      <c r="D632" s="12">
        <v>0.4021478668315232</v>
      </c>
      <c r="E632" t="s">
        <v>1238</v>
      </c>
      <c r="F632" s="8">
        <v>126.96000000000001</v>
      </c>
      <c r="G632" s="11">
        <v>3.6298359035692745E-4</v>
      </c>
      <c r="H632" s="12">
        <v>0.94933978419181642</v>
      </c>
      <c r="I632" t="s">
        <v>1239</v>
      </c>
      <c r="J632" s="8">
        <v>5</v>
      </c>
      <c r="K632">
        <v>24</v>
      </c>
      <c r="L632" s="11">
        <v>2.4862310159599593E-3</v>
      </c>
      <c r="M632" s="12">
        <v>0.40214786683152304</v>
      </c>
      <c r="N632" t="s">
        <v>1238</v>
      </c>
      <c r="O632" t="s">
        <v>1253</v>
      </c>
      <c r="P632" s="23">
        <f>VLOOKUP(A632,вариация!A$2:G$805,2,FALSE)</f>
        <v>1.0458250331675945</v>
      </c>
      <c r="Q632" t="str">
        <f>IF(вариация!H633="Yes",IF(P635&lt;0.1,"X",IF(P635&lt;0.25,"Y","Z")),"")</f>
        <v>Z</v>
      </c>
      <c r="R632" t="str">
        <f>O632&amp;Q632</f>
        <v>ABAZ</v>
      </c>
    </row>
    <row r="633" spans="1:18" x14ac:dyDescent="0.25">
      <c r="A633" s="7" t="s">
        <v>370</v>
      </c>
      <c r="B633" s="8">
        <v>1</v>
      </c>
      <c r="C633" s="11">
        <v>6.2155775398999025E-4</v>
      </c>
      <c r="D633" s="12">
        <v>0.92817219403324303</v>
      </c>
      <c r="E633" t="s">
        <v>1239</v>
      </c>
      <c r="F633" s="8">
        <v>36</v>
      </c>
      <c r="G633" s="11">
        <v>1.0292540369289058E-4</v>
      </c>
      <c r="H633" s="12">
        <v>0.99815929351651378</v>
      </c>
      <c r="I633" t="s">
        <v>1240</v>
      </c>
      <c r="J633" s="8">
        <v>5</v>
      </c>
      <c r="K633">
        <v>6</v>
      </c>
      <c r="L633" s="11">
        <v>6.2155775398998981E-4</v>
      </c>
      <c r="M633" s="12">
        <v>0.92817219403324291</v>
      </c>
      <c r="N633" t="s">
        <v>1239</v>
      </c>
      <c r="O633" t="s">
        <v>1257</v>
      </c>
      <c r="P633" s="23">
        <f>VLOOKUP(A633,вариация!A$2:G$805,2,FALSE)</f>
        <v>2.2360679774997894</v>
      </c>
      <c r="Q633" t="str">
        <f>IF(вариация!H634="Yes",IF(P636&lt;0.1,"X",IF(P636&lt;0.25,"Y","Z")),"")</f>
        <v/>
      </c>
      <c r="R633" t="str">
        <f>O633&amp;Q633</f>
        <v>BCB</v>
      </c>
    </row>
    <row r="634" spans="1:18" x14ac:dyDescent="0.25">
      <c r="A634" s="7" t="s">
        <v>359</v>
      </c>
      <c r="B634" s="8">
        <v>2</v>
      </c>
      <c r="C634" s="11">
        <v>1.2431155079799805E-3</v>
      </c>
      <c r="D634" s="12">
        <v>0.65574343045943639</v>
      </c>
      <c r="E634" t="s">
        <v>1238</v>
      </c>
      <c r="F634" s="8">
        <v>77</v>
      </c>
      <c r="G634" s="11">
        <v>2.2014600234312708E-4</v>
      </c>
      <c r="H634" s="12">
        <v>0.98356456801816661</v>
      </c>
      <c r="I634" t="s">
        <v>1240</v>
      </c>
      <c r="J634" s="8">
        <v>5</v>
      </c>
      <c r="K634">
        <v>12</v>
      </c>
      <c r="L634" s="11">
        <v>1.2431155079799796E-3</v>
      </c>
      <c r="M634" s="12">
        <v>0.65574343045943628</v>
      </c>
      <c r="N634" t="s">
        <v>1238</v>
      </c>
      <c r="O634" t="s">
        <v>1254</v>
      </c>
      <c r="P634" s="23">
        <f>VLOOKUP(A634,вариация!A$2:G$805,2,FALSE)</f>
        <v>2.2360679774997894</v>
      </c>
      <c r="Q634" t="str">
        <f>IF(вариация!H635="Yes",IF(P637&lt;0.1,"X",IF(P637&lt;0.25,"Y","Z")),"")</f>
        <v/>
      </c>
      <c r="R634" t="str">
        <f>O634&amp;Q634</f>
        <v>ACA</v>
      </c>
    </row>
    <row r="635" spans="1:18" x14ac:dyDescent="0.25">
      <c r="A635" s="7" t="s">
        <v>361</v>
      </c>
      <c r="B635" s="8">
        <v>1</v>
      </c>
      <c r="C635" s="11">
        <v>6.2155775398999025E-4</v>
      </c>
      <c r="D635" s="12">
        <v>0.928793751787233</v>
      </c>
      <c r="E635" t="s">
        <v>1239</v>
      </c>
      <c r="F635" s="8">
        <v>41</v>
      </c>
      <c r="G635" s="11">
        <v>1.1722059865023649E-4</v>
      </c>
      <c r="H635" s="12">
        <v>0.99697850469495886</v>
      </c>
      <c r="I635" t="s">
        <v>1240</v>
      </c>
      <c r="J635" s="8">
        <v>5</v>
      </c>
      <c r="K635">
        <v>6</v>
      </c>
      <c r="L635" s="11">
        <v>6.2155775398998981E-4</v>
      </c>
      <c r="M635" s="12">
        <v>0.92879375178723289</v>
      </c>
      <c r="N635" t="s">
        <v>1239</v>
      </c>
      <c r="O635" t="s">
        <v>1257</v>
      </c>
      <c r="P635" s="23">
        <f>VLOOKUP(A635,вариация!A$2:G$805,2,FALSE)</f>
        <v>2.2360679774997894</v>
      </c>
      <c r="Q635" t="str">
        <f>IF(вариация!H636="Yes",IF(P638&lt;0.1,"X",IF(P638&lt;0.25,"Y","Z")),"")</f>
        <v/>
      </c>
      <c r="R635" t="str">
        <f>O635&amp;Q635</f>
        <v>BCB</v>
      </c>
    </row>
    <row r="636" spans="1:18" x14ac:dyDescent="0.25">
      <c r="A636" s="7" t="s">
        <v>866</v>
      </c>
      <c r="B636" s="8">
        <v>5</v>
      </c>
      <c r="C636" s="11">
        <v>3.1077887699499512E-3</v>
      </c>
      <c r="D636" s="12">
        <v>0.35428791977429397</v>
      </c>
      <c r="E636" t="s">
        <v>1238</v>
      </c>
      <c r="F636" s="8">
        <v>256</v>
      </c>
      <c r="G636" s="11">
        <v>7.3191398181611078E-4</v>
      </c>
      <c r="H636" s="12">
        <v>0.86538421855830494</v>
      </c>
      <c r="I636" t="s">
        <v>1239</v>
      </c>
      <c r="J636" s="8">
        <v>5</v>
      </c>
      <c r="K636">
        <v>30</v>
      </c>
      <c r="L636" s="11">
        <v>3.1077887699499491E-3</v>
      </c>
      <c r="M636" s="12">
        <v>0.3542879197742938</v>
      </c>
      <c r="N636" t="s">
        <v>1238</v>
      </c>
      <c r="O636" t="s">
        <v>1253</v>
      </c>
      <c r="P636" s="23">
        <f>VLOOKUP(A636,вариация!A$2:G$805,2,FALSE)</f>
        <v>1.4142135623730951</v>
      </c>
      <c r="Q636" t="str">
        <f>IF(вариация!H637="Yes",IF(P639&lt;0.1,"X",IF(P639&lt;0.25,"Y","Z")),"")</f>
        <v/>
      </c>
      <c r="R636" t="str">
        <f>O636&amp;Q636</f>
        <v>ABA</v>
      </c>
    </row>
    <row r="637" spans="1:18" x14ac:dyDescent="0.25">
      <c r="A637" s="7" t="s">
        <v>1074</v>
      </c>
      <c r="B637" s="8">
        <v>3</v>
      </c>
      <c r="C637" s="11">
        <v>1.8646732619699705E-3</v>
      </c>
      <c r="D637" s="12">
        <v>0.50532645399386211</v>
      </c>
      <c r="E637" t="s">
        <v>1238</v>
      </c>
      <c r="F637" s="8">
        <v>295.23</v>
      </c>
      <c r="G637" s="11">
        <v>8.4407408145144682E-4</v>
      </c>
      <c r="H637" s="12">
        <v>0.82478420659780161</v>
      </c>
      <c r="I637" t="s">
        <v>1239</v>
      </c>
      <c r="J637" s="8">
        <v>5</v>
      </c>
      <c r="K637">
        <v>18</v>
      </c>
      <c r="L637" s="11">
        <v>1.8646732619699697E-3</v>
      </c>
      <c r="M637" s="12">
        <v>0.505326453993862</v>
      </c>
      <c r="N637" t="s">
        <v>1238</v>
      </c>
      <c r="O637" t="s">
        <v>1253</v>
      </c>
      <c r="P637" s="23">
        <f>VLOOKUP(A637,вариация!A$2:G$805,2,FALSE)</f>
        <v>2.2360679774997898</v>
      </c>
      <c r="Q637" t="str">
        <f>IF(вариация!H638="Yes",IF(P640&lt;0.1,"X",IF(P640&lt;0.25,"Y","Z")),"")</f>
        <v/>
      </c>
      <c r="R637" t="str">
        <f>O637&amp;Q637</f>
        <v>ABA</v>
      </c>
    </row>
    <row r="638" spans="1:18" x14ac:dyDescent="0.25">
      <c r="A638" s="7" t="s">
        <v>1225</v>
      </c>
      <c r="B638" s="8">
        <v>1</v>
      </c>
      <c r="C638" s="11">
        <v>6.2155775398999025E-4</v>
      </c>
      <c r="D638" s="12">
        <v>0.92941530954122298</v>
      </c>
      <c r="E638" t="s">
        <v>1239</v>
      </c>
      <c r="F638" s="8">
        <v>322</v>
      </c>
      <c r="G638" s="11">
        <v>9.2061055525307679E-4</v>
      </c>
      <c r="H638" s="12">
        <v>0.80457423177490417</v>
      </c>
      <c r="I638" t="s">
        <v>1239</v>
      </c>
      <c r="J638" s="8">
        <v>5</v>
      </c>
      <c r="K638">
        <v>6</v>
      </c>
      <c r="L638" s="11">
        <v>6.2155775398998981E-4</v>
      </c>
      <c r="M638" s="12">
        <v>0.92941530954122287</v>
      </c>
      <c r="N638" t="s">
        <v>1239</v>
      </c>
      <c r="O638" t="s">
        <v>1256</v>
      </c>
      <c r="P638" s="23">
        <f>VLOOKUP(A638,вариация!A$2:G$805,2,FALSE)</f>
        <v>2.2360679774997894</v>
      </c>
      <c r="Q638" t="str">
        <f>IF(вариация!H639="Yes",IF(P641&lt;0.1,"X",IF(P641&lt;0.25,"Y","Z")),"")</f>
        <v/>
      </c>
      <c r="R638" t="str">
        <f>O638&amp;Q638</f>
        <v>BBB</v>
      </c>
    </row>
    <row r="639" spans="1:18" x14ac:dyDescent="0.25">
      <c r="A639" s="7" t="s">
        <v>980</v>
      </c>
      <c r="B639" s="8">
        <v>1</v>
      </c>
      <c r="C639" s="11">
        <v>6.2155775398999025E-4</v>
      </c>
      <c r="D639" s="12">
        <v>0.93003686729521295</v>
      </c>
      <c r="E639" t="s">
        <v>1239</v>
      </c>
      <c r="F639" s="8">
        <v>193</v>
      </c>
      <c r="G639" s="11">
        <v>5.5179452535355231E-4</v>
      </c>
      <c r="H639" s="12">
        <v>0.9096212711616104</v>
      </c>
      <c r="I639" t="s">
        <v>1239</v>
      </c>
      <c r="J639" s="8">
        <v>5</v>
      </c>
      <c r="K639">
        <v>6</v>
      </c>
      <c r="L639" s="11">
        <v>6.2155775398998981E-4</v>
      </c>
      <c r="M639" s="12">
        <v>0.93003686729521284</v>
      </c>
      <c r="N639" t="s">
        <v>1239</v>
      </c>
      <c r="O639" t="s">
        <v>1256</v>
      </c>
      <c r="P639" s="23">
        <f>VLOOKUP(A639,вариация!A$2:G$805,2,FALSE)</f>
        <v>2.2360679774997894</v>
      </c>
      <c r="Q639" t="str">
        <f>IF(вариация!H640="Yes",IF(P642&lt;0.1,"X",IF(P642&lt;0.25,"Y","Z")),"")</f>
        <v/>
      </c>
      <c r="R639" t="str">
        <f>O639&amp;Q639</f>
        <v>BBB</v>
      </c>
    </row>
    <row r="640" spans="1:18" x14ac:dyDescent="0.25">
      <c r="A640" s="7" t="s">
        <v>1196</v>
      </c>
      <c r="B640" s="8">
        <v>1</v>
      </c>
      <c r="C640" s="11">
        <v>6.2155775398999025E-4</v>
      </c>
      <c r="D640" s="12">
        <v>0.93065842504920293</v>
      </c>
      <c r="E640" t="s">
        <v>1239</v>
      </c>
      <c r="F640" s="8">
        <v>266</v>
      </c>
      <c r="G640" s="11">
        <v>7.6050437173080256E-4</v>
      </c>
      <c r="H640" s="12">
        <v>0.85572818603968659</v>
      </c>
      <c r="I640" t="s">
        <v>1239</v>
      </c>
      <c r="J640" s="8">
        <v>5</v>
      </c>
      <c r="K640">
        <v>6</v>
      </c>
      <c r="L640" s="11">
        <v>6.2155775398998981E-4</v>
      </c>
      <c r="M640" s="12">
        <v>0.93065842504920282</v>
      </c>
      <c r="N640" t="s">
        <v>1239</v>
      </c>
      <c r="O640" t="s">
        <v>1256</v>
      </c>
      <c r="P640" s="23">
        <f>VLOOKUP(A640,вариация!A$2:G$805,2,FALSE)</f>
        <v>2.2360679774997894</v>
      </c>
      <c r="Q640" t="str">
        <f>IF(вариация!H641="Yes",IF(P643&lt;0.1,"X",IF(P643&lt;0.25,"Y","Z")),"")</f>
        <v/>
      </c>
      <c r="R640" t="str">
        <f>O640&amp;Q640</f>
        <v>BBB</v>
      </c>
    </row>
    <row r="641" spans="1:18" x14ac:dyDescent="0.25">
      <c r="A641" s="7" t="s">
        <v>798</v>
      </c>
      <c r="B641" s="8">
        <v>1</v>
      </c>
      <c r="C641" s="11">
        <v>6.2155775398999025E-4</v>
      </c>
      <c r="D641" s="12">
        <v>0.93127998280319291</v>
      </c>
      <c r="E641" t="s">
        <v>1239</v>
      </c>
      <c r="F641" s="8">
        <v>174</v>
      </c>
      <c r="G641" s="11">
        <v>4.9747278451563778E-4</v>
      </c>
      <c r="H641" s="12">
        <v>0.91905195422692132</v>
      </c>
      <c r="I641" t="s">
        <v>1239</v>
      </c>
      <c r="J641" s="8">
        <v>5</v>
      </c>
      <c r="K641">
        <v>6</v>
      </c>
      <c r="L641" s="11">
        <v>6.2155775398998981E-4</v>
      </c>
      <c r="M641" s="12">
        <v>0.9312799828031928</v>
      </c>
      <c r="N641" t="s">
        <v>1239</v>
      </c>
      <c r="O641" t="s">
        <v>1256</v>
      </c>
      <c r="P641" s="23">
        <f>VLOOKUP(A641,вариация!A$2:G$805,2,FALSE)</f>
        <v>2.2360679774997894</v>
      </c>
      <c r="Q641" t="str">
        <f>IF(вариация!H642="Yes",IF(P644&lt;0.1,"X",IF(P644&lt;0.25,"Y","Z")),"")</f>
        <v/>
      </c>
      <c r="R641" t="str">
        <f>O641&amp;Q641</f>
        <v>BBB</v>
      </c>
    </row>
    <row r="642" spans="1:18" x14ac:dyDescent="0.25">
      <c r="A642" s="7" t="s">
        <v>160</v>
      </c>
      <c r="B642" s="8">
        <v>4</v>
      </c>
      <c r="C642" s="11">
        <v>2.486231015959961E-3</v>
      </c>
      <c r="D642" s="12">
        <v>0.40463409784748317</v>
      </c>
      <c r="E642" t="s">
        <v>1238</v>
      </c>
      <c r="F642" s="8">
        <v>476</v>
      </c>
      <c r="G642" s="11">
        <v>1.360902559939331E-3</v>
      </c>
      <c r="H642" s="12">
        <v>0.65930981775317266</v>
      </c>
      <c r="I642" t="s">
        <v>1238</v>
      </c>
      <c r="J642" s="8">
        <v>5</v>
      </c>
      <c r="K642">
        <v>24</v>
      </c>
      <c r="L642" s="11">
        <v>2.4862310159599593E-3</v>
      </c>
      <c r="M642" s="12">
        <v>0.404634097847483</v>
      </c>
      <c r="N642" t="s">
        <v>1238</v>
      </c>
      <c r="O642" t="s">
        <v>1252</v>
      </c>
      <c r="P642" s="23">
        <f>VLOOKUP(A642,вариация!A$2:G$805,2,FALSE)</f>
        <v>1.3693063937629151</v>
      </c>
      <c r="Q642" t="str">
        <f>IF(вариация!H643="Yes",IF(P645&lt;0.1,"X",IF(P645&lt;0.25,"Y","Z")),"")</f>
        <v/>
      </c>
      <c r="R642" t="str">
        <f>O642&amp;Q642</f>
        <v>AAA</v>
      </c>
    </row>
    <row r="643" spans="1:18" x14ac:dyDescent="0.25">
      <c r="A643" s="7" t="s">
        <v>845</v>
      </c>
      <c r="B643" s="8">
        <v>2</v>
      </c>
      <c r="C643" s="11">
        <v>1.2431155079799805E-3</v>
      </c>
      <c r="D643" s="12">
        <v>0.65698654596741635</v>
      </c>
      <c r="E643" t="s">
        <v>1238</v>
      </c>
      <c r="F643" s="8">
        <v>1440</v>
      </c>
      <c r="G643" s="11">
        <v>4.117016147715623E-3</v>
      </c>
      <c r="H643" s="12">
        <v>0.27419431412315226</v>
      </c>
      <c r="I643" t="s">
        <v>1238</v>
      </c>
      <c r="J643" s="8">
        <v>5</v>
      </c>
      <c r="K643">
        <v>12</v>
      </c>
      <c r="L643" s="11">
        <v>1.2431155079799796E-3</v>
      </c>
      <c r="M643" s="12">
        <v>0.65698654596741624</v>
      </c>
      <c r="N643" t="s">
        <v>1238</v>
      </c>
      <c r="O643" t="s">
        <v>1252</v>
      </c>
      <c r="P643" s="23">
        <f>VLOOKUP(A643,вариация!A$2:G$805,2,FALSE)</f>
        <v>1.3693063937629151</v>
      </c>
      <c r="Q643" t="str">
        <f>IF(вариация!H644="Yes",IF(P646&lt;0.1,"X",IF(P646&lt;0.25,"Y","Z")),"")</f>
        <v/>
      </c>
      <c r="R643" t="str">
        <f>O643&amp;Q643</f>
        <v>AAA</v>
      </c>
    </row>
    <row r="644" spans="1:18" x14ac:dyDescent="0.25">
      <c r="A644" s="7" t="s">
        <v>219</v>
      </c>
      <c r="B644" s="8">
        <v>1</v>
      </c>
      <c r="C644" s="11">
        <v>6.2155775398999025E-4</v>
      </c>
      <c r="D644" s="12">
        <v>0.93190154055718288</v>
      </c>
      <c r="E644" t="s">
        <v>1239</v>
      </c>
      <c r="F644" s="8">
        <v>148</v>
      </c>
      <c r="G644" s="11">
        <v>4.2313777073743906E-4</v>
      </c>
      <c r="H644" s="12">
        <v>0.93655667777627882</v>
      </c>
      <c r="I644" t="s">
        <v>1239</v>
      </c>
      <c r="J644" s="8">
        <v>5</v>
      </c>
      <c r="K644">
        <v>6</v>
      </c>
      <c r="L644" s="11">
        <v>6.2155775398998981E-4</v>
      </c>
      <c r="M644" s="12">
        <v>0.93190154055718277</v>
      </c>
      <c r="N644" t="s">
        <v>1239</v>
      </c>
      <c r="O644" t="s">
        <v>1256</v>
      </c>
      <c r="P644" s="23">
        <f>VLOOKUP(A644,вариация!A$2:G$805,2,FALSE)</f>
        <v>2.2360679774997894</v>
      </c>
      <c r="Q644" t="str">
        <f>IF(вариация!H645="Yes",IF(P647&lt;0.1,"X",IF(P647&lt;0.25,"Y","Z")),"")</f>
        <v/>
      </c>
      <c r="R644" t="str">
        <f>O644&amp;Q644</f>
        <v>BBB</v>
      </c>
    </row>
    <row r="645" spans="1:18" x14ac:dyDescent="0.25">
      <c r="A645" s="7" t="s">
        <v>293</v>
      </c>
      <c r="B645" s="8">
        <v>3</v>
      </c>
      <c r="C645" s="11">
        <v>1.8646732619699705E-3</v>
      </c>
      <c r="D645" s="12">
        <v>0.50719112725583204</v>
      </c>
      <c r="E645" t="s">
        <v>1238</v>
      </c>
      <c r="F645" s="8">
        <v>262</v>
      </c>
      <c r="G645" s="11">
        <v>7.4906821576492587E-4</v>
      </c>
      <c r="H645" s="12">
        <v>0.85948888015789526</v>
      </c>
      <c r="I645" t="s">
        <v>1239</v>
      </c>
      <c r="J645" s="8">
        <v>5</v>
      </c>
      <c r="K645">
        <v>18</v>
      </c>
      <c r="L645" s="11">
        <v>1.8646732619699697E-3</v>
      </c>
      <c r="M645" s="12">
        <v>0.50719112725583193</v>
      </c>
      <c r="N645" t="s">
        <v>1238</v>
      </c>
      <c r="O645" t="s">
        <v>1253</v>
      </c>
      <c r="P645" s="23">
        <f>VLOOKUP(A645,вариация!A$2:G$805,2,FALSE)</f>
        <v>0.91287092917527679</v>
      </c>
      <c r="Q645" t="str">
        <f>IF(вариация!H646="Yes",IF(P648&lt;0.1,"X",IF(P648&lt;0.25,"Y","Z")),"")</f>
        <v>Z</v>
      </c>
      <c r="R645" t="str">
        <f>O645&amp;Q645</f>
        <v>ABAZ</v>
      </c>
    </row>
    <row r="646" spans="1:18" x14ac:dyDescent="0.25">
      <c r="A646" s="7" t="s">
        <v>790</v>
      </c>
      <c r="B646" s="8">
        <v>1</v>
      </c>
      <c r="C646" s="11">
        <v>6.2155775398999025E-4</v>
      </c>
      <c r="D646" s="12">
        <v>0.93252309831117286</v>
      </c>
      <c r="E646" t="s">
        <v>1239</v>
      </c>
      <c r="F646" s="8">
        <v>468</v>
      </c>
      <c r="G646" s="11">
        <v>1.3380302480075774E-3</v>
      </c>
      <c r="H646" s="12">
        <v>0.66873321432340105</v>
      </c>
      <c r="I646" t="s">
        <v>1238</v>
      </c>
      <c r="J646" s="8">
        <v>5</v>
      </c>
      <c r="K646">
        <v>6</v>
      </c>
      <c r="L646" s="11">
        <v>6.2155775398998981E-4</v>
      </c>
      <c r="M646" s="12">
        <v>0.93252309831117275</v>
      </c>
      <c r="N646" t="s">
        <v>1239</v>
      </c>
      <c r="O646" t="s">
        <v>1255</v>
      </c>
      <c r="P646" s="23">
        <f>VLOOKUP(A646,вариация!A$2:G$805,2,FALSE)</f>
        <v>2.2360679774997894</v>
      </c>
      <c r="Q646" t="str">
        <f>IF(вариация!H647="Yes",IF(P649&lt;0.1,"X",IF(P649&lt;0.25,"Y","Z")),"")</f>
        <v/>
      </c>
      <c r="R646" t="str">
        <f>O646&amp;Q646</f>
        <v>BAB</v>
      </c>
    </row>
    <row r="647" spans="1:18" x14ac:dyDescent="0.25">
      <c r="A647" s="7" t="s">
        <v>1026</v>
      </c>
      <c r="B647" s="8">
        <v>1</v>
      </c>
      <c r="C647" s="11">
        <v>6.2155775398999025E-4</v>
      </c>
      <c r="D647" s="12">
        <v>0.93314465606516284</v>
      </c>
      <c r="E647" t="s">
        <v>1239</v>
      </c>
      <c r="F647" s="8">
        <v>176</v>
      </c>
      <c r="G647" s="11">
        <v>5.0319086249857618E-4</v>
      </c>
      <c r="H647" s="12">
        <v>0.9175523882758958</v>
      </c>
      <c r="I647" t="s">
        <v>1239</v>
      </c>
      <c r="J647" s="8">
        <v>5</v>
      </c>
      <c r="K647">
        <v>6</v>
      </c>
      <c r="L647" s="11">
        <v>6.2155775398998981E-4</v>
      </c>
      <c r="M647" s="12">
        <v>0.93314465606516273</v>
      </c>
      <c r="N647" t="s">
        <v>1239</v>
      </c>
      <c r="O647" t="s">
        <v>1256</v>
      </c>
      <c r="P647" s="23">
        <f>VLOOKUP(A647,вариация!A$2:G$805,2,FALSE)</f>
        <v>2.2360679774997894</v>
      </c>
      <c r="Q647" t="str">
        <f>IF(вариация!H648="Yes",IF(P650&lt;0.1,"X",IF(P650&lt;0.25,"Y","Z")),"")</f>
        <v/>
      </c>
      <c r="R647" t="str">
        <f>O647&amp;Q647</f>
        <v>BBB</v>
      </c>
    </row>
    <row r="648" spans="1:18" x14ac:dyDescent="0.25">
      <c r="A648" s="7" t="s">
        <v>973</v>
      </c>
      <c r="B648" s="8">
        <v>0.2</v>
      </c>
      <c r="C648" s="11">
        <v>1.2431155079799805E-4</v>
      </c>
      <c r="D648" s="12">
        <v>0.99896969413196546</v>
      </c>
      <c r="E648" t="s">
        <v>1240</v>
      </c>
      <c r="F648" s="8">
        <v>102.00000000000001</v>
      </c>
      <c r="G648" s="11">
        <v>2.9162197712985667E-4</v>
      </c>
      <c r="H648" s="12">
        <v>0.96580198775274673</v>
      </c>
      <c r="I648" t="s">
        <v>1240</v>
      </c>
      <c r="J648" s="8">
        <v>5</v>
      </c>
      <c r="K648">
        <v>1.2</v>
      </c>
      <c r="L648" s="11">
        <v>1.2431155079799797E-4</v>
      </c>
      <c r="M648" s="12">
        <v>0.99896969413196535</v>
      </c>
      <c r="N648" t="s">
        <v>1240</v>
      </c>
      <c r="O648" t="s">
        <v>1260</v>
      </c>
      <c r="P648" s="23">
        <f>VLOOKUP(A648,вариация!A$2:G$805,2,FALSE)</f>
        <v>2.2360679774997898</v>
      </c>
      <c r="Q648" t="str">
        <f>IF(вариация!H649="Yes",IF(P651&lt;0.1,"X",IF(P651&lt;0.25,"Y","Z")),"")</f>
        <v/>
      </c>
      <c r="R648" t="str">
        <f>O648&amp;Q648</f>
        <v>CCC</v>
      </c>
    </row>
    <row r="649" spans="1:18" x14ac:dyDescent="0.25">
      <c r="A649" s="7" t="s">
        <v>562</v>
      </c>
      <c r="B649" s="8">
        <v>1</v>
      </c>
      <c r="C649" s="11">
        <v>6.2155775398999025E-4</v>
      </c>
      <c r="D649" s="12">
        <v>0.93376621381915281</v>
      </c>
      <c r="E649" t="s">
        <v>1239</v>
      </c>
      <c r="F649" s="8">
        <v>204</v>
      </c>
      <c r="G649" s="11">
        <v>5.8324395425971324E-4</v>
      </c>
      <c r="H649" s="12">
        <v>0.90279820319885906</v>
      </c>
      <c r="I649" t="s">
        <v>1239</v>
      </c>
      <c r="J649" s="8">
        <v>5</v>
      </c>
      <c r="K649">
        <v>6</v>
      </c>
      <c r="L649" s="11">
        <v>6.2155775398998981E-4</v>
      </c>
      <c r="M649" s="12">
        <v>0.9337662138191527</v>
      </c>
      <c r="N649" t="s">
        <v>1239</v>
      </c>
      <c r="O649" t="s">
        <v>1256</v>
      </c>
      <c r="P649" s="23">
        <f>VLOOKUP(A649,вариация!A$2:G$805,2,FALSE)</f>
        <v>2.2360679774997894</v>
      </c>
      <c r="Q649" t="str">
        <f>IF(вариация!H650="Yes",IF(P652&lt;0.1,"X",IF(P652&lt;0.25,"Y","Z")),"")</f>
        <v/>
      </c>
      <c r="R649" t="str">
        <f>O649&amp;Q649</f>
        <v>BBB</v>
      </c>
    </row>
    <row r="650" spans="1:18" x14ac:dyDescent="0.25">
      <c r="A650" s="7" t="s">
        <v>570</v>
      </c>
      <c r="B650" s="8">
        <v>2</v>
      </c>
      <c r="C650" s="11">
        <v>1.2431155079799805E-3</v>
      </c>
      <c r="D650" s="12">
        <v>0.6582296614753963</v>
      </c>
      <c r="E650" t="s">
        <v>1238</v>
      </c>
      <c r="F650" s="8">
        <v>429</v>
      </c>
      <c r="G650" s="11">
        <v>1.2265277273402794E-3</v>
      </c>
      <c r="H650" s="12">
        <v>0.71002059639920767</v>
      </c>
      <c r="I650" t="s">
        <v>1238</v>
      </c>
      <c r="J650" s="8">
        <v>5</v>
      </c>
      <c r="K650">
        <v>12</v>
      </c>
      <c r="L650" s="11">
        <v>1.2431155079799796E-3</v>
      </c>
      <c r="M650" s="12">
        <v>0.65822966147539619</v>
      </c>
      <c r="N650" t="s">
        <v>1238</v>
      </c>
      <c r="O650" t="s">
        <v>1252</v>
      </c>
      <c r="P650" s="23">
        <f>VLOOKUP(A650,вариация!A$2:G$805,2,FALSE)</f>
        <v>1.3693063937629151</v>
      </c>
      <c r="Q650" t="str">
        <f>IF(вариация!H651="Yes",IF(P653&lt;0.1,"X",IF(P653&lt;0.25,"Y","Z")),"")</f>
        <v/>
      </c>
      <c r="R650" t="str">
        <f>O650&amp;Q650</f>
        <v>AAA</v>
      </c>
    </row>
    <row r="651" spans="1:18" x14ac:dyDescent="0.25">
      <c r="A651" s="7" t="s">
        <v>574</v>
      </c>
      <c r="B651" s="8">
        <v>3</v>
      </c>
      <c r="C651" s="11">
        <v>1.8646732619699705E-3</v>
      </c>
      <c r="D651" s="12">
        <v>0.50905580051780197</v>
      </c>
      <c r="E651" t="s">
        <v>1238</v>
      </c>
      <c r="F651" s="8">
        <v>158</v>
      </c>
      <c r="G651" s="11">
        <v>4.5172816065213085E-4</v>
      </c>
      <c r="H651" s="12">
        <v>0.93046418004701792</v>
      </c>
      <c r="I651" t="s">
        <v>1239</v>
      </c>
      <c r="J651" s="8">
        <v>5</v>
      </c>
      <c r="K651">
        <v>18</v>
      </c>
      <c r="L651" s="11">
        <v>1.8646732619699697E-3</v>
      </c>
      <c r="M651" s="12">
        <v>0.50905580051780186</v>
      </c>
      <c r="N651" t="s">
        <v>1238</v>
      </c>
      <c r="O651" t="s">
        <v>1253</v>
      </c>
      <c r="P651" s="23">
        <f>VLOOKUP(A651,вариация!A$2:G$805,2,FALSE)</f>
        <v>1.4907119849998598</v>
      </c>
      <c r="Q651" t="str">
        <f>IF(вариация!H652="Yes",IF(P654&lt;0.1,"X",IF(P654&lt;0.25,"Y","Z")),"")</f>
        <v/>
      </c>
      <c r="R651" t="str">
        <f>O651&amp;Q651</f>
        <v>ABA</v>
      </c>
    </row>
    <row r="652" spans="1:18" x14ac:dyDescent="0.25">
      <c r="A652" s="7" t="s">
        <v>105</v>
      </c>
      <c r="B652" s="8">
        <v>1</v>
      </c>
      <c r="C652" s="11">
        <v>6.2155775398999025E-4</v>
      </c>
      <c r="D652" s="12">
        <v>0.93438777157314279</v>
      </c>
      <c r="E652" t="s">
        <v>1239</v>
      </c>
      <c r="F652" s="8">
        <v>110</v>
      </c>
      <c r="G652" s="11">
        <v>3.1449428906161011E-4</v>
      </c>
      <c r="H652" s="12">
        <v>0.96156474901543953</v>
      </c>
      <c r="I652" t="s">
        <v>1240</v>
      </c>
      <c r="J652" s="8">
        <v>5</v>
      </c>
      <c r="K652">
        <v>6</v>
      </c>
      <c r="L652" s="11">
        <v>6.2155775398998981E-4</v>
      </c>
      <c r="M652" s="12">
        <v>0.93438777157314268</v>
      </c>
      <c r="N652" t="s">
        <v>1239</v>
      </c>
      <c r="O652" t="s">
        <v>1257</v>
      </c>
      <c r="P652" s="23">
        <f>VLOOKUP(A652,вариация!A$2:G$805,2,FALSE)</f>
        <v>2.2360679774997894</v>
      </c>
      <c r="Q652" t="str">
        <f>IF(вариация!H653="Yes",IF(P655&lt;0.1,"X",IF(P655&lt;0.25,"Y","Z")),"")</f>
        <v/>
      </c>
      <c r="R652" t="str">
        <f>O652&amp;Q652</f>
        <v>BCB</v>
      </c>
    </row>
    <row r="653" spans="1:18" x14ac:dyDescent="0.25">
      <c r="A653" s="7" t="s">
        <v>571</v>
      </c>
      <c r="B653" s="8">
        <v>3</v>
      </c>
      <c r="C653" s="11">
        <v>1.8646732619699705E-3</v>
      </c>
      <c r="D653" s="12">
        <v>0.5109204737797719</v>
      </c>
      <c r="E653" t="s">
        <v>1238</v>
      </c>
      <c r="F653" s="8">
        <v>1548.26</v>
      </c>
      <c r="G653" s="11">
        <v>4.4265357089320768E-3</v>
      </c>
      <c r="H653" s="12">
        <v>0.25347800349486571</v>
      </c>
      <c r="I653" t="s">
        <v>1238</v>
      </c>
      <c r="J653" s="8">
        <v>5</v>
      </c>
      <c r="K653">
        <v>18</v>
      </c>
      <c r="L653" s="11">
        <v>1.8646732619699697E-3</v>
      </c>
      <c r="M653" s="12">
        <v>0.51092047377977179</v>
      </c>
      <c r="N653" t="s">
        <v>1238</v>
      </c>
      <c r="O653" t="s">
        <v>1252</v>
      </c>
      <c r="P653" s="23">
        <f>VLOOKUP(A653,вариация!A$2:G$805,2,FALSE)</f>
        <v>0.91287092917527679</v>
      </c>
      <c r="Q653" t="str">
        <f>IF(вариация!H654="Yes",IF(P656&lt;0.1,"X",IF(P656&lt;0.25,"Y","Z")),"")</f>
        <v>Z</v>
      </c>
      <c r="R653" t="str">
        <f>O653&amp;Q653</f>
        <v>AAAZ</v>
      </c>
    </row>
    <row r="654" spans="1:18" x14ac:dyDescent="0.25">
      <c r="A654" s="7" t="s">
        <v>1045</v>
      </c>
      <c r="B654" s="8">
        <v>1</v>
      </c>
      <c r="C654" s="11">
        <v>6.2155775398999025E-4</v>
      </c>
      <c r="D654" s="12">
        <v>0.93500932932713277</v>
      </c>
      <c r="E654" t="s">
        <v>1239</v>
      </c>
      <c r="F654" s="8">
        <v>632</v>
      </c>
      <c r="G654" s="11">
        <v>1.8069126426085234E-3</v>
      </c>
      <c r="H654" s="12">
        <v>0.56045679110821123</v>
      </c>
      <c r="I654" t="s">
        <v>1238</v>
      </c>
      <c r="J654" s="8">
        <v>5</v>
      </c>
      <c r="K654">
        <v>6</v>
      </c>
      <c r="L654" s="11">
        <v>6.2155775398998981E-4</v>
      </c>
      <c r="M654" s="12">
        <v>0.93500932932713265</v>
      </c>
      <c r="N654" t="s">
        <v>1239</v>
      </c>
      <c r="O654" t="s">
        <v>1255</v>
      </c>
      <c r="P654" s="23">
        <f>VLOOKUP(A654,вариация!A$2:G$805,2,FALSE)</f>
        <v>2.2360679774997894</v>
      </c>
      <c r="Q654" t="str">
        <f>IF(вариация!H655="Yes",IF(P657&lt;0.1,"X",IF(P657&lt;0.25,"Y","Z")),"")</f>
        <v/>
      </c>
      <c r="R654" t="str">
        <f>O654&amp;Q654</f>
        <v>BAB</v>
      </c>
    </row>
    <row r="655" spans="1:18" x14ac:dyDescent="0.25">
      <c r="A655" s="7" t="s">
        <v>760</v>
      </c>
      <c r="B655" s="8">
        <v>1</v>
      </c>
      <c r="C655" s="11">
        <v>6.2155775398999025E-4</v>
      </c>
      <c r="D655" s="12">
        <v>0.93563088708112274</v>
      </c>
      <c r="E655" t="s">
        <v>1239</v>
      </c>
      <c r="F655" s="8">
        <v>416</v>
      </c>
      <c r="G655" s="11">
        <v>1.1893602204511801E-3</v>
      </c>
      <c r="H655" s="12">
        <v>0.72086207225485877</v>
      </c>
      <c r="I655" t="s">
        <v>1238</v>
      </c>
      <c r="J655" s="8">
        <v>5</v>
      </c>
      <c r="K655">
        <v>6</v>
      </c>
      <c r="L655" s="11">
        <v>6.2155775398998981E-4</v>
      </c>
      <c r="M655" s="12">
        <v>0.93563088708112263</v>
      </c>
      <c r="N655" t="s">
        <v>1239</v>
      </c>
      <c r="O655" t="s">
        <v>1255</v>
      </c>
      <c r="P655" s="23">
        <f>VLOOKUP(A655,вариация!A$2:G$805,2,FALSE)</f>
        <v>2.2360679774997894</v>
      </c>
      <c r="Q655" t="str">
        <f>IF(вариация!H656="Yes",IF(P658&lt;0.1,"X",IF(P658&lt;0.25,"Y","Z")),"")</f>
        <v/>
      </c>
      <c r="R655" t="str">
        <f>O655&amp;Q655</f>
        <v>BAB</v>
      </c>
    </row>
    <row r="656" spans="1:18" x14ac:dyDescent="0.25">
      <c r="A656" s="7" t="s">
        <v>1167</v>
      </c>
      <c r="B656" s="8">
        <v>1</v>
      </c>
      <c r="C656" s="11">
        <v>6.2155775398999025E-4</v>
      </c>
      <c r="D656" s="12">
        <v>0.93625244483511272</v>
      </c>
      <c r="E656" t="s">
        <v>1239</v>
      </c>
      <c r="F656" s="8">
        <v>363</v>
      </c>
      <c r="G656" s="11">
        <v>1.0378311539033134E-3</v>
      </c>
      <c r="H656" s="12">
        <v>0.76736718437655271</v>
      </c>
      <c r="I656" t="s">
        <v>1238</v>
      </c>
      <c r="J656" s="8">
        <v>5</v>
      </c>
      <c r="K656">
        <v>6</v>
      </c>
      <c r="L656" s="11">
        <v>6.2155775398998981E-4</v>
      </c>
      <c r="M656" s="12">
        <v>0.93625244483511261</v>
      </c>
      <c r="N656" t="s">
        <v>1239</v>
      </c>
      <c r="O656" t="s">
        <v>1255</v>
      </c>
      <c r="P656" s="23">
        <f>VLOOKUP(A656,вариация!A$2:G$805,2,FALSE)</f>
        <v>2.2360679774997894</v>
      </c>
      <c r="Q656" t="str">
        <f>IF(вариация!H657="Yes",IF(P659&lt;0.1,"X",IF(P659&lt;0.25,"Y","Z")),"")</f>
        <v/>
      </c>
      <c r="R656" t="str">
        <f>O656&amp;Q656</f>
        <v>BAB</v>
      </c>
    </row>
    <row r="657" spans="1:18" x14ac:dyDescent="0.25">
      <c r="A657" s="7" t="s">
        <v>47</v>
      </c>
      <c r="B657" s="8">
        <v>4</v>
      </c>
      <c r="C657" s="11">
        <v>2.486231015959961E-3</v>
      </c>
      <c r="D657" s="12">
        <v>0.40712032886344313</v>
      </c>
      <c r="E657" t="s">
        <v>1238</v>
      </c>
      <c r="F657" s="8">
        <v>222</v>
      </c>
      <c r="G657" s="11">
        <v>6.3470665610615852E-4</v>
      </c>
      <c r="H657" s="12">
        <v>0.89007430748083471</v>
      </c>
      <c r="I657" t="s">
        <v>1239</v>
      </c>
      <c r="J657" s="8">
        <v>5</v>
      </c>
      <c r="K657">
        <v>24</v>
      </c>
      <c r="L657" s="11">
        <v>2.4862310159599593E-3</v>
      </c>
      <c r="M657" s="12">
        <v>0.40712032886344296</v>
      </c>
      <c r="N657" t="s">
        <v>1238</v>
      </c>
      <c r="O657" t="s">
        <v>1253</v>
      </c>
      <c r="P657" s="23">
        <f>VLOOKUP(A657,вариация!A$2:G$805,2,FALSE)</f>
        <v>1.0458250331675945</v>
      </c>
      <c r="Q657" t="str">
        <f>IF(вариация!H658="Yes",IF(P660&lt;0.1,"X",IF(P660&lt;0.25,"Y","Z")),"")</f>
        <v>Z</v>
      </c>
      <c r="R657" t="str">
        <f>O657&amp;Q657</f>
        <v>ABAZ</v>
      </c>
    </row>
    <row r="658" spans="1:18" x14ac:dyDescent="0.25">
      <c r="A658" s="7" t="s">
        <v>619</v>
      </c>
      <c r="B658" s="8">
        <v>1</v>
      </c>
      <c r="C658" s="11">
        <v>6.2155775398999025E-4</v>
      </c>
      <c r="D658" s="12">
        <v>0.93687400258910269</v>
      </c>
      <c r="E658" t="s">
        <v>1239</v>
      </c>
      <c r="F658" s="8">
        <v>1316</v>
      </c>
      <c r="G658" s="11">
        <v>3.7624953127734445E-3</v>
      </c>
      <c r="H658" s="12">
        <v>0.32143360263996179</v>
      </c>
      <c r="I658" t="s">
        <v>1238</v>
      </c>
      <c r="J658" s="8">
        <v>5</v>
      </c>
      <c r="K658">
        <v>6</v>
      </c>
      <c r="L658" s="11">
        <v>6.2155775398998981E-4</v>
      </c>
      <c r="M658" s="12">
        <v>0.93687400258910258</v>
      </c>
      <c r="N658" t="s">
        <v>1239</v>
      </c>
      <c r="O658" t="s">
        <v>1255</v>
      </c>
      <c r="P658" s="23">
        <f>VLOOKUP(A658,вариация!A$2:G$805,2,FALSE)</f>
        <v>2.2360679774997894</v>
      </c>
      <c r="Q658" t="str">
        <f>IF(вариация!H659="Yes",IF(P661&lt;0.1,"X",IF(P661&lt;0.25,"Y","Z")),"")</f>
        <v/>
      </c>
      <c r="R658" t="str">
        <f>O658&amp;Q658</f>
        <v>BAB</v>
      </c>
    </row>
    <row r="659" spans="1:18" x14ac:dyDescent="0.25">
      <c r="A659" s="7" t="s">
        <v>1136</v>
      </c>
      <c r="B659" s="8">
        <v>1</v>
      </c>
      <c r="C659" s="11">
        <v>6.2155775398999025E-4</v>
      </c>
      <c r="D659" s="12">
        <v>0.93749556034309267</v>
      </c>
      <c r="E659" t="s">
        <v>1239</v>
      </c>
      <c r="F659" s="8">
        <v>351</v>
      </c>
      <c r="G659" s="11">
        <v>1.0035226860056832E-3</v>
      </c>
      <c r="H659" s="12">
        <v>0.77955812663617718</v>
      </c>
      <c r="I659" t="s">
        <v>1238</v>
      </c>
      <c r="J659" s="8">
        <v>5</v>
      </c>
      <c r="K659">
        <v>6</v>
      </c>
      <c r="L659" s="11">
        <v>6.2155775398998981E-4</v>
      </c>
      <c r="M659" s="12">
        <v>0.93749556034309256</v>
      </c>
      <c r="N659" t="s">
        <v>1239</v>
      </c>
      <c r="O659" t="s">
        <v>1255</v>
      </c>
      <c r="P659" s="23">
        <f>VLOOKUP(A659,вариация!A$2:G$805,2,FALSE)</f>
        <v>2.2360679774997894</v>
      </c>
      <c r="Q659" t="str">
        <f>IF(вариация!H660="Yes",IF(P662&lt;0.1,"X",IF(P662&lt;0.25,"Y","Z")),"")</f>
        <v/>
      </c>
      <c r="R659" t="str">
        <f>O659&amp;Q659</f>
        <v>BAB</v>
      </c>
    </row>
    <row r="660" spans="1:18" x14ac:dyDescent="0.25">
      <c r="A660" s="7" t="s">
        <v>561</v>
      </c>
      <c r="B660" s="8">
        <v>1</v>
      </c>
      <c r="C660" s="11">
        <v>6.2155775398999025E-4</v>
      </c>
      <c r="D660" s="12">
        <v>0.93811711809708265</v>
      </c>
      <c r="E660" t="s">
        <v>1239</v>
      </c>
      <c r="F660" s="8">
        <v>282</v>
      </c>
      <c r="G660" s="11">
        <v>8.0624899559430955E-4</v>
      </c>
      <c r="H660" s="12">
        <v>0.83304171160335283</v>
      </c>
      <c r="I660" t="s">
        <v>1239</v>
      </c>
      <c r="J660" s="8">
        <v>5</v>
      </c>
      <c r="K660">
        <v>6</v>
      </c>
      <c r="L660" s="11">
        <v>6.2155775398998981E-4</v>
      </c>
      <c r="M660" s="12">
        <v>0.93811711809708254</v>
      </c>
      <c r="N660" t="s">
        <v>1239</v>
      </c>
      <c r="O660" t="s">
        <v>1256</v>
      </c>
      <c r="P660" s="23">
        <f>VLOOKUP(A660,вариация!A$2:G$805,2,FALSE)</f>
        <v>2.2360679774997894</v>
      </c>
      <c r="Q660" t="str">
        <f>IF(вариация!H661="Yes",IF(P663&lt;0.1,"X",IF(P663&lt;0.25,"Y","Z")),"")</f>
        <v/>
      </c>
      <c r="R660" t="str">
        <f>O660&amp;Q660</f>
        <v>BBB</v>
      </c>
    </row>
    <row r="661" spans="1:18" x14ac:dyDescent="0.25">
      <c r="A661" s="7" t="s">
        <v>396</v>
      </c>
      <c r="B661" s="8">
        <v>2</v>
      </c>
      <c r="C661" s="11">
        <v>1.2431155079799805E-3</v>
      </c>
      <c r="D661" s="12">
        <v>0.65947277698337625</v>
      </c>
      <c r="E661" t="s">
        <v>1238</v>
      </c>
      <c r="F661" s="8">
        <v>192.37</v>
      </c>
      <c r="G661" s="11">
        <v>5.4999333078892666E-4</v>
      </c>
      <c r="H661" s="12">
        <v>0.91017126449239938</v>
      </c>
      <c r="I661" t="s">
        <v>1239</v>
      </c>
      <c r="J661" s="8">
        <v>5</v>
      </c>
      <c r="K661">
        <v>12</v>
      </c>
      <c r="L661" s="11">
        <v>1.2431155079799796E-3</v>
      </c>
      <c r="M661" s="12">
        <v>0.65947277698337614</v>
      </c>
      <c r="N661" t="s">
        <v>1238</v>
      </c>
      <c r="O661" t="s">
        <v>1253</v>
      </c>
      <c r="P661" s="23">
        <f>VLOOKUP(A661,вариация!A$2:G$805,2,FALSE)</f>
        <v>1.3693063937629151</v>
      </c>
      <c r="Q661" t="str">
        <f>IF(вариация!H662="Yes",IF(P664&lt;0.1,"X",IF(P664&lt;0.25,"Y","Z")),"")</f>
        <v/>
      </c>
      <c r="R661" t="str">
        <f>O661&amp;Q661</f>
        <v>ABA</v>
      </c>
    </row>
    <row r="662" spans="1:18" x14ac:dyDescent="0.25">
      <c r="A662" s="7" t="s">
        <v>1139</v>
      </c>
      <c r="B662" s="8">
        <v>1</v>
      </c>
      <c r="C662" s="11">
        <v>6.2155775398999025E-4</v>
      </c>
      <c r="D662" s="12">
        <v>0.93873867585107262</v>
      </c>
      <c r="E662" t="s">
        <v>1239</v>
      </c>
      <c r="F662" s="8">
        <v>49</v>
      </c>
      <c r="G662" s="11">
        <v>1.4009291058198996E-4</v>
      </c>
      <c r="H662" s="12">
        <v>0.99522522762383048</v>
      </c>
      <c r="I662" t="s">
        <v>1240</v>
      </c>
      <c r="J662" s="8">
        <v>5</v>
      </c>
      <c r="K662">
        <v>6</v>
      </c>
      <c r="L662" s="11">
        <v>6.2155775398998981E-4</v>
      </c>
      <c r="M662" s="12">
        <v>0.93873867585107251</v>
      </c>
      <c r="N662" t="s">
        <v>1239</v>
      </c>
      <c r="O662" t="s">
        <v>1257</v>
      </c>
      <c r="P662" s="23">
        <f>VLOOKUP(A662,вариация!A$2:G$805,2,FALSE)</f>
        <v>2.2360679774997894</v>
      </c>
      <c r="Q662" t="str">
        <f>IF(вариация!H663="Yes",IF(P665&lt;0.1,"X",IF(P665&lt;0.25,"Y","Z")),"")</f>
        <v/>
      </c>
      <c r="R662" t="str">
        <f>O662&amp;Q662</f>
        <v>BCB</v>
      </c>
    </row>
    <row r="663" spans="1:18" x14ac:dyDescent="0.25">
      <c r="A663" s="7" t="s">
        <v>1171</v>
      </c>
      <c r="B663" s="8">
        <v>1</v>
      </c>
      <c r="C663" s="11">
        <v>6.2155775398999025E-4</v>
      </c>
      <c r="D663" s="12">
        <v>0.9393602336050626</v>
      </c>
      <c r="E663" t="s">
        <v>1239</v>
      </c>
      <c r="F663" s="8">
        <v>643</v>
      </c>
      <c r="G663" s="11">
        <v>1.8383620715146844E-3</v>
      </c>
      <c r="H663" s="12">
        <v>0.55682295255005387</v>
      </c>
      <c r="I663" t="s">
        <v>1238</v>
      </c>
      <c r="J663" s="8">
        <v>5</v>
      </c>
      <c r="K663">
        <v>6</v>
      </c>
      <c r="L663" s="11">
        <v>6.2155775398998981E-4</v>
      </c>
      <c r="M663" s="12">
        <v>0.93936023360506249</v>
      </c>
      <c r="N663" t="s">
        <v>1239</v>
      </c>
      <c r="O663" t="s">
        <v>1255</v>
      </c>
      <c r="P663" s="23">
        <f>VLOOKUP(A663,вариация!A$2:G$805,2,FALSE)</f>
        <v>2.2360679774997894</v>
      </c>
      <c r="Q663" t="str">
        <f>IF(вариация!H664="Yes",IF(P666&lt;0.1,"X",IF(P666&lt;0.25,"Y","Z")),"")</f>
        <v/>
      </c>
      <c r="R663" t="str">
        <f>O663&amp;Q663</f>
        <v>BAB</v>
      </c>
    </row>
    <row r="664" spans="1:18" x14ac:dyDescent="0.25">
      <c r="A664" s="7" t="s">
        <v>696</v>
      </c>
      <c r="B664" s="8">
        <v>1</v>
      </c>
      <c r="C664" s="11">
        <v>6.2155775398999025E-4</v>
      </c>
      <c r="D664" s="12">
        <v>0.93998179135905258</v>
      </c>
      <c r="E664" t="s">
        <v>1239</v>
      </c>
      <c r="F664" s="8">
        <v>1034</v>
      </c>
      <c r="G664" s="11">
        <v>2.956246317179135E-3</v>
      </c>
      <c r="H664" s="12">
        <v>0.39676433392834848</v>
      </c>
      <c r="I664" t="s">
        <v>1238</v>
      </c>
      <c r="J664" s="8">
        <v>5</v>
      </c>
      <c r="K664">
        <v>6</v>
      </c>
      <c r="L664" s="11">
        <v>6.2155775398998981E-4</v>
      </c>
      <c r="M664" s="12">
        <v>0.93998179135905247</v>
      </c>
      <c r="N664" t="s">
        <v>1239</v>
      </c>
      <c r="O664" t="s">
        <v>1255</v>
      </c>
      <c r="P664" s="23">
        <f>VLOOKUP(A664,вариация!A$2:G$805,2,FALSE)</f>
        <v>2.2360679774997894</v>
      </c>
      <c r="Q664" t="str">
        <f>IF(вариация!H665="Yes",IF(P667&lt;0.1,"X",IF(P667&lt;0.25,"Y","Z")),"")</f>
        <v/>
      </c>
      <c r="R664" t="str">
        <f>O664&amp;Q664</f>
        <v>BAB</v>
      </c>
    </row>
    <row r="665" spans="1:18" x14ac:dyDescent="0.25">
      <c r="A665" s="7" t="s">
        <v>1034</v>
      </c>
      <c r="B665" s="8">
        <v>2</v>
      </c>
      <c r="C665" s="11">
        <v>1.2431155079799805E-3</v>
      </c>
      <c r="D665" s="12">
        <v>0.6607158924913562</v>
      </c>
      <c r="E665" t="s">
        <v>1238</v>
      </c>
      <c r="F665" s="8">
        <v>311.33</v>
      </c>
      <c r="G665" s="11">
        <v>8.9010460921410057E-4</v>
      </c>
      <c r="H665" s="12">
        <v>0.81180568486719695</v>
      </c>
      <c r="I665" t="s">
        <v>1239</v>
      </c>
      <c r="J665" s="8">
        <v>5</v>
      </c>
      <c r="K665">
        <v>12</v>
      </c>
      <c r="L665" s="11">
        <v>1.2431155079799796E-3</v>
      </c>
      <c r="M665" s="12">
        <v>0.66071589249135609</v>
      </c>
      <c r="N665" t="s">
        <v>1238</v>
      </c>
      <c r="O665" t="s">
        <v>1253</v>
      </c>
      <c r="P665" s="23">
        <f>VLOOKUP(A665,вариация!A$2:G$805,2,FALSE)</f>
        <v>2.2360679774997894</v>
      </c>
      <c r="Q665" t="str">
        <f>IF(вариация!H666="Yes",IF(P668&lt;0.1,"X",IF(P668&lt;0.25,"Y","Z")),"")</f>
        <v/>
      </c>
      <c r="R665" t="str">
        <f>O665&amp;Q665</f>
        <v>ABA</v>
      </c>
    </row>
    <row r="666" spans="1:18" x14ac:dyDescent="0.25">
      <c r="A666" s="7" t="s">
        <v>755</v>
      </c>
      <c r="B666" s="8">
        <v>2</v>
      </c>
      <c r="C666" s="11">
        <v>1.2431155079799805E-3</v>
      </c>
      <c r="D666" s="12">
        <v>0.66195900799933616</v>
      </c>
      <c r="E666" t="s">
        <v>1238</v>
      </c>
      <c r="F666" s="8">
        <v>242</v>
      </c>
      <c r="G666" s="11">
        <v>6.9188743593554219E-4</v>
      </c>
      <c r="H666" s="12">
        <v>0.87675690385857108</v>
      </c>
      <c r="I666" t="s">
        <v>1239</v>
      </c>
      <c r="J666" s="8">
        <v>5</v>
      </c>
      <c r="K666">
        <v>12</v>
      </c>
      <c r="L666" s="11">
        <v>1.2431155079799796E-3</v>
      </c>
      <c r="M666" s="12">
        <v>0.66195900799933605</v>
      </c>
      <c r="N666" t="s">
        <v>1238</v>
      </c>
      <c r="O666" t="s">
        <v>1253</v>
      </c>
      <c r="P666" s="23">
        <f>VLOOKUP(A666,вариация!A$2:G$805,2,FALSE)</f>
        <v>2.2360679774997894</v>
      </c>
      <c r="Q666" t="str">
        <f>IF(вариация!H667="Yes",IF(P669&lt;0.1,"X",IF(P669&lt;0.25,"Y","Z")),"")</f>
        <v/>
      </c>
      <c r="R666" t="str">
        <f>O666&amp;Q666</f>
        <v>ABA</v>
      </c>
    </row>
    <row r="667" spans="1:18" x14ac:dyDescent="0.25">
      <c r="A667" s="7" t="s">
        <v>891</v>
      </c>
      <c r="B667" s="8">
        <v>1</v>
      </c>
      <c r="C667" s="11">
        <v>6.2155775398999025E-4</v>
      </c>
      <c r="D667" s="12">
        <v>0.94060334911304255</v>
      </c>
      <c r="E667" t="s">
        <v>1239</v>
      </c>
      <c r="F667" s="8">
        <v>361</v>
      </c>
      <c r="G667" s="11">
        <v>1.0321130759203749E-3</v>
      </c>
      <c r="H667" s="12">
        <v>0.76839929745247304</v>
      </c>
      <c r="I667" t="s">
        <v>1238</v>
      </c>
      <c r="J667" s="8">
        <v>5</v>
      </c>
      <c r="K667">
        <v>6</v>
      </c>
      <c r="L667" s="11">
        <v>6.2155775398998981E-4</v>
      </c>
      <c r="M667" s="12">
        <v>0.94060334911304244</v>
      </c>
      <c r="N667" t="s">
        <v>1239</v>
      </c>
      <c r="O667" t="s">
        <v>1255</v>
      </c>
      <c r="P667" s="23">
        <f>VLOOKUP(A667,вариация!A$2:G$805,2,FALSE)</f>
        <v>2.2360679774997894</v>
      </c>
      <c r="Q667" t="str">
        <f>IF(вариация!H668="Yes",IF(P670&lt;0.1,"X",IF(P670&lt;0.25,"Y","Z")),"")</f>
        <v/>
      </c>
      <c r="R667" t="str">
        <f>O667&amp;Q667</f>
        <v>BAB</v>
      </c>
    </row>
    <row r="668" spans="1:18" x14ac:dyDescent="0.25">
      <c r="A668" s="7" t="s">
        <v>347</v>
      </c>
      <c r="B668" s="8">
        <v>1</v>
      </c>
      <c r="C668" s="11">
        <v>6.2155775398999025E-4</v>
      </c>
      <c r="D668" s="12">
        <v>0.94122490686703253</v>
      </c>
      <c r="E668" t="s">
        <v>1239</v>
      </c>
      <c r="F668" s="8">
        <v>87</v>
      </c>
      <c r="G668" s="11">
        <v>2.4873639225781889E-4</v>
      </c>
      <c r="H668" s="12">
        <v>0.9775523521037861</v>
      </c>
      <c r="I668" t="s">
        <v>1240</v>
      </c>
      <c r="J668" s="8">
        <v>5</v>
      </c>
      <c r="K668">
        <v>6</v>
      </c>
      <c r="L668" s="11">
        <v>6.2155775398998981E-4</v>
      </c>
      <c r="M668" s="12">
        <v>0.94122490686703242</v>
      </c>
      <c r="N668" t="s">
        <v>1239</v>
      </c>
      <c r="O668" t="s">
        <v>1257</v>
      </c>
      <c r="P668" s="23">
        <f>VLOOKUP(A668,вариация!A$2:G$805,2,FALSE)</f>
        <v>2.2360679774997894</v>
      </c>
      <c r="Q668" t="str">
        <f>IF(вариация!H669="Yes",IF(P671&lt;0.1,"X",IF(P671&lt;0.25,"Y","Z")),"")</f>
        <v/>
      </c>
      <c r="R668" t="str">
        <f>O668&amp;Q668</f>
        <v>BCB</v>
      </c>
    </row>
    <row r="669" spans="1:18" x14ac:dyDescent="0.25">
      <c r="A669" s="7" t="s">
        <v>1091</v>
      </c>
      <c r="B669" s="8">
        <v>1</v>
      </c>
      <c r="C669" s="11">
        <v>6.2155775398999025E-4</v>
      </c>
      <c r="D669" s="12">
        <v>0.94184646462102251</v>
      </c>
      <c r="E669" t="s">
        <v>1239</v>
      </c>
      <c r="F669" s="8">
        <v>74</v>
      </c>
      <c r="G669" s="11">
        <v>2.1156888536871953E-4</v>
      </c>
      <c r="H669" s="12">
        <v>0.98636328128691608</v>
      </c>
      <c r="I669" t="s">
        <v>1240</v>
      </c>
      <c r="J669" s="8">
        <v>5</v>
      </c>
      <c r="K669">
        <v>6</v>
      </c>
      <c r="L669" s="11">
        <v>6.2155775398998981E-4</v>
      </c>
      <c r="M669" s="12">
        <v>0.94184646462102239</v>
      </c>
      <c r="N669" t="s">
        <v>1239</v>
      </c>
      <c r="O669" t="s">
        <v>1257</v>
      </c>
      <c r="P669" s="23">
        <f>VLOOKUP(A669,вариация!A$2:G$805,2,FALSE)</f>
        <v>2.2360679774997894</v>
      </c>
      <c r="Q669" t="str">
        <f>IF(вариация!H670="Yes",IF(P672&lt;0.1,"X",IF(P672&lt;0.25,"Y","Z")),"")</f>
        <v/>
      </c>
      <c r="R669" t="str">
        <f>O669&amp;Q669</f>
        <v>BCB</v>
      </c>
    </row>
    <row r="670" spans="1:18" x14ac:dyDescent="0.25">
      <c r="A670" s="7" t="s">
        <v>667</v>
      </c>
      <c r="B670" s="8">
        <v>4</v>
      </c>
      <c r="C670" s="11">
        <v>2.486231015959961E-3</v>
      </c>
      <c r="D670" s="12">
        <v>0.40960655987940309</v>
      </c>
      <c r="E670" t="s">
        <v>1238</v>
      </c>
      <c r="F670" s="8">
        <v>188</v>
      </c>
      <c r="G670" s="11">
        <v>5.3749933039620636E-4</v>
      </c>
      <c r="H670" s="12">
        <v>0.91396429434160176</v>
      </c>
      <c r="I670" t="s">
        <v>1239</v>
      </c>
      <c r="J670" s="8">
        <v>5</v>
      </c>
      <c r="K670">
        <v>24</v>
      </c>
      <c r="L670" s="11">
        <v>2.4862310159599593E-3</v>
      </c>
      <c r="M670" s="12">
        <v>0.40960655987940292</v>
      </c>
      <c r="N670" t="s">
        <v>1238</v>
      </c>
      <c r="O670" t="s">
        <v>1253</v>
      </c>
      <c r="P670" s="23">
        <f>VLOOKUP(A670,вариация!A$2:G$805,2,FALSE)</f>
        <v>1.6298006013006621</v>
      </c>
      <c r="Q670" t="str">
        <f>IF(вариация!H671="Yes",IF(P673&lt;0.1,"X",IF(P673&lt;0.25,"Y","Z")),"")</f>
        <v/>
      </c>
      <c r="R670" t="str">
        <f>O670&amp;Q670</f>
        <v>ABA</v>
      </c>
    </row>
    <row r="671" spans="1:18" x14ac:dyDescent="0.25">
      <c r="A671" s="7" t="s">
        <v>1114</v>
      </c>
      <c r="B671" s="8">
        <v>0.05</v>
      </c>
      <c r="C671" s="11">
        <v>3.1077887699499514E-5</v>
      </c>
      <c r="D671" s="12">
        <v>0.99994405980213052</v>
      </c>
      <c r="E671" t="s">
        <v>1240</v>
      </c>
      <c r="F671" s="8">
        <v>88.300000000000011</v>
      </c>
      <c r="G671" s="11">
        <v>2.5245314294672887E-4</v>
      </c>
      <c r="H671" s="12">
        <v>0.97680454186517729</v>
      </c>
      <c r="I671" t="s">
        <v>1240</v>
      </c>
      <c r="J671" s="8">
        <v>5</v>
      </c>
      <c r="K671">
        <v>0.3</v>
      </c>
      <c r="L671" s="11">
        <v>3.1077887699499493E-5</v>
      </c>
      <c r="M671" s="12">
        <v>0.99994405980213041</v>
      </c>
      <c r="N671" t="s">
        <v>1240</v>
      </c>
      <c r="O671" t="s">
        <v>1260</v>
      </c>
      <c r="P671" s="23">
        <f>VLOOKUP(A671,вариация!A$2:G$805,2,FALSE)</f>
        <v>2.2360679774997898</v>
      </c>
      <c r="Q671" t="str">
        <f>IF(вариация!H672="Yes",IF(P674&lt;0.1,"X",IF(P674&lt;0.25,"Y","Z")),"")</f>
        <v/>
      </c>
      <c r="R671" t="str">
        <f>O671&amp;Q671</f>
        <v>CCC</v>
      </c>
    </row>
    <row r="672" spans="1:18" x14ac:dyDescent="0.25">
      <c r="A672" s="7" t="s">
        <v>803</v>
      </c>
      <c r="B672" s="8">
        <v>0.14000000000000001</v>
      </c>
      <c r="C672" s="11">
        <v>8.701808555859863E-5</v>
      </c>
      <c r="D672" s="12">
        <v>0.99949772224326994</v>
      </c>
      <c r="E672" t="s">
        <v>1240</v>
      </c>
      <c r="F672" s="8">
        <v>128.16</v>
      </c>
      <c r="G672" s="11">
        <v>3.6641443714669045E-4</v>
      </c>
      <c r="H672" s="12">
        <v>0.94715845180288516</v>
      </c>
      <c r="I672" t="s">
        <v>1239</v>
      </c>
      <c r="J672" s="8">
        <v>5</v>
      </c>
      <c r="K672">
        <v>0.84000000000000008</v>
      </c>
      <c r="L672" s="11">
        <v>8.701808555859859E-5</v>
      </c>
      <c r="M672" s="12">
        <v>0.99949772224326983</v>
      </c>
      <c r="N672" t="s">
        <v>1240</v>
      </c>
      <c r="O672" t="s">
        <v>1259</v>
      </c>
      <c r="P672" s="23">
        <f>VLOOKUP(A672,вариация!A$2:G$805,2,FALSE)</f>
        <v>2.0422826364993996</v>
      </c>
      <c r="Q672" t="str">
        <f>IF(вариация!H673="Yes",IF(P675&lt;0.1,"X",IF(P675&lt;0.25,"Y","Z")),"")</f>
        <v/>
      </c>
      <c r="R672" t="str">
        <f>O672&amp;Q672</f>
        <v>CBC</v>
      </c>
    </row>
    <row r="673" spans="1:18" x14ac:dyDescent="0.25">
      <c r="A673" s="7" t="s">
        <v>1069</v>
      </c>
      <c r="B673" s="8">
        <v>0.05</v>
      </c>
      <c r="C673" s="11">
        <v>3.1077887699499514E-5</v>
      </c>
      <c r="D673" s="12">
        <v>0.99997513768983004</v>
      </c>
      <c r="E673" t="s">
        <v>1240</v>
      </c>
      <c r="F673" s="8">
        <v>56.050000000000004</v>
      </c>
      <c r="G673" s="11">
        <v>1.6024913547184769E-4</v>
      </c>
      <c r="H673" s="12">
        <v>0.99270723149547679</v>
      </c>
      <c r="I673" t="s">
        <v>1240</v>
      </c>
      <c r="J673" s="8">
        <v>5</v>
      </c>
      <c r="K673">
        <v>0.3</v>
      </c>
      <c r="L673" s="11">
        <v>3.1077887699499493E-5</v>
      </c>
      <c r="M673" s="12">
        <v>0.99997513768982993</v>
      </c>
      <c r="N673" t="s">
        <v>1240</v>
      </c>
      <c r="O673" t="s">
        <v>1260</v>
      </c>
      <c r="P673" s="23">
        <f>VLOOKUP(A673,вариация!A$2:G$805,2,FALSE)</f>
        <v>2.2360679774997898</v>
      </c>
      <c r="Q673" t="str">
        <f>IF(вариация!H674="Yes",IF(P676&lt;0.1,"X",IF(P676&lt;0.25,"Y","Z")),"")</f>
        <v/>
      </c>
      <c r="R673" t="str">
        <f>O673&amp;Q673</f>
        <v>CCC</v>
      </c>
    </row>
    <row r="674" spans="1:18" x14ac:dyDescent="0.25">
      <c r="A674" s="7" t="s">
        <v>714</v>
      </c>
      <c r="B674" s="8">
        <v>0.11000000000000001</v>
      </c>
      <c r="C674" s="11">
        <v>6.8371352938898932E-5</v>
      </c>
      <c r="D674" s="12">
        <v>0.99964068052668764</v>
      </c>
      <c r="E674" t="s">
        <v>1240</v>
      </c>
      <c r="F674" s="8">
        <v>118.9</v>
      </c>
      <c r="G674" s="11">
        <v>3.3993973608568582E-4</v>
      </c>
      <c r="H674" s="12">
        <v>0.95703603125295234</v>
      </c>
      <c r="I674" t="s">
        <v>1240</v>
      </c>
      <c r="J674" s="8">
        <v>5</v>
      </c>
      <c r="K674">
        <v>0.66</v>
      </c>
      <c r="L674" s="11">
        <v>6.8371352938898891E-5</v>
      </c>
      <c r="M674" s="12">
        <v>0.99964068052668753</v>
      </c>
      <c r="N674" t="s">
        <v>1240</v>
      </c>
      <c r="O674" t="s">
        <v>1260</v>
      </c>
      <c r="P674" s="23">
        <f>VLOOKUP(A674,вариация!A$2:G$805,2,FALSE)</f>
        <v>1.3787046261911911</v>
      </c>
      <c r="Q674" t="str">
        <f>IF(вариация!H675="Yes",IF(P677&lt;0.1,"X",IF(P677&lt;0.25,"Y","Z")),"")</f>
        <v/>
      </c>
      <c r="R674" t="str">
        <f>O674&amp;Q674</f>
        <v>CCC</v>
      </c>
    </row>
    <row r="675" spans="1:18" x14ac:dyDescent="0.25">
      <c r="A675" s="7" t="s">
        <v>949</v>
      </c>
      <c r="B675" s="8">
        <v>1</v>
      </c>
      <c r="C675" s="11">
        <v>6.2155775398999025E-4</v>
      </c>
      <c r="D675" s="12">
        <v>0.94246802237501248</v>
      </c>
      <c r="E675" t="s">
        <v>1239</v>
      </c>
      <c r="F675" s="8">
        <v>539</v>
      </c>
      <c r="G675" s="11">
        <v>1.5410220164018896E-3</v>
      </c>
      <c r="H675" s="12">
        <v>0.62263691510846764</v>
      </c>
      <c r="I675" t="s">
        <v>1238</v>
      </c>
      <c r="J675" s="8">
        <v>5</v>
      </c>
      <c r="K675">
        <v>6</v>
      </c>
      <c r="L675" s="11">
        <v>6.2155775398998981E-4</v>
      </c>
      <c r="M675" s="12">
        <v>0.94246802237501237</v>
      </c>
      <c r="N675" t="s">
        <v>1239</v>
      </c>
      <c r="O675" t="s">
        <v>1255</v>
      </c>
      <c r="P675" s="23">
        <f>VLOOKUP(A675,вариация!A$2:G$805,2,FALSE)</f>
        <v>2.2360679774997894</v>
      </c>
      <c r="Q675" t="str">
        <f>IF(вариация!H676="Yes",IF(P678&lt;0.1,"X",IF(P678&lt;0.25,"Y","Z")),"")</f>
        <v/>
      </c>
      <c r="R675" t="str">
        <f>O675&amp;Q675</f>
        <v>BAB</v>
      </c>
    </row>
    <row r="676" spans="1:18" x14ac:dyDescent="0.25">
      <c r="A676" s="7" t="s">
        <v>500</v>
      </c>
      <c r="B676" s="8">
        <v>1</v>
      </c>
      <c r="C676" s="11">
        <v>6.2155775398999025E-4</v>
      </c>
      <c r="D676" s="12">
        <v>0.94308958012900246</v>
      </c>
      <c r="E676" t="s">
        <v>1239</v>
      </c>
      <c r="F676" s="8">
        <v>305</v>
      </c>
      <c r="G676" s="11">
        <v>8.7200689239810077E-4</v>
      </c>
      <c r="H676" s="12">
        <v>0.8179533048682136</v>
      </c>
      <c r="I676" t="s">
        <v>1239</v>
      </c>
      <c r="J676" s="8">
        <v>5</v>
      </c>
      <c r="K676">
        <v>6</v>
      </c>
      <c r="L676" s="11">
        <v>6.2155775398998981E-4</v>
      </c>
      <c r="M676" s="12">
        <v>0.94308958012900235</v>
      </c>
      <c r="N676" t="s">
        <v>1239</v>
      </c>
      <c r="O676" t="s">
        <v>1256</v>
      </c>
      <c r="P676" s="23">
        <f>VLOOKUP(A676,вариация!A$2:G$805,2,FALSE)</f>
        <v>2.2360679774997894</v>
      </c>
      <c r="Q676" t="str">
        <f>IF(вариация!H677="Yes",IF(P679&lt;0.1,"X",IF(P679&lt;0.25,"Y","Z")),"")</f>
        <v/>
      </c>
      <c r="R676" t="str">
        <f>O676&amp;Q676</f>
        <v>BBB</v>
      </c>
    </row>
    <row r="677" spans="1:18" x14ac:dyDescent="0.25">
      <c r="A677" s="7" t="s">
        <v>564</v>
      </c>
      <c r="B677" s="8">
        <v>1</v>
      </c>
      <c r="C677" s="11">
        <v>6.2155775398999025E-4</v>
      </c>
      <c r="D677" s="12">
        <v>0.94371113788299243</v>
      </c>
      <c r="E677" t="s">
        <v>1239</v>
      </c>
      <c r="F677" s="8">
        <v>101</v>
      </c>
      <c r="G677" s="11">
        <v>2.8876293813838747E-4</v>
      </c>
      <c r="H677" s="12">
        <v>0.96783190543668984</v>
      </c>
      <c r="I677" t="s">
        <v>1240</v>
      </c>
      <c r="J677" s="8">
        <v>5</v>
      </c>
      <c r="K677">
        <v>6</v>
      </c>
      <c r="L677" s="11">
        <v>6.2155775398998981E-4</v>
      </c>
      <c r="M677" s="12">
        <v>0.94371113788299232</v>
      </c>
      <c r="N677" t="s">
        <v>1239</v>
      </c>
      <c r="O677" t="s">
        <v>1257</v>
      </c>
      <c r="P677" s="23">
        <f>VLOOKUP(A677,вариация!A$2:G$805,2,FALSE)</f>
        <v>2.2360679774997894</v>
      </c>
      <c r="Q677" t="str">
        <f>IF(вариация!H678="Yes",IF(P680&lt;0.1,"X",IF(P680&lt;0.25,"Y","Z")),"")</f>
        <v/>
      </c>
      <c r="R677" t="str">
        <f>O677&amp;Q677</f>
        <v>BCB</v>
      </c>
    </row>
    <row r="678" spans="1:18" x14ac:dyDescent="0.25">
      <c r="A678" s="7" t="s">
        <v>351</v>
      </c>
      <c r="B678" s="8">
        <v>1</v>
      </c>
      <c r="C678" s="11">
        <v>6.2155775398999025E-4</v>
      </c>
      <c r="D678" s="12">
        <v>0.94433269563698241</v>
      </c>
      <c r="E678" t="s">
        <v>1239</v>
      </c>
      <c r="F678" s="8">
        <v>458</v>
      </c>
      <c r="G678" s="11">
        <v>1.3094398580928857E-3</v>
      </c>
      <c r="H678" s="12">
        <v>0.68462089399899539</v>
      </c>
      <c r="I678" t="s">
        <v>1238</v>
      </c>
      <c r="J678" s="8">
        <v>5</v>
      </c>
      <c r="K678">
        <v>6</v>
      </c>
      <c r="L678" s="11">
        <v>6.2155775398998981E-4</v>
      </c>
      <c r="M678" s="12">
        <v>0.9443326956369823</v>
      </c>
      <c r="N678" t="s">
        <v>1239</v>
      </c>
      <c r="O678" t="s">
        <v>1255</v>
      </c>
      <c r="P678" s="23">
        <f>VLOOKUP(A678,вариация!A$2:G$805,2,FALSE)</f>
        <v>2.2360679774997894</v>
      </c>
      <c r="Q678" t="str">
        <f>IF(вариация!H679="Yes",IF(P681&lt;0.1,"X",IF(P681&lt;0.25,"Y","Z")),"")</f>
        <v/>
      </c>
      <c r="R678" t="str">
        <f>O678&amp;Q678</f>
        <v>BAB</v>
      </c>
    </row>
    <row r="679" spans="1:18" x14ac:dyDescent="0.25">
      <c r="A679" s="7" t="s">
        <v>172</v>
      </c>
      <c r="B679" s="8">
        <v>7</v>
      </c>
      <c r="C679" s="11">
        <v>4.3509042779299317E-3</v>
      </c>
      <c r="D679" s="12">
        <v>0.26664827646170575</v>
      </c>
      <c r="E679" t="s">
        <v>1238</v>
      </c>
      <c r="F679" s="8">
        <v>280</v>
      </c>
      <c r="G679" s="11">
        <v>8.0053091761137115E-4</v>
      </c>
      <c r="H679" s="12">
        <v>0.83464563247756707</v>
      </c>
      <c r="I679" t="s">
        <v>1239</v>
      </c>
      <c r="J679" s="8">
        <v>5</v>
      </c>
      <c r="K679">
        <v>42</v>
      </c>
      <c r="L679" s="11">
        <v>4.3509042779299291E-3</v>
      </c>
      <c r="M679" s="12">
        <v>0.26664827646170558</v>
      </c>
      <c r="N679" t="s">
        <v>1238</v>
      </c>
      <c r="O679" t="s">
        <v>1253</v>
      </c>
      <c r="P679" s="23">
        <f>VLOOKUP(A679,вариация!A$2:G$805,2,FALSE)</f>
        <v>1.3923991921155663</v>
      </c>
      <c r="Q679" t="str">
        <f>IF(вариация!H680="Yes",IF(P682&lt;0.1,"X",IF(P682&lt;0.25,"Y","Z")),"")</f>
        <v/>
      </c>
      <c r="R679" t="str">
        <f>O679&amp;Q679</f>
        <v>ABA</v>
      </c>
    </row>
    <row r="680" spans="1:18" x14ac:dyDescent="0.25">
      <c r="A680" s="7" t="s">
        <v>517</v>
      </c>
      <c r="B680" s="8">
        <v>11</v>
      </c>
      <c r="C680" s="11">
        <v>6.8371352938898919E-3</v>
      </c>
      <c r="D680" s="12">
        <v>0.19765536576881684</v>
      </c>
      <c r="E680" t="s">
        <v>1238</v>
      </c>
      <c r="F680" s="8">
        <v>1279.94</v>
      </c>
      <c r="G680" s="11">
        <v>3.6593983667410658E-3</v>
      </c>
      <c r="H680" s="12">
        <v>0.32879545650065545</v>
      </c>
      <c r="I680" t="s">
        <v>1238</v>
      </c>
      <c r="J680" s="8">
        <v>5</v>
      </c>
      <c r="K680">
        <v>66</v>
      </c>
      <c r="L680" s="11">
        <v>6.8371352938898884E-3</v>
      </c>
      <c r="M680" s="12">
        <v>0.1976553657688167</v>
      </c>
      <c r="N680" t="s">
        <v>1238</v>
      </c>
      <c r="O680" t="s">
        <v>1252</v>
      </c>
      <c r="P680" s="23">
        <f>VLOOKUP(A680,вариация!A$2:G$805,2,FALSE)</f>
        <v>0.67419986246324204</v>
      </c>
      <c r="Q680" t="str">
        <f>IF(вариация!H681="Yes",IF(P683&lt;0.1,"X",IF(P683&lt;0.25,"Y","Z")),"")</f>
        <v>Z</v>
      </c>
      <c r="R680" t="str">
        <f>O680&amp;Q680</f>
        <v>AAAZ</v>
      </c>
    </row>
    <row r="681" spans="1:18" x14ac:dyDescent="0.25">
      <c r="A681" s="7" t="s">
        <v>346</v>
      </c>
      <c r="B681" s="8">
        <v>1</v>
      </c>
      <c r="C681" s="11">
        <v>6.2155775398999025E-4</v>
      </c>
      <c r="D681" s="12">
        <v>0.94495425339097239</v>
      </c>
      <c r="E681" t="s">
        <v>1239</v>
      </c>
      <c r="F681" s="8">
        <v>514</v>
      </c>
      <c r="G681" s="11">
        <v>1.4695460416151598E-3</v>
      </c>
      <c r="H681" s="12">
        <v>0.64078895366530553</v>
      </c>
      <c r="I681" t="s">
        <v>1238</v>
      </c>
      <c r="J681" s="8">
        <v>5</v>
      </c>
      <c r="K681">
        <v>6</v>
      </c>
      <c r="L681" s="11">
        <v>6.2155775398998981E-4</v>
      </c>
      <c r="M681" s="12">
        <v>0.94495425339097228</v>
      </c>
      <c r="N681" t="s">
        <v>1239</v>
      </c>
      <c r="O681" t="s">
        <v>1255</v>
      </c>
      <c r="P681" s="23">
        <f>VLOOKUP(A681,вариация!A$2:G$805,2,FALSE)</f>
        <v>2.2360679774997894</v>
      </c>
      <c r="Q681" t="str">
        <f>IF(вариация!H682="Yes",IF(P684&lt;0.1,"X",IF(P684&lt;0.25,"Y","Z")),"")</f>
        <v/>
      </c>
      <c r="R681" t="str">
        <f>O681&amp;Q681</f>
        <v>BAB</v>
      </c>
    </row>
    <row r="682" spans="1:18" x14ac:dyDescent="0.25">
      <c r="A682" s="7" t="s">
        <v>757</v>
      </c>
      <c r="B682" s="8">
        <v>1</v>
      </c>
      <c r="C682" s="11">
        <v>6.2155775398999025E-4</v>
      </c>
      <c r="D682" s="12">
        <v>0.94557581114496236</v>
      </c>
      <c r="E682" t="s">
        <v>1239</v>
      </c>
      <c r="F682" s="8">
        <v>1046</v>
      </c>
      <c r="G682" s="11">
        <v>2.9905547850767652E-3</v>
      </c>
      <c r="H682" s="12">
        <v>0.38787272266487932</v>
      </c>
      <c r="I682" t="s">
        <v>1238</v>
      </c>
      <c r="J682" s="8">
        <v>5</v>
      </c>
      <c r="K682">
        <v>6</v>
      </c>
      <c r="L682" s="11">
        <v>6.2155775398998981E-4</v>
      </c>
      <c r="M682" s="12">
        <v>0.94557581114496225</v>
      </c>
      <c r="N682" t="s">
        <v>1239</v>
      </c>
      <c r="O682" t="s">
        <v>1255</v>
      </c>
      <c r="P682" s="23">
        <f>VLOOKUP(A682,вариация!A$2:G$805,2,FALSE)</f>
        <v>2.2360679774997894</v>
      </c>
      <c r="Q682" t="str">
        <f>IF(вариация!H683="Yes",IF(P685&lt;0.1,"X",IF(P685&lt;0.25,"Y","Z")),"")</f>
        <v/>
      </c>
      <c r="R682" t="str">
        <f>O682&amp;Q682</f>
        <v>BAB</v>
      </c>
    </row>
    <row r="683" spans="1:18" x14ac:dyDescent="0.25">
      <c r="A683" s="7" t="s">
        <v>1140</v>
      </c>
      <c r="B683" s="8">
        <v>1</v>
      </c>
      <c r="C683" s="11">
        <v>6.2155775398999025E-4</v>
      </c>
      <c r="D683" s="12">
        <v>0.94619736889895234</v>
      </c>
      <c r="E683" t="s">
        <v>1239</v>
      </c>
      <c r="F683" s="8">
        <v>155</v>
      </c>
      <c r="G683" s="11">
        <v>4.431510436777233E-4</v>
      </c>
      <c r="H683" s="12">
        <v>0.93180221029502552</v>
      </c>
      <c r="I683" t="s">
        <v>1239</v>
      </c>
      <c r="J683" s="8">
        <v>5</v>
      </c>
      <c r="K683">
        <v>6</v>
      </c>
      <c r="L683" s="11">
        <v>6.2155775398998981E-4</v>
      </c>
      <c r="M683" s="12">
        <v>0.94619736889895223</v>
      </c>
      <c r="N683" t="s">
        <v>1239</v>
      </c>
      <c r="O683" t="s">
        <v>1256</v>
      </c>
      <c r="P683" s="23">
        <f>VLOOKUP(A683,вариация!A$2:G$805,2,FALSE)</f>
        <v>2.2360679774997894</v>
      </c>
      <c r="Q683" t="str">
        <f>IF(вариация!H684="Yes",IF(P686&lt;0.1,"X",IF(P686&lt;0.25,"Y","Z")),"")</f>
        <v/>
      </c>
      <c r="R683" t="str">
        <f>O683&amp;Q683</f>
        <v>BBB</v>
      </c>
    </row>
    <row r="684" spans="1:18" x14ac:dyDescent="0.25">
      <c r="A684" s="7" t="s">
        <v>209</v>
      </c>
      <c r="B684" s="8">
        <v>1</v>
      </c>
      <c r="C684" s="11">
        <v>6.2155775398999025E-4</v>
      </c>
      <c r="D684" s="12">
        <v>0.94681892665294232</v>
      </c>
      <c r="E684" t="s">
        <v>1239</v>
      </c>
      <c r="F684" s="8">
        <v>295</v>
      </c>
      <c r="G684" s="11">
        <v>8.4341650248340888E-4</v>
      </c>
      <c r="H684" s="12">
        <v>0.82647103960276846</v>
      </c>
      <c r="I684" t="s">
        <v>1239</v>
      </c>
      <c r="J684" s="8">
        <v>5</v>
      </c>
      <c r="K684">
        <v>6</v>
      </c>
      <c r="L684" s="11">
        <v>6.2155775398998981E-4</v>
      </c>
      <c r="M684" s="12">
        <v>0.94681892665294221</v>
      </c>
      <c r="N684" t="s">
        <v>1239</v>
      </c>
      <c r="O684" t="s">
        <v>1256</v>
      </c>
      <c r="P684" s="23">
        <f>VLOOKUP(A684,вариация!A$2:G$805,2,FALSE)</f>
        <v>2.2360679774997894</v>
      </c>
      <c r="Q684" t="str">
        <f>IF(вариация!H685="Yes",IF(P687&lt;0.1,"X",IF(P687&lt;0.25,"Y","Z")),"")</f>
        <v/>
      </c>
      <c r="R684" t="str">
        <f>O684&amp;Q684</f>
        <v>BBB</v>
      </c>
    </row>
    <row r="685" spans="1:18" x14ac:dyDescent="0.25">
      <c r="A685" s="7" t="s">
        <v>362</v>
      </c>
      <c r="B685" s="8">
        <v>1</v>
      </c>
      <c r="C685" s="11">
        <v>6.2155775398999025E-4</v>
      </c>
      <c r="D685" s="12">
        <v>0.94744048440693229</v>
      </c>
      <c r="E685" t="s">
        <v>1239</v>
      </c>
      <c r="F685" s="8">
        <v>245</v>
      </c>
      <c r="G685" s="11">
        <v>7.0046455290994974E-4</v>
      </c>
      <c r="H685" s="12">
        <v>0.87398077699785437</v>
      </c>
      <c r="I685" t="s">
        <v>1239</v>
      </c>
      <c r="J685" s="8">
        <v>5</v>
      </c>
      <c r="K685">
        <v>6</v>
      </c>
      <c r="L685" s="11">
        <v>6.2155775398998981E-4</v>
      </c>
      <c r="M685" s="12">
        <v>0.94744048440693218</v>
      </c>
      <c r="N685" t="s">
        <v>1239</v>
      </c>
      <c r="O685" t="s">
        <v>1256</v>
      </c>
      <c r="P685" s="23">
        <f>VLOOKUP(A685,вариация!A$2:G$805,2,FALSE)</f>
        <v>2.2360679774997894</v>
      </c>
      <c r="Q685" t="str">
        <f>IF(вариация!H686="Yes",IF(P688&lt;0.1,"X",IF(P688&lt;0.25,"Y","Z")),"")</f>
        <v/>
      </c>
      <c r="R685" t="str">
        <f>O685&amp;Q685</f>
        <v>BBB</v>
      </c>
    </row>
    <row r="686" spans="1:18" x14ac:dyDescent="0.25">
      <c r="A686" s="7" t="s">
        <v>628</v>
      </c>
      <c r="B686" s="8">
        <v>0.8</v>
      </c>
      <c r="C686" s="11">
        <v>4.9724620319199222E-4</v>
      </c>
      <c r="D686" s="12">
        <v>0.99393300440538257</v>
      </c>
      <c r="E686" t="s">
        <v>1240</v>
      </c>
      <c r="F686" s="8">
        <v>546</v>
      </c>
      <c r="G686" s="11">
        <v>1.5610352893421738E-3</v>
      </c>
      <c r="H686" s="12">
        <v>0.6210958930920657</v>
      </c>
      <c r="I686" t="s">
        <v>1238</v>
      </c>
      <c r="J686" s="8">
        <v>5</v>
      </c>
      <c r="K686">
        <v>4.8</v>
      </c>
      <c r="L686" s="11">
        <v>4.9724620319199189E-4</v>
      </c>
      <c r="M686" s="12">
        <v>0.99393300440538246</v>
      </c>
      <c r="N686" t="s">
        <v>1240</v>
      </c>
      <c r="O686" t="s">
        <v>1258</v>
      </c>
      <c r="P686" s="23">
        <f>VLOOKUP(A686,вариация!A$2:G$805,2,FALSE)</f>
        <v>1.6298006013006627</v>
      </c>
      <c r="Q686" t="str">
        <f>IF(вариация!H687="Yes",IF(P689&lt;0.1,"X",IF(P689&lt;0.25,"Y","Z")),"")</f>
        <v/>
      </c>
      <c r="R686" t="str">
        <f>O686&amp;Q686</f>
        <v>CAC</v>
      </c>
    </row>
    <row r="687" spans="1:18" x14ac:dyDescent="0.25">
      <c r="A687" s="7" t="s">
        <v>860</v>
      </c>
      <c r="B687" s="8">
        <v>1</v>
      </c>
      <c r="C687" s="11">
        <v>6.2155775398999025E-4</v>
      </c>
      <c r="D687" s="12">
        <v>0.94806204216092227</v>
      </c>
      <c r="E687" t="s">
        <v>1239</v>
      </c>
      <c r="F687" s="8">
        <v>350</v>
      </c>
      <c r="G687" s="11">
        <v>1.0006636470142139E-3</v>
      </c>
      <c r="H687" s="12">
        <v>0.78155945393020565</v>
      </c>
      <c r="I687" t="s">
        <v>1238</v>
      </c>
      <c r="J687" s="8">
        <v>5</v>
      </c>
      <c r="K687">
        <v>6</v>
      </c>
      <c r="L687" s="11">
        <v>6.2155775398998981E-4</v>
      </c>
      <c r="M687" s="12">
        <v>0.94806204216092216</v>
      </c>
      <c r="N687" t="s">
        <v>1239</v>
      </c>
      <c r="O687" t="s">
        <v>1255</v>
      </c>
      <c r="P687" s="23">
        <f>VLOOKUP(A687,вариация!A$2:G$805,2,FALSE)</f>
        <v>2.2360679774997894</v>
      </c>
      <c r="Q687" t="str">
        <f>IF(вариация!H688="Yes",IF(P690&lt;0.1,"X",IF(P690&lt;0.25,"Y","Z")),"")</f>
        <v/>
      </c>
      <c r="R687" t="str">
        <f>O687&amp;Q687</f>
        <v>BAB</v>
      </c>
    </row>
    <row r="688" spans="1:18" x14ac:dyDescent="0.25">
      <c r="A688" s="7" t="s">
        <v>203</v>
      </c>
      <c r="B688" s="8">
        <v>0.21428570999999999</v>
      </c>
      <c r="C688" s="11">
        <v>1.3319094461975038E-4</v>
      </c>
      <c r="D688" s="12">
        <v>0.9983481363779757</v>
      </c>
      <c r="E688" t="s">
        <v>1240</v>
      </c>
      <c r="F688" s="8">
        <v>473.00141807999995</v>
      </c>
      <c r="G688" s="11">
        <v>1.3523294973109363E-3</v>
      </c>
      <c r="H688" s="12">
        <v>0.66201733173243993</v>
      </c>
      <c r="I688" t="s">
        <v>1238</v>
      </c>
      <c r="J688" s="8">
        <v>5</v>
      </c>
      <c r="K688">
        <v>1.28571426</v>
      </c>
      <c r="L688" s="11">
        <v>1.331909446197503E-4</v>
      </c>
      <c r="M688" s="12">
        <v>0.99834813637797559</v>
      </c>
      <c r="N688" t="s">
        <v>1240</v>
      </c>
      <c r="O688" t="s">
        <v>1258</v>
      </c>
      <c r="P688" s="23">
        <f>VLOOKUP(A688,вариация!A$2:G$805,2,FALSE)</f>
        <v>2.2360679774997898</v>
      </c>
      <c r="Q688" t="str">
        <f>IF(вариация!H689="Yes",IF(P691&lt;0.1,"X",IF(P691&lt;0.25,"Y","Z")),"")</f>
        <v/>
      </c>
      <c r="R688" t="str">
        <f>O688&amp;Q688</f>
        <v>CAC</v>
      </c>
    </row>
    <row r="689" spans="1:18" x14ac:dyDescent="0.25">
      <c r="A689" s="7" t="s">
        <v>576</v>
      </c>
      <c r="B689" s="8">
        <v>1</v>
      </c>
      <c r="C689" s="11">
        <v>6.2155775398999025E-4</v>
      </c>
      <c r="D689" s="12">
        <v>0.94868359991491225</v>
      </c>
      <c r="E689" t="s">
        <v>1239</v>
      </c>
      <c r="F689" s="8">
        <v>99</v>
      </c>
      <c r="G689" s="11">
        <v>2.8304486015544907E-4</v>
      </c>
      <c r="H689" s="12">
        <v>0.96868675809513916</v>
      </c>
      <c r="I689" t="s">
        <v>1240</v>
      </c>
      <c r="J689" s="8">
        <v>5</v>
      </c>
      <c r="K689">
        <v>6</v>
      </c>
      <c r="L689" s="11">
        <v>6.2155775398998981E-4</v>
      </c>
      <c r="M689" s="12">
        <v>0.94868359991491213</v>
      </c>
      <c r="N689" t="s">
        <v>1239</v>
      </c>
      <c r="O689" t="s">
        <v>1257</v>
      </c>
      <c r="P689" s="23">
        <f>VLOOKUP(A689,вариация!A$2:G$805,2,FALSE)</f>
        <v>2.2360679774997894</v>
      </c>
      <c r="Q689" t="str">
        <f>IF(вариация!H690="Yes",IF(P692&lt;0.1,"X",IF(P692&lt;0.25,"Y","Z")),"")</f>
        <v/>
      </c>
      <c r="R689" t="str">
        <f>O689&amp;Q689</f>
        <v>BCB</v>
      </c>
    </row>
    <row r="690" spans="1:18" x14ac:dyDescent="0.25">
      <c r="A690" s="7" t="s">
        <v>229</v>
      </c>
      <c r="B690" s="8">
        <v>5</v>
      </c>
      <c r="C690" s="11">
        <v>3.1077887699499512E-3</v>
      </c>
      <c r="D690" s="12">
        <v>0.35739570854424391</v>
      </c>
      <c r="E690" t="s">
        <v>1238</v>
      </c>
      <c r="F690" s="8">
        <v>342.09000000000003</v>
      </c>
      <c r="G690" s="11">
        <v>9.7804864859169275E-4</v>
      </c>
      <c r="H690" s="12">
        <v>0.78749507619000503</v>
      </c>
      <c r="I690" t="s">
        <v>1238</v>
      </c>
      <c r="J690" s="8">
        <v>5</v>
      </c>
      <c r="K690">
        <v>30</v>
      </c>
      <c r="L690" s="11">
        <v>3.1077887699499491E-3</v>
      </c>
      <c r="M690" s="12">
        <v>0.35739570854424374</v>
      </c>
      <c r="N690" t="s">
        <v>1238</v>
      </c>
      <c r="O690" t="s">
        <v>1252</v>
      </c>
      <c r="P690" s="23">
        <f>VLOOKUP(A690,вариация!A$2:G$805,2,FALSE)</f>
        <v>1</v>
      </c>
      <c r="Q690" t="str">
        <f>IF(вариация!H691="Yes",IF(P693&lt;0.1,"X",IF(P693&lt;0.25,"Y","Z")),"")</f>
        <v>Z</v>
      </c>
      <c r="R690" t="str">
        <f>O690&amp;Q690</f>
        <v>AAAZ</v>
      </c>
    </row>
    <row r="691" spans="1:18" x14ac:dyDescent="0.25">
      <c r="A691" s="7" t="s">
        <v>168</v>
      </c>
      <c r="B691" s="8">
        <v>2</v>
      </c>
      <c r="C691" s="11">
        <v>1.2431155079799805E-3</v>
      </c>
      <c r="D691" s="12">
        <v>0.66320212350731611</v>
      </c>
      <c r="E691" t="s">
        <v>1238</v>
      </c>
      <c r="F691" s="8">
        <v>64</v>
      </c>
      <c r="G691" s="11">
        <v>1.8297849545402769E-4</v>
      </c>
      <c r="H691" s="12">
        <v>0.99047154877531784</v>
      </c>
      <c r="I691" t="s">
        <v>1240</v>
      </c>
      <c r="J691" s="8">
        <v>5</v>
      </c>
      <c r="K691">
        <v>12</v>
      </c>
      <c r="L691" s="11">
        <v>1.2431155079799796E-3</v>
      </c>
      <c r="M691" s="12">
        <v>0.663202123507316</v>
      </c>
      <c r="N691" t="s">
        <v>1238</v>
      </c>
      <c r="O691" t="s">
        <v>1254</v>
      </c>
      <c r="P691" s="23">
        <f>VLOOKUP(A691,вариация!A$2:G$805,2,FALSE)</f>
        <v>2.2360679774997894</v>
      </c>
      <c r="Q691" t="str">
        <f>IF(вариация!H692="Yes",IF(P694&lt;0.1,"X",IF(P694&lt;0.25,"Y","Z")),"")</f>
        <v/>
      </c>
      <c r="R691" t="str">
        <f>O691&amp;Q691</f>
        <v>ACA</v>
      </c>
    </row>
    <row r="692" spans="1:18" x14ac:dyDescent="0.25">
      <c r="A692" s="7" t="s">
        <v>339</v>
      </c>
      <c r="B692" s="8">
        <v>1</v>
      </c>
      <c r="C692" s="11">
        <v>6.2155775398999025E-4</v>
      </c>
      <c r="D692" s="12">
        <v>0.94930515766890222</v>
      </c>
      <c r="E692" t="s">
        <v>1239</v>
      </c>
      <c r="F692" s="8">
        <v>152</v>
      </c>
      <c r="G692" s="11">
        <v>4.3457392670331576E-4</v>
      </c>
      <c r="H692" s="12">
        <v>0.93442955276662587</v>
      </c>
      <c r="I692" t="s">
        <v>1239</v>
      </c>
      <c r="J692" s="8">
        <v>5</v>
      </c>
      <c r="K692">
        <v>6</v>
      </c>
      <c r="L692" s="11">
        <v>6.2155775398998981E-4</v>
      </c>
      <c r="M692" s="12">
        <v>0.94930515766890211</v>
      </c>
      <c r="N692" t="s">
        <v>1239</v>
      </c>
      <c r="O692" t="s">
        <v>1256</v>
      </c>
      <c r="P692" s="23">
        <f>VLOOKUP(A692,вариация!A$2:G$805,2,FALSE)</f>
        <v>2.2360679774997894</v>
      </c>
      <c r="Q692" t="str">
        <f>IF(вариация!H693="Yes",IF(P695&lt;0.1,"X",IF(P695&lt;0.25,"Y","Z")),"")</f>
        <v/>
      </c>
      <c r="R692" t="str">
        <f>O692&amp;Q692</f>
        <v>BBB</v>
      </c>
    </row>
    <row r="693" spans="1:18" x14ac:dyDescent="0.25">
      <c r="A693" s="7" t="s">
        <v>77</v>
      </c>
      <c r="B693" s="8">
        <v>1</v>
      </c>
      <c r="C693" s="11">
        <v>6.2155775398999025E-4</v>
      </c>
      <c r="D693" s="12">
        <v>0.9499267154228922</v>
      </c>
      <c r="E693" t="s">
        <v>1239</v>
      </c>
      <c r="F693" s="8">
        <v>58.91</v>
      </c>
      <c r="G693" s="11">
        <v>1.6842598698744955E-4</v>
      </c>
      <c r="H693" s="12">
        <v>0.99222105191497756</v>
      </c>
      <c r="I693" t="s">
        <v>1240</v>
      </c>
      <c r="J693" s="8">
        <v>5</v>
      </c>
      <c r="K693">
        <v>6</v>
      </c>
      <c r="L693" s="11">
        <v>6.2155775398998981E-4</v>
      </c>
      <c r="M693" s="12">
        <v>0.94992671542289209</v>
      </c>
      <c r="N693" t="s">
        <v>1239</v>
      </c>
      <c r="O693" t="s">
        <v>1257</v>
      </c>
      <c r="P693" s="23">
        <f>VLOOKUP(A693,вариация!A$2:G$805,2,FALSE)</f>
        <v>2.2360679774997894</v>
      </c>
      <c r="Q693" t="str">
        <f>IF(вариация!H694="Yes",IF(P696&lt;0.1,"X",IF(P696&lt;0.25,"Y","Z")),"")</f>
        <v/>
      </c>
      <c r="R693" t="str">
        <f>O693&amp;Q693</f>
        <v>BCB</v>
      </c>
    </row>
    <row r="694" spans="1:18" x14ac:dyDescent="0.25">
      <c r="A694" s="7" t="s">
        <v>923</v>
      </c>
      <c r="B694" s="8">
        <v>2</v>
      </c>
      <c r="C694" s="11">
        <v>1.2431155079799805E-3</v>
      </c>
      <c r="D694" s="12">
        <v>0.66444523901529606</v>
      </c>
      <c r="E694" t="s">
        <v>1238</v>
      </c>
      <c r="F694" s="8">
        <v>44</v>
      </c>
      <c r="G694" s="11">
        <v>1.2579771562464404E-4</v>
      </c>
      <c r="H694" s="12">
        <v>0.99612937011449254</v>
      </c>
      <c r="I694" t="s">
        <v>1240</v>
      </c>
      <c r="J694" s="8">
        <v>5</v>
      </c>
      <c r="K694">
        <v>12</v>
      </c>
      <c r="L694" s="11">
        <v>1.2431155079799796E-3</v>
      </c>
      <c r="M694" s="12">
        <v>0.66444523901529595</v>
      </c>
      <c r="N694" t="s">
        <v>1238</v>
      </c>
      <c r="O694" t="s">
        <v>1254</v>
      </c>
      <c r="P694" s="23">
        <f>VLOOKUP(A694,вариация!A$2:G$805,2,FALSE)</f>
        <v>2.2360679774997894</v>
      </c>
      <c r="Q694" t="str">
        <f>IF(вариация!H695="Yes",IF(P697&lt;0.1,"X",IF(P697&lt;0.25,"Y","Z")),"")</f>
        <v/>
      </c>
      <c r="R694" t="str">
        <f>O694&amp;Q694</f>
        <v>ACA</v>
      </c>
    </row>
    <row r="695" spans="1:18" x14ac:dyDescent="0.25">
      <c r="A695" s="7" t="s">
        <v>1006</v>
      </c>
      <c r="B695" s="8">
        <v>1</v>
      </c>
      <c r="C695" s="11">
        <v>6.2155775398999025E-4</v>
      </c>
      <c r="D695" s="12">
        <v>0.95054827317688217</v>
      </c>
      <c r="E695" t="s">
        <v>1240</v>
      </c>
      <c r="F695" s="8">
        <v>175.5</v>
      </c>
      <c r="G695" s="11">
        <v>5.0176134300284161E-4</v>
      </c>
      <c r="H695" s="12">
        <v>0.91805414961889864</v>
      </c>
      <c r="I695" t="s">
        <v>1239</v>
      </c>
      <c r="J695" s="8">
        <v>5</v>
      </c>
      <c r="K695">
        <v>6</v>
      </c>
      <c r="L695" s="11">
        <v>6.2155775398998981E-4</v>
      </c>
      <c r="M695" s="12">
        <v>0.95054827317688206</v>
      </c>
      <c r="N695" t="s">
        <v>1240</v>
      </c>
      <c r="O695" t="s">
        <v>1259</v>
      </c>
      <c r="P695" s="23">
        <f>VLOOKUP(A695,вариация!A$2:G$805,2,FALSE)</f>
        <v>2.2360679774997894</v>
      </c>
      <c r="Q695" t="str">
        <f>IF(вариация!H696="Yes",IF(P698&lt;0.1,"X",IF(P698&lt;0.25,"Y","Z")),"")</f>
        <v/>
      </c>
      <c r="R695" t="str">
        <f>O695&amp;Q695</f>
        <v>CBC</v>
      </c>
    </row>
    <row r="696" spans="1:18" x14ac:dyDescent="0.25">
      <c r="A696" s="7" t="s">
        <v>26</v>
      </c>
      <c r="B696" s="8">
        <v>1</v>
      </c>
      <c r="C696" s="11">
        <v>6.2155775398999025E-4</v>
      </c>
      <c r="D696" s="12">
        <v>0.95116983093087215</v>
      </c>
      <c r="E696" t="s">
        <v>1240</v>
      </c>
      <c r="F696" s="8">
        <v>121</v>
      </c>
      <c r="G696" s="11">
        <v>3.459437179677711E-4</v>
      </c>
      <c r="H696" s="12">
        <v>0.95567255555792074</v>
      </c>
      <c r="I696" t="s">
        <v>1240</v>
      </c>
      <c r="J696" s="8">
        <v>5</v>
      </c>
      <c r="K696">
        <v>6</v>
      </c>
      <c r="L696" s="11">
        <v>6.2155775398998981E-4</v>
      </c>
      <c r="M696" s="12">
        <v>0.95116983093087204</v>
      </c>
      <c r="N696" t="s">
        <v>1240</v>
      </c>
      <c r="O696" t="s">
        <v>1260</v>
      </c>
      <c r="P696" s="23">
        <f>VLOOKUP(A696,вариация!A$2:G$805,2,FALSE)</f>
        <v>2.2360679774997894</v>
      </c>
      <c r="Q696" t="str">
        <f>IF(вариация!H697="Yes",IF(P699&lt;0.1,"X",IF(P699&lt;0.25,"Y","Z")),"")</f>
        <v/>
      </c>
      <c r="R696" t="str">
        <f>O696&amp;Q696</f>
        <v>CCC</v>
      </c>
    </row>
    <row r="697" spans="1:18" x14ac:dyDescent="0.25">
      <c r="A697" s="7" t="s">
        <v>488</v>
      </c>
      <c r="B697" s="8">
        <v>2</v>
      </c>
      <c r="C697" s="11">
        <v>1.2431155079799805E-3</v>
      </c>
      <c r="D697" s="12">
        <v>0.66568835452327602</v>
      </c>
      <c r="E697" t="s">
        <v>1238</v>
      </c>
      <c r="F697" s="8">
        <v>464</v>
      </c>
      <c r="G697" s="11">
        <v>1.3265940920417008E-3</v>
      </c>
      <c r="H697" s="12">
        <v>0.67671851022657448</v>
      </c>
      <c r="I697" t="s">
        <v>1238</v>
      </c>
      <c r="J697" s="8">
        <v>5</v>
      </c>
      <c r="K697">
        <v>12</v>
      </c>
      <c r="L697" s="11">
        <v>1.2431155079799796E-3</v>
      </c>
      <c r="M697" s="12">
        <v>0.6656883545232759</v>
      </c>
      <c r="N697" t="s">
        <v>1238</v>
      </c>
      <c r="O697" t="s">
        <v>1252</v>
      </c>
      <c r="P697" s="23">
        <f>VLOOKUP(A697,вариация!A$2:G$805,2,FALSE)</f>
        <v>1.3693063937629151</v>
      </c>
      <c r="Q697" t="str">
        <f>IF(вариация!H698="Yes",IF(P700&lt;0.1,"X",IF(P700&lt;0.25,"Y","Z")),"")</f>
        <v/>
      </c>
      <c r="R697" t="str">
        <f>O697&amp;Q697</f>
        <v>AAA</v>
      </c>
    </row>
    <row r="698" spans="1:18" x14ac:dyDescent="0.25">
      <c r="A698" s="7" t="s">
        <v>1018</v>
      </c>
      <c r="B698" s="8">
        <v>1</v>
      </c>
      <c r="C698" s="11">
        <v>6.2155775398999025E-4</v>
      </c>
      <c r="D698" s="12">
        <v>0.95179138868486213</v>
      </c>
      <c r="E698" t="s">
        <v>1240</v>
      </c>
      <c r="F698" s="8">
        <v>2456</v>
      </c>
      <c r="G698" s="11">
        <v>7.0217997630483125E-3</v>
      </c>
      <c r="H698" s="12">
        <v>0.12942267200279278</v>
      </c>
      <c r="I698" t="s">
        <v>1238</v>
      </c>
      <c r="J698" s="8">
        <v>5</v>
      </c>
      <c r="K698">
        <v>6</v>
      </c>
      <c r="L698" s="11">
        <v>6.2155775398998981E-4</v>
      </c>
      <c r="M698" s="12">
        <v>0.95179138868486202</v>
      </c>
      <c r="N698" t="s">
        <v>1240</v>
      </c>
      <c r="O698" t="s">
        <v>1258</v>
      </c>
      <c r="P698" s="23">
        <f>VLOOKUP(A698,вариация!A$2:G$805,2,FALSE)</f>
        <v>2.2360679774997894</v>
      </c>
      <c r="Q698" t="str">
        <f>IF(вариация!H699="Yes",IF(P701&lt;0.1,"X",IF(P701&lt;0.25,"Y","Z")),"")</f>
        <v/>
      </c>
      <c r="R698" t="str">
        <f>O698&amp;Q698</f>
        <v>CAC</v>
      </c>
    </row>
    <row r="699" spans="1:18" x14ac:dyDescent="0.25">
      <c r="A699" s="7" t="s">
        <v>567</v>
      </c>
      <c r="B699" s="8">
        <v>1</v>
      </c>
      <c r="C699" s="11">
        <v>6.2155775398999025E-4</v>
      </c>
      <c r="D699" s="12">
        <v>0.9524129464388521</v>
      </c>
      <c r="E699" t="s">
        <v>1240</v>
      </c>
      <c r="F699" s="8">
        <v>254</v>
      </c>
      <c r="G699" s="11">
        <v>7.2619590383317238E-4</v>
      </c>
      <c r="H699" s="12">
        <v>0.86829700748281369</v>
      </c>
      <c r="I699" t="s">
        <v>1239</v>
      </c>
      <c r="J699" s="8">
        <v>5</v>
      </c>
      <c r="K699">
        <v>6</v>
      </c>
      <c r="L699" s="11">
        <v>6.2155775398998981E-4</v>
      </c>
      <c r="M699" s="12">
        <v>0.95241294643885199</v>
      </c>
      <c r="N699" t="s">
        <v>1240</v>
      </c>
      <c r="O699" t="s">
        <v>1259</v>
      </c>
      <c r="P699" s="23">
        <f>VLOOKUP(A699,вариация!A$2:G$805,2,FALSE)</f>
        <v>2.2360679774997894</v>
      </c>
      <c r="Q699" t="str">
        <f>IF(вариация!H700="Yes",IF(P702&lt;0.1,"X",IF(P702&lt;0.25,"Y","Z")),"")</f>
        <v/>
      </c>
      <c r="R699" t="str">
        <f>O699&amp;Q699</f>
        <v>CBC</v>
      </c>
    </row>
    <row r="700" spans="1:18" x14ac:dyDescent="0.25">
      <c r="A700" s="7" t="s">
        <v>1057</v>
      </c>
      <c r="B700" s="8">
        <v>1</v>
      </c>
      <c r="C700" s="11">
        <v>6.2155775398999025E-4</v>
      </c>
      <c r="D700" s="12">
        <v>0.95303450419284208</v>
      </c>
      <c r="E700" t="s">
        <v>1240</v>
      </c>
      <c r="F700" s="8">
        <v>411</v>
      </c>
      <c r="G700" s="11">
        <v>1.1750650254938341E-3</v>
      </c>
      <c r="H700" s="12">
        <v>0.72439870348730606</v>
      </c>
      <c r="I700" t="s">
        <v>1238</v>
      </c>
      <c r="J700" s="8">
        <v>5</v>
      </c>
      <c r="K700">
        <v>6</v>
      </c>
      <c r="L700" s="11">
        <v>6.2155775398998981E-4</v>
      </c>
      <c r="M700" s="12">
        <v>0.95303450419284197</v>
      </c>
      <c r="N700" t="s">
        <v>1240</v>
      </c>
      <c r="O700" t="s">
        <v>1258</v>
      </c>
      <c r="P700" s="23">
        <f>VLOOKUP(A700,вариация!A$2:G$805,2,FALSE)</f>
        <v>2.2360679774997894</v>
      </c>
      <c r="Q700" t="str">
        <f>IF(вариация!H701="Yes",IF(P703&lt;0.1,"X",IF(P703&lt;0.25,"Y","Z")),"")</f>
        <v/>
      </c>
      <c r="R700" t="str">
        <f>O700&amp;Q700</f>
        <v>CAC</v>
      </c>
    </row>
    <row r="701" spans="1:18" x14ac:dyDescent="0.25">
      <c r="A701" s="7" t="s">
        <v>542</v>
      </c>
      <c r="B701" s="8">
        <v>1</v>
      </c>
      <c r="C701" s="11">
        <v>6.2155775398999025E-4</v>
      </c>
      <c r="D701" s="12">
        <v>0.95365606194683206</v>
      </c>
      <c r="E701" t="s">
        <v>1240</v>
      </c>
      <c r="F701" s="8">
        <v>122</v>
      </c>
      <c r="G701" s="11">
        <v>3.488027569592403E-4</v>
      </c>
      <c r="H701" s="12">
        <v>0.95463186536502587</v>
      </c>
      <c r="I701" t="s">
        <v>1240</v>
      </c>
      <c r="J701" s="8">
        <v>5</v>
      </c>
      <c r="K701">
        <v>6</v>
      </c>
      <c r="L701" s="11">
        <v>6.2155775398998981E-4</v>
      </c>
      <c r="M701" s="12">
        <v>0.95365606194683195</v>
      </c>
      <c r="N701" t="s">
        <v>1240</v>
      </c>
      <c r="O701" t="s">
        <v>1260</v>
      </c>
      <c r="P701" s="23">
        <f>VLOOKUP(A701,вариация!A$2:G$805,2,FALSE)</f>
        <v>2.2360679774997894</v>
      </c>
      <c r="Q701" t="str">
        <f>IF(вариация!H702="Yes",IF(P704&lt;0.1,"X",IF(P704&lt;0.25,"Y","Z")),"")</f>
        <v/>
      </c>
      <c r="R701" t="str">
        <f>O701&amp;Q701</f>
        <v>CCC</v>
      </c>
    </row>
    <row r="702" spans="1:18" x14ac:dyDescent="0.25">
      <c r="A702" s="7" t="s">
        <v>88</v>
      </c>
      <c r="B702" s="8">
        <v>1</v>
      </c>
      <c r="C702" s="11">
        <v>6.2155775398999025E-4</v>
      </c>
      <c r="D702" s="12">
        <v>0.95427761970082203</v>
      </c>
      <c r="E702" t="s">
        <v>1240</v>
      </c>
      <c r="F702" s="8">
        <v>1834</v>
      </c>
      <c r="G702" s="11">
        <v>5.2434775103544808E-3</v>
      </c>
      <c r="H702" s="12">
        <v>0.191035848571041</v>
      </c>
      <c r="I702" t="s">
        <v>1238</v>
      </c>
      <c r="J702" s="8">
        <v>5</v>
      </c>
      <c r="K702">
        <v>6</v>
      </c>
      <c r="L702" s="11">
        <v>6.2155775398998981E-4</v>
      </c>
      <c r="M702" s="12">
        <v>0.95427761970082192</v>
      </c>
      <c r="N702" t="s">
        <v>1240</v>
      </c>
      <c r="O702" t="s">
        <v>1258</v>
      </c>
      <c r="P702" s="23">
        <f>VLOOKUP(A702,вариация!A$2:G$805,2,FALSE)</f>
        <v>2.2360679774997894</v>
      </c>
      <c r="Q702" t="str">
        <f>IF(вариация!H703="Yes",IF(P705&lt;0.1,"X",IF(P705&lt;0.25,"Y","Z")),"")</f>
        <v/>
      </c>
      <c r="R702" t="str">
        <f>O702&amp;Q702</f>
        <v>CAC</v>
      </c>
    </row>
    <row r="703" spans="1:18" x14ac:dyDescent="0.25">
      <c r="A703" s="7" t="s">
        <v>1203</v>
      </c>
      <c r="B703" s="8">
        <v>1</v>
      </c>
      <c r="C703" s="11">
        <v>6.2155775398999025E-4</v>
      </c>
      <c r="D703" s="12">
        <v>0.95489917745481201</v>
      </c>
      <c r="E703" t="s">
        <v>1240</v>
      </c>
      <c r="F703" s="8">
        <v>459</v>
      </c>
      <c r="G703" s="11">
        <v>1.3122988970843549E-3</v>
      </c>
      <c r="H703" s="12">
        <v>0.68331145414090255</v>
      </c>
      <c r="I703" t="s">
        <v>1238</v>
      </c>
      <c r="J703" s="8">
        <v>5</v>
      </c>
      <c r="K703">
        <v>6</v>
      </c>
      <c r="L703" s="11">
        <v>6.2155775398998981E-4</v>
      </c>
      <c r="M703" s="12">
        <v>0.9548991774548119</v>
      </c>
      <c r="N703" t="s">
        <v>1240</v>
      </c>
      <c r="O703" t="s">
        <v>1258</v>
      </c>
      <c r="P703" s="23">
        <f>VLOOKUP(A703,вариация!A$2:G$805,2,FALSE)</f>
        <v>2.2360679774997894</v>
      </c>
      <c r="Q703" t="str">
        <f>IF(вариация!H704="Yes",IF(P706&lt;0.1,"X",IF(P706&lt;0.25,"Y","Z")),"")</f>
        <v/>
      </c>
      <c r="R703" t="str">
        <f>O703&amp;Q703</f>
        <v>CAC</v>
      </c>
    </row>
    <row r="704" spans="1:18" x14ac:dyDescent="0.25">
      <c r="A704" s="7" t="s">
        <v>1119</v>
      </c>
      <c r="B704" s="8">
        <v>1</v>
      </c>
      <c r="C704" s="11">
        <v>6.2155775398999025E-4</v>
      </c>
      <c r="D704" s="12">
        <v>0.95552073520880199</v>
      </c>
      <c r="E704" t="s">
        <v>1240</v>
      </c>
      <c r="F704" s="8">
        <v>669</v>
      </c>
      <c r="G704" s="11">
        <v>1.9126970852928833E-3</v>
      </c>
      <c r="H704" s="12">
        <v>0.53996034053736985</v>
      </c>
      <c r="I704" t="s">
        <v>1238</v>
      </c>
      <c r="J704" s="8">
        <v>5</v>
      </c>
      <c r="K704">
        <v>6</v>
      </c>
      <c r="L704" s="11">
        <v>6.2155775398998981E-4</v>
      </c>
      <c r="M704" s="12">
        <v>0.95552073520880187</v>
      </c>
      <c r="N704" t="s">
        <v>1240</v>
      </c>
      <c r="O704" t="s">
        <v>1258</v>
      </c>
      <c r="P704" s="23">
        <f>VLOOKUP(A704,вариация!A$2:G$805,2,FALSE)</f>
        <v>2.2360679774997894</v>
      </c>
      <c r="Q704" t="str">
        <f>IF(вариация!H705="Yes",IF(P707&lt;0.1,"X",IF(P707&lt;0.25,"Y","Z")),"")</f>
        <v/>
      </c>
      <c r="R704" t="str">
        <f>O704&amp;Q704</f>
        <v>CAC</v>
      </c>
    </row>
    <row r="705" spans="1:18" x14ac:dyDescent="0.25">
      <c r="A705" s="7" t="s">
        <v>649</v>
      </c>
      <c r="B705" s="8">
        <v>1</v>
      </c>
      <c r="C705" s="11">
        <v>6.2155775398999025E-4</v>
      </c>
      <c r="D705" s="12">
        <v>0.95614229296279196</v>
      </c>
      <c r="E705" t="s">
        <v>1240</v>
      </c>
      <c r="F705" s="8">
        <v>1802</v>
      </c>
      <c r="G705" s="11">
        <v>5.1519882626274672E-3</v>
      </c>
      <c r="H705" s="12">
        <v>0.20136841548621062</v>
      </c>
      <c r="I705" t="s">
        <v>1238</v>
      </c>
      <c r="J705" s="8">
        <v>5</v>
      </c>
      <c r="K705">
        <v>6</v>
      </c>
      <c r="L705" s="11">
        <v>6.2155775398998981E-4</v>
      </c>
      <c r="M705" s="12">
        <v>0.95614229296279185</v>
      </c>
      <c r="N705" t="s">
        <v>1240</v>
      </c>
      <c r="O705" t="s">
        <v>1258</v>
      </c>
      <c r="P705" s="23">
        <f>VLOOKUP(A705,вариация!A$2:G$805,2,FALSE)</f>
        <v>2.2360679774997894</v>
      </c>
      <c r="Q705" t="str">
        <f>IF(вариация!H706="Yes",IF(P708&lt;0.1,"X",IF(P708&lt;0.25,"Y","Z")),"")</f>
        <v/>
      </c>
      <c r="R705" t="str">
        <f>O705&amp;Q705</f>
        <v>CAC</v>
      </c>
    </row>
    <row r="706" spans="1:18" x14ac:dyDescent="0.25">
      <c r="A706" s="7" t="s">
        <v>702</v>
      </c>
      <c r="B706" s="8">
        <v>2</v>
      </c>
      <c r="C706" s="11">
        <v>1.2431155079799805E-3</v>
      </c>
      <c r="D706" s="12">
        <v>0.66693147003125597</v>
      </c>
      <c r="E706" t="s">
        <v>1238</v>
      </c>
      <c r="F706" s="8">
        <v>654</v>
      </c>
      <c r="G706" s="11">
        <v>1.8698115004208455E-3</v>
      </c>
      <c r="H706" s="12">
        <v>0.55127927594559512</v>
      </c>
      <c r="I706" t="s">
        <v>1238</v>
      </c>
      <c r="J706" s="8">
        <v>5</v>
      </c>
      <c r="K706">
        <v>12</v>
      </c>
      <c r="L706" s="11">
        <v>1.2431155079799796E-3</v>
      </c>
      <c r="M706" s="12">
        <v>0.66693147003125586</v>
      </c>
      <c r="N706" t="s">
        <v>1238</v>
      </c>
      <c r="O706" t="s">
        <v>1252</v>
      </c>
      <c r="P706" s="23">
        <f>VLOOKUP(A706,вариация!A$2:G$805,2,FALSE)</f>
        <v>1.3693063937629151</v>
      </c>
      <c r="Q706" t="str">
        <f>IF(вариация!H707="Yes",IF(P709&lt;0.1,"X",IF(P709&lt;0.25,"Y","Z")),"")</f>
        <v/>
      </c>
      <c r="R706" t="str">
        <f>O706&amp;Q706</f>
        <v>AAA</v>
      </c>
    </row>
    <row r="707" spans="1:18" x14ac:dyDescent="0.25">
      <c r="A707" s="7" t="s">
        <v>1036</v>
      </c>
      <c r="B707" s="8">
        <v>1</v>
      </c>
      <c r="C707" s="11">
        <v>6.2155775398999025E-4</v>
      </c>
      <c r="D707" s="12">
        <v>0.95676385071678194</v>
      </c>
      <c r="E707" t="s">
        <v>1240</v>
      </c>
      <c r="F707" s="8">
        <v>1141</v>
      </c>
      <c r="G707" s="11">
        <v>3.2621634892663373E-3</v>
      </c>
      <c r="H707" s="12">
        <v>0.36309145898828282</v>
      </c>
      <c r="I707" t="s">
        <v>1238</v>
      </c>
      <c r="J707" s="8">
        <v>5</v>
      </c>
      <c r="K707">
        <v>6</v>
      </c>
      <c r="L707" s="11">
        <v>6.2155775398998981E-4</v>
      </c>
      <c r="M707" s="12">
        <v>0.95676385071678183</v>
      </c>
      <c r="N707" t="s">
        <v>1240</v>
      </c>
      <c r="O707" t="s">
        <v>1258</v>
      </c>
      <c r="P707" s="23">
        <f>VLOOKUP(A707,вариация!A$2:G$805,2,FALSE)</f>
        <v>2.2360679774997894</v>
      </c>
      <c r="Q707" t="str">
        <f>IF(вариация!H708="Yes",IF(P710&lt;0.1,"X",IF(P710&lt;0.25,"Y","Z")),"")</f>
        <v/>
      </c>
      <c r="R707" t="str">
        <f>O707&amp;Q707</f>
        <v>CAC</v>
      </c>
    </row>
    <row r="708" spans="1:18" x14ac:dyDescent="0.25">
      <c r="A708" s="7" t="s">
        <v>479</v>
      </c>
      <c r="B708" s="8">
        <v>2</v>
      </c>
      <c r="C708" s="11">
        <v>1.2431155079799805E-3</v>
      </c>
      <c r="D708" s="12">
        <v>0.66817458553923592</v>
      </c>
      <c r="E708" t="s">
        <v>1238</v>
      </c>
      <c r="F708" s="8">
        <v>1778</v>
      </c>
      <c r="G708" s="11">
        <v>5.0833713268322069E-3</v>
      </c>
      <c r="H708" s="12">
        <v>0.20645178681304283</v>
      </c>
      <c r="I708" t="s">
        <v>1238</v>
      </c>
      <c r="J708" s="8">
        <v>5</v>
      </c>
      <c r="K708">
        <v>12</v>
      </c>
      <c r="L708" s="11">
        <v>1.2431155079799796E-3</v>
      </c>
      <c r="M708" s="12">
        <v>0.66817458553923581</v>
      </c>
      <c r="N708" t="s">
        <v>1238</v>
      </c>
      <c r="O708" t="s">
        <v>1252</v>
      </c>
      <c r="P708" s="23">
        <f>VLOOKUP(A708,вариация!A$2:G$805,2,FALSE)</f>
        <v>2.2360679774997894</v>
      </c>
      <c r="Q708" t="str">
        <f>IF(вариация!H709="Yes",IF(P711&lt;0.1,"X",IF(P711&lt;0.25,"Y","Z")),"")</f>
        <v/>
      </c>
      <c r="R708" t="str">
        <f>O708&amp;Q708</f>
        <v>AAA</v>
      </c>
    </row>
    <row r="709" spans="1:18" x14ac:dyDescent="0.25">
      <c r="A709" s="7" t="s">
        <v>375</v>
      </c>
      <c r="B709" s="8">
        <v>1</v>
      </c>
      <c r="C709" s="11">
        <v>6.2155775398999025E-4</v>
      </c>
      <c r="D709" s="12">
        <v>0.95738540847077191</v>
      </c>
      <c r="E709" t="s">
        <v>1240</v>
      </c>
      <c r="F709" s="8">
        <v>1028</v>
      </c>
      <c r="G709" s="11">
        <v>2.9390920832303197E-3</v>
      </c>
      <c r="H709" s="12">
        <v>0.40560994325444494</v>
      </c>
      <c r="I709" t="s">
        <v>1238</v>
      </c>
      <c r="J709" s="8">
        <v>5</v>
      </c>
      <c r="K709">
        <v>6</v>
      </c>
      <c r="L709" s="11">
        <v>6.2155775398998981E-4</v>
      </c>
      <c r="M709" s="12">
        <v>0.9573854084707718</v>
      </c>
      <c r="N709" t="s">
        <v>1240</v>
      </c>
      <c r="O709" t="s">
        <v>1258</v>
      </c>
      <c r="P709" s="23">
        <f>VLOOKUP(A709,вариация!A$2:G$805,2,FALSE)</f>
        <v>2.2360679774997894</v>
      </c>
      <c r="Q709" t="str">
        <f>IF(вариация!H710="Yes",IF(P712&lt;0.1,"X",IF(P712&lt;0.25,"Y","Z")),"")</f>
        <v/>
      </c>
      <c r="R709" t="str">
        <f>O709&amp;Q709</f>
        <v>CAC</v>
      </c>
    </row>
    <row r="710" spans="1:18" x14ac:dyDescent="0.25">
      <c r="A710" s="7" t="s">
        <v>846</v>
      </c>
      <c r="B710" s="8">
        <v>1</v>
      </c>
      <c r="C710" s="11">
        <v>6.2155775398999025E-4</v>
      </c>
      <c r="D710" s="12">
        <v>0.95800696622476189</v>
      </c>
      <c r="E710" t="s">
        <v>1240</v>
      </c>
      <c r="F710" s="8">
        <v>84</v>
      </c>
      <c r="G710" s="11">
        <v>2.4015927528341134E-4</v>
      </c>
      <c r="H710" s="12">
        <v>0.97852694131519813</v>
      </c>
      <c r="I710" t="s">
        <v>1240</v>
      </c>
      <c r="J710" s="8">
        <v>5</v>
      </c>
      <c r="K710">
        <v>6</v>
      </c>
      <c r="L710" s="11">
        <v>6.2155775398998981E-4</v>
      </c>
      <c r="M710" s="12">
        <v>0.95800696622476178</v>
      </c>
      <c r="N710" t="s">
        <v>1240</v>
      </c>
      <c r="O710" t="s">
        <v>1260</v>
      </c>
      <c r="P710" s="23">
        <f>VLOOKUP(A710,вариация!A$2:G$805,2,FALSE)</f>
        <v>2.2360679774997894</v>
      </c>
      <c r="Q710" t="str">
        <f>IF(вариация!H711="Yes",IF(P713&lt;0.1,"X",IF(P713&lt;0.25,"Y","Z")),"")</f>
        <v/>
      </c>
      <c r="R710" t="str">
        <f>O710&amp;Q710</f>
        <v>CCC</v>
      </c>
    </row>
    <row r="711" spans="1:18" x14ac:dyDescent="0.25">
      <c r="A711" s="7" t="s">
        <v>818</v>
      </c>
      <c r="B711" s="8">
        <v>1</v>
      </c>
      <c r="C711" s="11">
        <v>6.2155775398999025E-4</v>
      </c>
      <c r="D711" s="12">
        <v>0.95862852397875187</v>
      </c>
      <c r="E711" t="s">
        <v>1240</v>
      </c>
      <c r="F711" s="8">
        <v>44</v>
      </c>
      <c r="G711" s="11">
        <v>1.2579771562464404E-4</v>
      </c>
      <c r="H711" s="12">
        <v>0.99625516783011714</v>
      </c>
      <c r="I711" t="s">
        <v>1240</v>
      </c>
      <c r="J711" s="8">
        <v>5</v>
      </c>
      <c r="K711">
        <v>6</v>
      </c>
      <c r="L711" s="11">
        <v>6.2155775398998981E-4</v>
      </c>
      <c r="M711" s="12">
        <v>0.95862852397875176</v>
      </c>
      <c r="N711" t="s">
        <v>1240</v>
      </c>
      <c r="O711" t="s">
        <v>1260</v>
      </c>
      <c r="P711" s="23">
        <f>VLOOKUP(A711,вариация!A$2:G$805,2,FALSE)</f>
        <v>2.2360679774997894</v>
      </c>
      <c r="Q711" t="str">
        <f>IF(вариация!H712="Yes",IF(P714&lt;0.1,"X",IF(P714&lt;0.25,"Y","Z")),"")</f>
        <v/>
      </c>
      <c r="R711" t="str">
        <f>O711&amp;Q711</f>
        <v>CCC</v>
      </c>
    </row>
    <row r="712" spans="1:18" x14ac:dyDescent="0.25">
      <c r="A712" s="7" t="s">
        <v>302</v>
      </c>
      <c r="B712" s="8">
        <v>6</v>
      </c>
      <c r="C712" s="11">
        <v>3.729346523939941E-3</v>
      </c>
      <c r="D712" s="12">
        <v>0.30580641496307498</v>
      </c>
      <c r="E712" t="s">
        <v>1238</v>
      </c>
      <c r="F712" s="8">
        <v>417</v>
      </c>
      <c r="G712" s="11">
        <v>1.1922192594426492E-3</v>
      </c>
      <c r="H712" s="12">
        <v>0.71967271203440764</v>
      </c>
      <c r="I712" t="s">
        <v>1238</v>
      </c>
      <c r="J712" s="8">
        <v>5</v>
      </c>
      <c r="K712">
        <v>36</v>
      </c>
      <c r="L712" s="11">
        <v>3.7293465239399393E-3</v>
      </c>
      <c r="M712" s="12">
        <v>0.30580641496307481</v>
      </c>
      <c r="N712" t="s">
        <v>1238</v>
      </c>
      <c r="O712" t="s">
        <v>1252</v>
      </c>
      <c r="P712" s="23">
        <f>VLOOKUP(A712,вариация!A$2:G$805,2,FALSE)</f>
        <v>1.0865337342004415</v>
      </c>
      <c r="Q712" t="str">
        <f>IF(вариация!H713="Yes",IF(P715&lt;0.1,"X",IF(P715&lt;0.25,"Y","Z")),"")</f>
        <v>Z</v>
      </c>
      <c r="R712" t="str">
        <f>O712&amp;Q712</f>
        <v>AAAZ</v>
      </c>
    </row>
    <row r="713" spans="1:18" x14ac:dyDescent="0.25">
      <c r="A713" s="7" t="s">
        <v>820</v>
      </c>
      <c r="B713" s="8">
        <v>1</v>
      </c>
      <c r="C713" s="11">
        <v>6.2155775398999025E-4</v>
      </c>
      <c r="D713" s="12">
        <v>0.95925008173274184</v>
      </c>
      <c r="E713" t="s">
        <v>1240</v>
      </c>
      <c r="F713" s="8">
        <v>507</v>
      </c>
      <c r="G713" s="11">
        <v>1.4495327686748756E-3</v>
      </c>
      <c r="H713" s="12">
        <v>0.645158518242677</v>
      </c>
      <c r="I713" t="s">
        <v>1238</v>
      </c>
      <c r="J713" s="8">
        <v>5</v>
      </c>
      <c r="K713">
        <v>6</v>
      </c>
      <c r="L713" s="11">
        <v>6.2155775398998981E-4</v>
      </c>
      <c r="M713" s="12">
        <v>0.95925008173274173</v>
      </c>
      <c r="N713" t="s">
        <v>1240</v>
      </c>
      <c r="O713" t="s">
        <v>1258</v>
      </c>
      <c r="P713" s="23">
        <f>VLOOKUP(A713,вариация!A$2:G$805,2,FALSE)</f>
        <v>2.2360679774997894</v>
      </c>
      <c r="Q713" t="str">
        <f>IF(вариация!H714="Yes",IF(P716&lt;0.1,"X",IF(P716&lt;0.25,"Y","Z")),"")</f>
        <v/>
      </c>
      <c r="R713" t="str">
        <f>O713&amp;Q713</f>
        <v>CAC</v>
      </c>
    </row>
    <row r="714" spans="1:18" x14ac:dyDescent="0.25">
      <c r="A714" s="7" t="s">
        <v>380</v>
      </c>
      <c r="B714" s="8">
        <v>2</v>
      </c>
      <c r="C714" s="11">
        <v>1.2431155079799805E-3</v>
      </c>
      <c r="D714" s="12">
        <v>0.66941770104721587</v>
      </c>
      <c r="E714" t="s">
        <v>1238</v>
      </c>
      <c r="F714" s="8">
        <v>84</v>
      </c>
      <c r="G714" s="11">
        <v>2.4015927528341134E-4</v>
      </c>
      <c r="H714" s="12">
        <v>0.97876710059048155</v>
      </c>
      <c r="I714" t="s">
        <v>1240</v>
      </c>
      <c r="J714" s="8">
        <v>5</v>
      </c>
      <c r="K714">
        <v>12</v>
      </c>
      <c r="L714" s="11">
        <v>1.2431155079799796E-3</v>
      </c>
      <c r="M714" s="12">
        <v>0.66941770104721576</v>
      </c>
      <c r="N714" t="s">
        <v>1238</v>
      </c>
      <c r="O714" t="s">
        <v>1254</v>
      </c>
      <c r="P714" s="23">
        <f>VLOOKUP(A714,вариация!A$2:G$805,2,FALSE)</f>
        <v>2.2360679774997894</v>
      </c>
      <c r="Q714" t="str">
        <f>IF(вариация!H715="Yes",IF(P717&lt;0.1,"X",IF(P717&lt;0.25,"Y","Z")),"")</f>
        <v/>
      </c>
      <c r="R714" t="str">
        <f>O714&amp;Q714</f>
        <v>ACA</v>
      </c>
    </row>
    <row r="715" spans="1:18" x14ac:dyDescent="0.25">
      <c r="A715" s="7" t="s">
        <v>369</v>
      </c>
      <c r="B715" s="8">
        <v>10</v>
      </c>
      <c r="C715" s="11">
        <v>6.2155775398999025E-3</v>
      </c>
      <c r="D715" s="12">
        <v>0.21008652084861665</v>
      </c>
      <c r="E715" t="s">
        <v>1238</v>
      </c>
      <c r="F715" s="8">
        <v>580</v>
      </c>
      <c r="G715" s="11">
        <v>1.6582426150521259E-3</v>
      </c>
      <c r="H715" s="12">
        <v>0.60339669772108673</v>
      </c>
      <c r="I715" t="s">
        <v>1238</v>
      </c>
      <c r="J715" s="8">
        <v>5</v>
      </c>
      <c r="K715">
        <v>60</v>
      </c>
      <c r="L715" s="11">
        <v>6.2155775398998981E-3</v>
      </c>
      <c r="M715" s="12">
        <v>0.21008652084861651</v>
      </c>
      <c r="N715" t="s">
        <v>1238</v>
      </c>
      <c r="O715" t="s">
        <v>1252</v>
      </c>
      <c r="P715" s="23">
        <f>VLOOKUP(A715,вариация!A$2:G$805,2,FALSE)</f>
        <v>0.61237243569579447</v>
      </c>
      <c r="Q715" t="str">
        <f>IF(вариация!H716="Yes",IF(P718&lt;0.1,"X",IF(P718&lt;0.25,"Y","Z")),"")</f>
        <v>Z</v>
      </c>
      <c r="R715" t="str">
        <f>O715&amp;Q715</f>
        <v>AAAZ</v>
      </c>
    </row>
    <row r="716" spans="1:18" x14ac:dyDescent="0.25">
      <c r="A716" s="7" t="s">
        <v>732</v>
      </c>
      <c r="B716" s="8">
        <v>1</v>
      </c>
      <c r="C716" s="11">
        <v>6.2155775398999025E-4</v>
      </c>
      <c r="D716" s="12">
        <v>0.95987163948673182</v>
      </c>
      <c r="E716" t="s">
        <v>1240</v>
      </c>
      <c r="F716" s="8">
        <v>91</v>
      </c>
      <c r="G716" s="11">
        <v>2.6017254822369564E-4</v>
      </c>
      <c r="H716" s="12">
        <v>0.97655208872223054</v>
      </c>
      <c r="I716" t="s">
        <v>1240</v>
      </c>
      <c r="J716" s="8">
        <v>5</v>
      </c>
      <c r="K716">
        <v>6</v>
      </c>
      <c r="L716" s="11">
        <v>6.2155775398998981E-4</v>
      </c>
      <c r="M716" s="12">
        <v>0.95987163948673171</v>
      </c>
      <c r="N716" t="s">
        <v>1240</v>
      </c>
      <c r="O716" t="s">
        <v>1260</v>
      </c>
      <c r="P716" s="23">
        <f>VLOOKUP(A716,вариация!A$2:G$805,2,FALSE)</f>
        <v>2.2360679774997894</v>
      </c>
      <c r="Q716" t="str">
        <f>IF(вариация!H717="Yes",IF(P719&lt;0.1,"X",IF(P719&lt;0.25,"Y","Z")),"")</f>
        <v/>
      </c>
      <c r="R716" t="str">
        <f>O716&amp;Q716</f>
        <v>CCC</v>
      </c>
    </row>
    <row r="717" spans="1:18" x14ac:dyDescent="0.25">
      <c r="A717" s="7" t="s">
        <v>1189</v>
      </c>
      <c r="B717" s="8">
        <v>1</v>
      </c>
      <c r="C717" s="11">
        <v>6.2155775398999025E-4</v>
      </c>
      <c r="D717" s="12">
        <v>0.9604931972407218</v>
      </c>
      <c r="E717" t="s">
        <v>1240</v>
      </c>
      <c r="F717" s="8">
        <v>500</v>
      </c>
      <c r="G717" s="11">
        <v>1.4295194957345914E-3</v>
      </c>
      <c r="H717" s="12">
        <v>0.65234042417483795</v>
      </c>
      <c r="I717" t="s">
        <v>1238</v>
      </c>
      <c r="J717" s="8">
        <v>5</v>
      </c>
      <c r="K717">
        <v>6</v>
      </c>
      <c r="L717" s="11">
        <v>6.2155775398998981E-4</v>
      </c>
      <c r="M717" s="12">
        <v>0.96049319724072169</v>
      </c>
      <c r="N717" t="s">
        <v>1240</v>
      </c>
      <c r="O717" t="s">
        <v>1258</v>
      </c>
      <c r="P717" s="23">
        <f>VLOOKUP(A717,вариация!A$2:G$805,2,FALSE)</f>
        <v>2.2360679774997894</v>
      </c>
      <c r="Q717" t="str">
        <f>IF(вариация!H718="Yes",IF(P720&lt;0.1,"X",IF(P720&lt;0.25,"Y","Z")),"")</f>
        <v/>
      </c>
      <c r="R717" t="str">
        <f>O717&amp;Q717</f>
        <v>CAC</v>
      </c>
    </row>
    <row r="718" spans="1:18" x14ac:dyDescent="0.25">
      <c r="A718" s="7" t="s">
        <v>839</v>
      </c>
      <c r="B718" s="8">
        <v>1</v>
      </c>
      <c r="C718" s="11">
        <v>6.2155775398999025E-4</v>
      </c>
      <c r="D718" s="12">
        <v>0.96111475499471177</v>
      </c>
      <c r="E718" t="s">
        <v>1240</v>
      </c>
      <c r="F718" s="8">
        <v>1206</v>
      </c>
      <c r="G718" s="11">
        <v>3.4480010237118342E-3</v>
      </c>
      <c r="H718" s="12">
        <v>0.34646431746793499</v>
      </c>
      <c r="I718" t="s">
        <v>1238</v>
      </c>
      <c r="J718" s="8">
        <v>5</v>
      </c>
      <c r="K718">
        <v>6</v>
      </c>
      <c r="L718" s="11">
        <v>6.2155775398998981E-4</v>
      </c>
      <c r="M718" s="12">
        <v>0.96111475499471166</v>
      </c>
      <c r="N718" t="s">
        <v>1240</v>
      </c>
      <c r="O718" t="s">
        <v>1258</v>
      </c>
      <c r="P718" s="23">
        <f>VLOOKUP(A718,вариация!A$2:G$805,2,FALSE)</f>
        <v>2.2360679774997894</v>
      </c>
      <c r="Q718" t="str">
        <f>IF(вариация!H719="Yes",IF(P721&lt;0.1,"X",IF(P721&lt;0.25,"Y","Z")),"")</f>
        <v/>
      </c>
      <c r="R718" t="str">
        <f>O718&amp;Q718</f>
        <v>CAC</v>
      </c>
    </row>
    <row r="719" spans="1:18" x14ac:dyDescent="0.25">
      <c r="A719" s="7" t="s">
        <v>906</v>
      </c>
      <c r="B719" s="8">
        <v>1</v>
      </c>
      <c r="C719" s="11">
        <v>6.2155775398999025E-4</v>
      </c>
      <c r="D719" s="12">
        <v>0.96173631274870175</v>
      </c>
      <c r="E719" t="s">
        <v>1240</v>
      </c>
      <c r="F719" s="8">
        <v>448</v>
      </c>
      <c r="G719" s="11">
        <v>1.2808494681781938E-3</v>
      </c>
      <c r="H719" s="12">
        <v>0.69623431038234318</v>
      </c>
      <c r="I719" t="s">
        <v>1238</v>
      </c>
      <c r="J719" s="8">
        <v>5</v>
      </c>
      <c r="K719">
        <v>6</v>
      </c>
      <c r="L719" s="11">
        <v>6.2155775398998981E-4</v>
      </c>
      <c r="M719" s="12">
        <v>0.96173631274870164</v>
      </c>
      <c r="N719" t="s">
        <v>1240</v>
      </c>
      <c r="O719" t="s">
        <v>1258</v>
      </c>
      <c r="P719" s="23">
        <f>VLOOKUP(A719,вариация!A$2:G$805,2,FALSE)</f>
        <v>2.2360679774997894</v>
      </c>
      <c r="Q719" t="str">
        <f>IF(вариация!H720="Yes",IF(P722&lt;0.1,"X",IF(P722&lt;0.25,"Y","Z")),"")</f>
        <v/>
      </c>
      <c r="R719" t="str">
        <f>O719&amp;Q719</f>
        <v>CAC</v>
      </c>
    </row>
    <row r="720" spans="1:18" x14ac:dyDescent="0.25">
      <c r="A720" s="7" t="s">
        <v>468</v>
      </c>
      <c r="B720" s="8">
        <v>7</v>
      </c>
      <c r="C720" s="11">
        <v>4.3509042779299317E-3</v>
      </c>
      <c r="D720" s="12">
        <v>0.27099918073963569</v>
      </c>
      <c r="E720" t="s">
        <v>1238</v>
      </c>
      <c r="F720" s="8">
        <v>190.68</v>
      </c>
      <c r="G720" s="11">
        <v>5.4516155489334379E-4</v>
      </c>
      <c r="H720" s="12">
        <v>0.91071642604729275</v>
      </c>
      <c r="I720" t="s">
        <v>1239</v>
      </c>
      <c r="J720" s="8">
        <v>5</v>
      </c>
      <c r="K720">
        <v>42</v>
      </c>
      <c r="L720" s="11">
        <v>4.3509042779299291E-3</v>
      </c>
      <c r="M720" s="12">
        <v>0.27099918073963553</v>
      </c>
      <c r="N720" t="s">
        <v>1238</v>
      </c>
      <c r="O720" t="s">
        <v>1253</v>
      </c>
      <c r="P720" s="23">
        <f>VLOOKUP(A720,вариация!A$2:G$805,2,FALSE)</f>
        <v>0.81441101792795567</v>
      </c>
      <c r="Q720" t="str">
        <f>IF(вариация!H721="Yes",IF(P723&lt;0.1,"X",IF(P723&lt;0.25,"Y","Z")),"")</f>
        <v>Z</v>
      </c>
      <c r="R720" t="str">
        <f>O720&amp;Q720</f>
        <v>ABAZ</v>
      </c>
    </row>
    <row r="721" spans="1:18" x14ac:dyDescent="0.25">
      <c r="A721" s="7" t="s">
        <v>931</v>
      </c>
      <c r="B721" s="8">
        <v>1</v>
      </c>
      <c r="C721" s="11">
        <v>6.2155775398999025E-4</v>
      </c>
      <c r="D721" s="12">
        <v>0.96235787050269173</v>
      </c>
      <c r="E721" t="s">
        <v>1240</v>
      </c>
      <c r="F721" s="8">
        <v>1008</v>
      </c>
      <c r="G721" s="11">
        <v>2.8819113034009363E-3</v>
      </c>
      <c r="H721" s="12">
        <v>0.41140235625116151</v>
      </c>
      <c r="I721" t="s">
        <v>1238</v>
      </c>
      <c r="J721" s="8">
        <v>5</v>
      </c>
      <c r="K721">
        <v>6</v>
      </c>
      <c r="L721" s="11">
        <v>6.2155775398998981E-4</v>
      </c>
      <c r="M721" s="12">
        <v>0.96235787050269161</v>
      </c>
      <c r="N721" t="s">
        <v>1240</v>
      </c>
      <c r="O721" t="s">
        <v>1258</v>
      </c>
      <c r="P721" s="23">
        <f>VLOOKUP(A721,вариация!A$2:G$805,2,FALSE)</f>
        <v>2.2360679774997894</v>
      </c>
      <c r="Q721" t="str">
        <f>IF(вариация!H722="Yes",IF(P724&lt;0.1,"X",IF(P724&lt;0.25,"Y","Z")),"")</f>
        <v/>
      </c>
      <c r="R721" t="str">
        <f>O721&amp;Q721</f>
        <v>CAC</v>
      </c>
    </row>
    <row r="722" spans="1:18" x14ac:dyDescent="0.25">
      <c r="A722" s="7" t="s">
        <v>298</v>
      </c>
      <c r="B722" s="8">
        <v>1</v>
      </c>
      <c r="C722" s="11">
        <v>6.2155775398999025E-4</v>
      </c>
      <c r="D722" s="12">
        <v>0.9629794282566817</v>
      </c>
      <c r="E722" t="s">
        <v>1240</v>
      </c>
      <c r="F722" s="8">
        <v>411</v>
      </c>
      <c r="G722" s="11">
        <v>1.1750650254938341E-3</v>
      </c>
      <c r="H722" s="12">
        <v>0.72557376851279987</v>
      </c>
      <c r="I722" t="s">
        <v>1238</v>
      </c>
      <c r="J722" s="8">
        <v>5</v>
      </c>
      <c r="K722">
        <v>6</v>
      </c>
      <c r="L722" s="11">
        <v>6.2155775398998981E-4</v>
      </c>
      <c r="M722" s="12">
        <v>0.96297942825668159</v>
      </c>
      <c r="N722" t="s">
        <v>1240</v>
      </c>
      <c r="O722" t="s">
        <v>1258</v>
      </c>
      <c r="P722" s="23">
        <f>VLOOKUP(A722,вариация!A$2:G$805,2,FALSE)</f>
        <v>2.2360679774997894</v>
      </c>
      <c r="Q722" t="str">
        <f>IF(вариация!H723="Yes",IF(P725&lt;0.1,"X",IF(P725&lt;0.25,"Y","Z")),"")</f>
        <v/>
      </c>
      <c r="R722" t="str">
        <f>O722&amp;Q722</f>
        <v>CAC</v>
      </c>
    </row>
    <row r="723" spans="1:18" x14ac:dyDescent="0.25">
      <c r="A723" s="7" t="s">
        <v>915</v>
      </c>
      <c r="B723" s="8">
        <v>0.2</v>
      </c>
      <c r="C723" s="11">
        <v>1.2431155079799805E-4</v>
      </c>
      <c r="D723" s="12">
        <v>0.99909400568276341</v>
      </c>
      <c r="E723" t="s">
        <v>1240</v>
      </c>
      <c r="F723" s="8">
        <v>83.000000000000014</v>
      </c>
      <c r="G723" s="11">
        <v>2.373002362919422E-4</v>
      </c>
      <c r="H723" s="12">
        <v>0.97900440082677354</v>
      </c>
      <c r="I723" t="s">
        <v>1240</v>
      </c>
      <c r="J723" s="8">
        <v>5</v>
      </c>
      <c r="K723">
        <v>1.2</v>
      </c>
      <c r="L723" s="11">
        <v>1.2431155079799797E-4</v>
      </c>
      <c r="M723" s="12">
        <v>0.9990940056827633</v>
      </c>
      <c r="N723" t="s">
        <v>1240</v>
      </c>
      <c r="O723" t="s">
        <v>1260</v>
      </c>
      <c r="P723" s="23">
        <f>VLOOKUP(A723,вариация!A$2:G$805,2,FALSE)</f>
        <v>2.2360679774997898</v>
      </c>
      <c r="Q723" t="str">
        <f>IF(вариация!H724="Yes",IF(P726&lt;0.1,"X",IF(P726&lt;0.25,"Y","Z")),"")</f>
        <v/>
      </c>
      <c r="R723" t="str">
        <f>O723&amp;Q723</f>
        <v>CCC</v>
      </c>
    </row>
    <row r="724" spans="1:18" x14ac:dyDescent="0.25">
      <c r="A724" s="7" t="s">
        <v>482</v>
      </c>
      <c r="B724" s="8">
        <v>1</v>
      </c>
      <c r="C724" s="11">
        <v>6.2155775398999025E-4</v>
      </c>
      <c r="D724" s="12">
        <v>0.96360098601067168</v>
      </c>
      <c r="E724" t="s">
        <v>1240</v>
      </c>
      <c r="F724" s="8">
        <v>82</v>
      </c>
      <c r="G724" s="11">
        <v>2.3444119730047297E-4</v>
      </c>
      <c r="H724" s="12">
        <v>0.97994788369395835</v>
      </c>
      <c r="I724" t="s">
        <v>1240</v>
      </c>
      <c r="J724" s="8">
        <v>5</v>
      </c>
      <c r="K724">
        <v>6</v>
      </c>
      <c r="L724" s="11">
        <v>6.2155775398998981E-4</v>
      </c>
      <c r="M724" s="12">
        <v>0.96360098601067157</v>
      </c>
      <c r="N724" t="s">
        <v>1240</v>
      </c>
      <c r="O724" t="s">
        <v>1260</v>
      </c>
      <c r="P724" s="23">
        <f>VLOOKUP(A724,вариация!A$2:G$805,2,FALSE)</f>
        <v>2.2360679774997894</v>
      </c>
      <c r="Q724" t="str">
        <f>IF(вариация!H725="Yes",IF(P727&lt;0.1,"X",IF(P727&lt;0.25,"Y","Z")),"")</f>
        <v/>
      </c>
      <c r="R724" t="str">
        <f>O724&amp;Q724</f>
        <v>CCC</v>
      </c>
    </row>
    <row r="725" spans="1:18" x14ac:dyDescent="0.25">
      <c r="A725" s="7" t="s">
        <v>1217</v>
      </c>
      <c r="B725" s="8">
        <v>1</v>
      </c>
      <c r="C725" s="11">
        <v>6.2155775398999025E-4</v>
      </c>
      <c r="D725" s="12">
        <v>0.96422254376466165</v>
      </c>
      <c r="E725" t="s">
        <v>1240</v>
      </c>
      <c r="F725" s="8">
        <v>460</v>
      </c>
      <c r="G725" s="11">
        <v>1.315157936075824E-3</v>
      </c>
      <c r="H725" s="12">
        <v>0.68199915524381816</v>
      </c>
      <c r="I725" t="s">
        <v>1238</v>
      </c>
      <c r="J725" s="8">
        <v>5</v>
      </c>
      <c r="K725">
        <v>6</v>
      </c>
      <c r="L725" s="11">
        <v>6.2155775398998981E-4</v>
      </c>
      <c r="M725" s="12">
        <v>0.96422254376466154</v>
      </c>
      <c r="N725" t="s">
        <v>1240</v>
      </c>
      <c r="O725" t="s">
        <v>1258</v>
      </c>
      <c r="P725" s="23">
        <f>VLOOKUP(A725,вариация!A$2:G$805,2,FALSE)</f>
        <v>2.2360679774997894</v>
      </c>
      <c r="Q725" t="str">
        <f>IF(вариация!H726="Yes",IF(P728&lt;0.1,"X",IF(P728&lt;0.25,"Y","Z")),"")</f>
        <v/>
      </c>
      <c r="R725" t="str">
        <f>O725&amp;Q725</f>
        <v>CAC</v>
      </c>
    </row>
    <row r="726" spans="1:18" x14ac:dyDescent="0.25">
      <c r="A726" s="7" t="s">
        <v>1111</v>
      </c>
      <c r="B726" s="8">
        <v>1</v>
      </c>
      <c r="C726" s="11">
        <v>6.2155775398999025E-4</v>
      </c>
      <c r="D726" s="12">
        <v>0.96484410151865163</v>
      </c>
      <c r="E726" t="s">
        <v>1240</v>
      </c>
      <c r="F726" s="8">
        <v>300</v>
      </c>
      <c r="G726" s="11">
        <v>8.5771169744075482E-4</v>
      </c>
      <c r="H726" s="12">
        <v>0.82053787611650175</v>
      </c>
      <c r="I726" t="s">
        <v>1239</v>
      </c>
      <c r="J726" s="8">
        <v>5</v>
      </c>
      <c r="K726">
        <v>6</v>
      </c>
      <c r="L726" s="11">
        <v>6.2155775398998981E-4</v>
      </c>
      <c r="M726" s="12">
        <v>0.96484410151865152</v>
      </c>
      <c r="N726" t="s">
        <v>1240</v>
      </c>
      <c r="O726" t="s">
        <v>1259</v>
      </c>
      <c r="P726" s="23">
        <f>VLOOKUP(A726,вариация!A$2:G$805,2,FALSE)</f>
        <v>2.2360679774997894</v>
      </c>
      <c r="Q726" t="str">
        <f>IF(вариация!H727="Yes",IF(P729&lt;0.1,"X",IF(P729&lt;0.25,"Y","Z")),"")</f>
        <v/>
      </c>
      <c r="R726" t="str">
        <f>O726&amp;Q726</f>
        <v>CBC</v>
      </c>
    </row>
    <row r="727" spans="1:18" x14ac:dyDescent="0.25">
      <c r="A727" s="7" t="s">
        <v>811</v>
      </c>
      <c r="B727" s="8">
        <v>1</v>
      </c>
      <c r="C727" s="11">
        <v>6.2155775398999025E-4</v>
      </c>
      <c r="D727" s="12">
        <v>0.96546565927264161</v>
      </c>
      <c r="E727" t="s">
        <v>1240</v>
      </c>
      <c r="F727" s="8">
        <v>206</v>
      </c>
      <c r="G727" s="11">
        <v>5.8896203224265164E-4</v>
      </c>
      <c r="H727" s="12">
        <v>0.9016317152903397</v>
      </c>
      <c r="I727" t="s">
        <v>1239</v>
      </c>
      <c r="J727" s="8">
        <v>5</v>
      </c>
      <c r="K727">
        <v>6</v>
      </c>
      <c r="L727" s="11">
        <v>6.2155775398998981E-4</v>
      </c>
      <c r="M727" s="12">
        <v>0.9654656592726415</v>
      </c>
      <c r="N727" t="s">
        <v>1240</v>
      </c>
      <c r="O727" t="s">
        <v>1259</v>
      </c>
      <c r="P727" s="23">
        <f>VLOOKUP(A727,вариация!A$2:G$805,2,FALSE)</f>
        <v>2.2360679774997894</v>
      </c>
      <c r="Q727" t="str">
        <f>IF(вариация!H728="Yes",IF(P730&lt;0.1,"X",IF(P730&lt;0.25,"Y","Z")),"")</f>
        <v/>
      </c>
      <c r="R727" t="str">
        <f>O727&amp;Q727</f>
        <v>CBC</v>
      </c>
    </row>
    <row r="728" spans="1:18" x14ac:dyDescent="0.25">
      <c r="A728" s="7" t="s">
        <v>232</v>
      </c>
      <c r="B728" s="8">
        <v>2</v>
      </c>
      <c r="C728" s="11">
        <v>1.2431155079799805E-3</v>
      </c>
      <c r="D728" s="12">
        <v>0.67066081655519583</v>
      </c>
      <c r="E728" t="s">
        <v>1238</v>
      </c>
      <c r="F728" s="8">
        <v>299</v>
      </c>
      <c r="G728" s="11">
        <v>8.5485265844928568E-4</v>
      </c>
      <c r="H728" s="12">
        <v>0.82139272877495106</v>
      </c>
      <c r="I728" t="s">
        <v>1239</v>
      </c>
      <c r="J728" s="8">
        <v>5</v>
      </c>
      <c r="K728">
        <v>12</v>
      </c>
      <c r="L728" s="11">
        <v>1.2431155079799796E-3</v>
      </c>
      <c r="M728" s="12">
        <v>0.67066081655519572</v>
      </c>
      <c r="N728" t="s">
        <v>1238</v>
      </c>
      <c r="O728" t="s">
        <v>1253</v>
      </c>
      <c r="P728" s="23">
        <f>VLOOKUP(A728,вариация!A$2:G$805,2,FALSE)</f>
        <v>1.3693063937629151</v>
      </c>
      <c r="Q728" t="str">
        <f>IF(вариация!H729="Yes",IF(P731&lt;0.1,"X",IF(P731&lt;0.25,"Y","Z")),"")</f>
        <v/>
      </c>
      <c r="R728" t="str">
        <f>O728&amp;Q728</f>
        <v>ABA</v>
      </c>
    </row>
    <row r="729" spans="1:18" x14ac:dyDescent="0.25">
      <c r="A729" s="7" t="s">
        <v>386</v>
      </c>
      <c r="B729" s="8">
        <v>1</v>
      </c>
      <c r="C729" s="11">
        <v>6.2155775398999025E-4</v>
      </c>
      <c r="D729" s="12">
        <v>0.96608721702663158</v>
      </c>
      <c r="E729" t="s">
        <v>1240</v>
      </c>
      <c r="F729" s="8">
        <v>102</v>
      </c>
      <c r="G729" s="11">
        <v>2.9162197712985662E-4</v>
      </c>
      <c r="H729" s="12">
        <v>0.96667685368413625</v>
      </c>
      <c r="I729" t="s">
        <v>1240</v>
      </c>
      <c r="J729" s="8">
        <v>5</v>
      </c>
      <c r="K729">
        <v>6</v>
      </c>
      <c r="L729" s="11">
        <v>6.2155775398998981E-4</v>
      </c>
      <c r="M729" s="12">
        <v>0.96608721702663147</v>
      </c>
      <c r="N729" t="s">
        <v>1240</v>
      </c>
      <c r="O729" t="s">
        <v>1260</v>
      </c>
      <c r="P729" s="23">
        <f>VLOOKUP(A729,вариация!A$2:G$805,2,FALSE)</f>
        <v>2.2360679774997894</v>
      </c>
      <c r="Q729" t="str">
        <f>IF(вариация!H730="Yes",IF(P732&lt;0.1,"X",IF(P732&lt;0.25,"Y","Z")),"")</f>
        <v/>
      </c>
      <c r="R729" t="str">
        <f>O729&amp;Q729</f>
        <v>CCC</v>
      </c>
    </row>
    <row r="730" spans="1:18" x14ac:dyDescent="0.25">
      <c r="A730" s="7" t="s">
        <v>1040</v>
      </c>
      <c r="B730" s="8">
        <v>1</v>
      </c>
      <c r="C730" s="11">
        <v>6.2155775398999025E-4</v>
      </c>
      <c r="D730" s="12">
        <v>0.96670877478062156</v>
      </c>
      <c r="E730" t="s">
        <v>1240</v>
      </c>
      <c r="F730" s="8">
        <v>135</v>
      </c>
      <c r="G730" s="11">
        <v>3.8597026384833968E-4</v>
      </c>
      <c r="H730" s="12">
        <v>0.94417029861056123</v>
      </c>
      <c r="I730" t="s">
        <v>1239</v>
      </c>
      <c r="J730" s="8">
        <v>5</v>
      </c>
      <c r="K730">
        <v>6</v>
      </c>
      <c r="L730" s="11">
        <v>6.2155775398998981E-4</v>
      </c>
      <c r="M730" s="12">
        <v>0.96670877478062145</v>
      </c>
      <c r="N730" t="s">
        <v>1240</v>
      </c>
      <c r="O730" t="s">
        <v>1259</v>
      </c>
      <c r="P730" s="23">
        <f>VLOOKUP(A730,вариация!A$2:G$805,2,FALSE)</f>
        <v>2.2360679774997894</v>
      </c>
      <c r="Q730" t="str">
        <f>IF(вариация!H731="Yes",IF(P733&lt;0.1,"X",IF(P733&lt;0.25,"Y","Z")),"")</f>
        <v/>
      </c>
      <c r="R730" t="str">
        <f>O730&amp;Q730</f>
        <v>CBC</v>
      </c>
    </row>
    <row r="731" spans="1:18" x14ac:dyDescent="0.25">
      <c r="A731" s="7" t="s">
        <v>540</v>
      </c>
      <c r="B731" s="8">
        <v>0.30000000000000004</v>
      </c>
      <c r="C731" s="11">
        <v>1.864673261969971E-4</v>
      </c>
      <c r="D731" s="12">
        <v>0.99789173540128118</v>
      </c>
      <c r="E731" t="s">
        <v>1240</v>
      </c>
      <c r="F731" s="8">
        <v>156.00000000000003</v>
      </c>
      <c r="G731" s="11">
        <v>4.4601008266919256E-4</v>
      </c>
      <c r="H731" s="12">
        <v>0.93135905925134777</v>
      </c>
      <c r="I731" t="s">
        <v>1239</v>
      </c>
      <c r="J731" s="8">
        <v>5</v>
      </c>
      <c r="K731">
        <v>1.8000000000000003</v>
      </c>
      <c r="L731" s="11">
        <v>1.8646732619699699E-4</v>
      </c>
      <c r="M731" s="12">
        <v>0.99789173540128107</v>
      </c>
      <c r="N731" t="s">
        <v>1240</v>
      </c>
      <c r="O731" t="s">
        <v>1259</v>
      </c>
      <c r="P731" s="23">
        <f>VLOOKUP(A731,вариация!A$2:G$805,2,FALSE)</f>
        <v>2.2360679774997894</v>
      </c>
      <c r="Q731" t="str">
        <f>IF(вариация!H732="Yes",IF(P734&lt;0.1,"X",IF(P734&lt;0.25,"Y","Z")),"")</f>
        <v/>
      </c>
      <c r="R731" t="str">
        <f>O731&amp;Q731</f>
        <v>CBC</v>
      </c>
    </row>
    <row r="732" spans="1:18" x14ac:dyDescent="0.25">
      <c r="A732" s="7" t="s">
        <v>706</v>
      </c>
      <c r="B732" s="8">
        <v>2</v>
      </c>
      <c r="C732" s="11">
        <v>1.2431155079799805E-3</v>
      </c>
      <c r="D732" s="12">
        <v>0.67190393206317578</v>
      </c>
      <c r="E732" t="s">
        <v>1238</v>
      </c>
      <c r="F732" s="8">
        <v>2201</v>
      </c>
      <c r="G732" s="11">
        <v>6.2927448202236714E-3</v>
      </c>
      <c r="H732" s="12">
        <v>0.16222817169299752</v>
      </c>
      <c r="I732" t="s">
        <v>1238</v>
      </c>
      <c r="J732" s="8">
        <v>5</v>
      </c>
      <c r="K732">
        <v>12</v>
      </c>
      <c r="L732" s="11">
        <v>1.2431155079799796E-3</v>
      </c>
      <c r="M732" s="12">
        <v>0.67190393206317567</v>
      </c>
      <c r="N732" t="s">
        <v>1238</v>
      </c>
      <c r="O732" t="s">
        <v>1252</v>
      </c>
      <c r="P732" s="23">
        <f>VLOOKUP(A732,вариация!A$2:G$805,2,FALSE)</f>
        <v>1.3693063937629151</v>
      </c>
      <c r="Q732" t="str">
        <f>IF(вариация!H733="Yes",IF(P735&lt;0.1,"X",IF(P735&lt;0.25,"Y","Z")),"")</f>
        <v/>
      </c>
      <c r="R732" t="str">
        <f>O732&amp;Q732</f>
        <v>AAA</v>
      </c>
    </row>
    <row r="733" spans="1:18" x14ac:dyDescent="0.25">
      <c r="A733" s="7" t="s">
        <v>927</v>
      </c>
      <c r="B733" s="8">
        <v>1</v>
      </c>
      <c r="C733" s="11">
        <v>6.2155775398999025E-4</v>
      </c>
      <c r="D733" s="12">
        <v>0.96733033253461154</v>
      </c>
      <c r="E733" t="s">
        <v>1240</v>
      </c>
      <c r="F733" s="8">
        <v>461</v>
      </c>
      <c r="G733" s="11">
        <v>1.3180169750672932E-3</v>
      </c>
      <c r="H733" s="12">
        <v>0.68068399730774232</v>
      </c>
      <c r="I733" t="s">
        <v>1238</v>
      </c>
      <c r="J733" s="8">
        <v>5</v>
      </c>
      <c r="K733">
        <v>6</v>
      </c>
      <c r="L733" s="11">
        <v>6.2155775398998981E-4</v>
      </c>
      <c r="M733" s="12">
        <v>0.96733033253461143</v>
      </c>
      <c r="N733" t="s">
        <v>1240</v>
      </c>
      <c r="O733" t="s">
        <v>1258</v>
      </c>
      <c r="P733" s="23">
        <f>VLOOKUP(A733,вариация!A$2:G$805,2,FALSE)</f>
        <v>2.2360679774997894</v>
      </c>
      <c r="Q733" t="str">
        <f>IF(вариация!H734="Yes",IF(P736&lt;0.1,"X",IF(P736&lt;0.25,"Y","Z")),"")</f>
        <v/>
      </c>
      <c r="R733" t="str">
        <f>O733&amp;Q733</f>
        <v>CAC</v>
      </c>
    </row>
    <row r="734" spans="1:18" x14ac:dyDescent="0.25">
      <c r="A734" s="7" t="s">
        <v>1191</v>
      </c>
      <c r="B734" s="8">
        <v>1</v>
      </c>
      <c r="C734" s="11">
        <v>6.2155775398999025E-4</v>
      </c>
      <c r="D734" s="12">
        <v>0.96795189028860151</v>
      </c>
      <c r="E734" t="s">
        <v>1240</v>
      </c>
      <c r="F734" s="8">
        <v>175</v>
      </c>
      <c r="G734" s="11">
        <v>5.0033182350710693E-4</v>
      </c>
      <c r="H734" s="12">
        <v>0.9185544814424057</v>
      </c>
      <c r="I734" t="s">
        <v>1239</v>
      </c>
      <c r="J734" s="8">
        <v>5</v>
      </c>
      <c r="K734">
        <v>6</v>
      </c>
      <c r="L734" s="11">
        <v>6.2155775398998981E-4</v>
      </c>
      <c r="M734" s="12">
        <v>0.9679518902886014</v>
      </c>
      <c r="N734" t="s">
        <v>1240</v>
      </c>
      <c r="O734" t="s">
        <v>1259</v>
      </c>
      <c r="P734" s="23">
        <f>VLOOKUP(A734,вариация!A$2:G$805,2,FALSE)</f>
        <v>2.2360679774997894</v>
      </c>
      <c r="Q734" t="str">
        <f>IF(вариация!H735="Yes",IF(P737&lt;0.1,"X",IF(P737&lt;0.25,"Y","Z")),"")</f>
        <v/>
      </c>
      <c r="R734" t="str">
        <f>O734&amp;Q734</f>
        <v>CBC</v>
      </c>
    </row>
    <row r="735" spans="1:18" x14ac:dyDescent="0.25">
      <c r="A735" s="7" t="s">
        <v>673</v>
      </c>
      <c r="B735" s="8">
        <v>2</v>
      </c>
      <c r="C735" s="11">
        <v>1.2431155079799805E-3</v>
      </c>
      <c r="D735" s="12">
        <v>0.67314704757115573</v>
      </c>
      <c r="E735" t="s">
        <v>1238</v>
      </c>
      <c r="F735" s="8">
        <v>82</v>
      </c>
      <c r="G735" s="11">
        <v>2.3444119730047297E-4</v>
      </c>
      <c r="H735" s="12">
        <v>0.98018232489125878</v>
      </c>
      <c r="I735" t="s">
        <v>1240</v>
      </c>
      <c r="J735" s="8">
        <v>5</v>
      </c>
      <c r="K735">
        <v>12</v>
      </c>
      <c r="L735" s="11">
        <v>1.2431155079799796E-3</v>
      </c>
      <c r="M735" s="12">
        <v>0.67314704757115562</v>
      </c>
      <c r="N735" t="s">
        <v>1238</v>
      </c>
      <c r="O735" t="s">
        <v>1254</v>
      </c>
      <c r="P735" s="23">
        <f>VLOOKUP(A735,вариация!A$2:G$805,2,FALSE)</f>
        <v>1.3693063937629151</v>
      </c>
      <c r="Q735" t="str">
        <f>IF(вариация!H736="Yes",IF(P738&lt;0.1,"X",IF(P738&lt;0.25,"Y","Z")),"")</f>
        <v/>
      </c>
      <c r="R735" t="str">
        <f>O735&amp;Q735</f>
        <v>ACA</v>
      </c>
    </row>
    <row r="736" spans="1:18" x14ac:dyDescent="0.25">
      <c r="A736" s="7" t="s">
        <v>319</v>
      </c>
      <c r="B736" s="8">
        <v>2</v>
      </c>
      <c r="C736" s="11">
        <v>1.2431155079799805E-3</v>
      </c>
      <c r="D736" s="12">
        <v>0.67439016307913568</v>
      </c>
      <c r="E736" t="s">
        <v>1238</v>
      </c>
      <c r="F736" s="8">
        <v>368</v>
      </c>
      <c r="G736" s="11">
        <v>1.0521263488606591E-3</v>
      </c>
      <c r="H736" s="12">
        <v>0.76216560790096699</v>
      </c>
      <c r="I736" t="s">
        <v>1238</v>
      </c>
      <c r="J736" s="8">
        <v>5</v>
      </c>
      <c r="K736">
        <v>12</v>
      </c>
      <c r="L736" s="11">
        <v>1.2431155079799796E-3</v>
      </c>
      <c r="M736" s="12">
        <v>0.67439016307913557</v>
      </c>
      <c r="N736" t="s">
        <v>1238</v>
      </c>
      <c r="O736" t="s">
        <v>1252</v>
      </c>
      <c r="P736" s="23">
        <f>VLOOKUP(A736,вариация!A$2:G$805,2,FALSE)</f>
        <v>2.2360679774997894</v>
      </c>
      <c r="Q736" t="str">
        <f>IF(вариация!H737="Yes",IF(P739&lt;0.1,"X",IF(P739&lt;0.25,"Y","Z")),"")</f>
        <v/>
      </c>
      <c r="R736" t="str">
        <f>O736&amp;Q736</f>
        <v>AAA</v>
      </c>
    </row>
    <row r="737" spans="1:18" x14ac:dyDescent="0.25">
      <c r="A737" s="7" t="s">
        <v>443</v>
      </c>
      <c r="B737" s="8">
        <v>1</v>
      </c>
      <c r="C737" s="11">
        <v>6.2155775398999025E-4</v>
      </c>
      <c r="D737" s="12">
        <v>0.96857344804259149</v>
      </c>
      <c r="E737" t="s">
        <v>1240</v>
      </c>
      <c r="F737" s="8">
        <v>113</v>
      </c>
      <c r="G737" s="11">
        <v>3.2307140603601766E-4</v>
      </c>
      <c r="H737" s="12">
        <v>0.95967492424207845</v>
      </c>
      <c r="I737" t="s">
        <v>1240</v>
      </c>
      <c r="J737" s="8">
        <v>5</v>
      </c>
      <c r="K737">
        <v>6</v>
      </c>
      <c r="L737" s="11">
        <v>6.2155775398998981E-4</v>
      </c>
      <c r="M737" s="12">
        <v>0.96857344804259138</v>
      </c>
      <c r="N737" t="s">
        <v>1240</v>
      </c>
      <c r="O737" t="s">
        <v>1260</v>
      </c>
      <c r="P737" s="23">
        <f>VLOOKUP(A737,вариация!A$2:G$805,2,FALSE)</f>
        <v>2.2360679774997894</v>
      </c>
      <c r="Q737" t="str">
        <f>IF(вариация!H738="Yes",IF(P740&lt;0.1,"X",IF(P740&lt;0.25,"Y","Z")),"")</f>
        <v/>
      </c>
      <c r="R737" t="str">
        <f>O737&amp;Q737</f>
        <v>CCC</v>
      </c>
    </row>
    <row r="738" spans="1:18" x14ac:dyDescent="0.25">
      <c r="A738" s="7" t="s">
        <v>639</v>
      </c>
      <c r="B738" s="8">
        <v>1</v>
      </c>
      <c r="C738" s="11">
        <v>6.2155775398999025E-4</v>
      </c>
      <c r="D738" s="12">
        <v>0.96919500579658147</v>
      </c>
      <c r="E738" t="s">
        <v>1240</v>
      </c>
      <c r="F738" s="8">
        <v>287</v>
      </c>
      <c r="G738" s="11">
        <v>8.2054419055165538E-4</v>
      </c>
      <c r="H738" s="12">
        <v>0.82979324291085566</v>
      </c>
      <c r="I738" t="s">
        <v>1239</v>
      </c>
      <c r="J738" s="8">
        <v>5</v>
      </c>
      <c r="K738">
        <v>6</v>
      </c>
      <c r="L738" s="11">
        <v>6.2155775398998981E-4</v>
      </c>
      <c r="M738" s="12">
        <v>0.96919500579658135</v>
      </c>
      <c r="N738" t="s">
        <v>1240</v>
      </c>
      <c r="O738" t="s">
        <v>1259</v>
      </c>
      <c r="P738" s="23">
        <f>VLOOKUP(A738,вариация!A$2:G$805,2,FALSE)</f>
        <v>2.2360679774997894</v>
      </c>
      <c r="Q738" t="str">
        <f>IF(вариация!H739="Yes",IF(P741&lt;0.1,"X",IF(P741&lt;0.25,"Y","Z")),"")</f>
        <v/>
      </c>
      <c r="R738" t="str">
        <f>O738&amp;Q738</f>
        <v>CBC</v>
      </c>
    </row>
    <row r="739" spans="1:18" x14ac:dyDescent="0.25">
      <c r="A739" s="7" t="s">
        <v>256</v>
      </c>
      <c r="B739" s="8">
        <v>1</v>
      </c>
      <c r="C739" s="11">
        <v>6.2155775398999025E-4</v>
      </c>
      <c r="D739" s="12">
        <v>0.96981656355057144</v>
      </c>
      <c r="E739" t="s">
        <v>1240</v>
      </c>
      <c r="F739" s="8">
        <v>72</v>
      </c>
      <c r="G739" s="11">
        <v>2.0585080738578116E-4</v>
      </c>
      <c r="H739" s="12">
        <v>0.98760267468971796</v>
      </c>
      <c r="I739" t="s">
        <v>1240</v>
      </c>
      <c r="J739" s="8">
        <v>5</v>
      </c>
      <c r="K739">
        <v>6</v>
      </c>
      <c r="L739" s="11">
        <v>6.2155775398998981E-4</v>
      </c>
      <c r="M739" s="12">
        <v>0.96981656355057133</v>
      </c>
      <c r="N739" t="s">
        <v>1240</v>
      </c>
      <c r="O739" t="s">
        <v>1260</v>
      </c>
      <c r="P739" s="23">
        <f>VLOOKUP(A739,вариация!A$2:G$805,2,FALSE)</f>
        <v>2.2360679774997894</v>
      </c>
      <c r="Q739" t="str">
        <f>IF(вариация!H740="Yes",IF(P742&lt;0.1,"X",IF(P742&lt;0.25,"Y","Z")),"")</f>
        <v/>
      </c>
      <c r="R739" t="str">
        <f>O739&amp;Q739</f>
        <v>CCC</v>
      </c>
    </row>
    <row r="740" spans="1:18" x14ac:dyDescent="0.25">
      <c r="A740" s="7" t="s">
        <v>524</v>
      </c>
      <c r="B740" s="8">
        <v>1</v>
      </c>
      <c r="C740" s="11">
        <v>6.2155775398999025E-4</v>
      </c>
      <c r="D740" s="12">
        <v>0.97043812130456142</v>
      </c>
      <c r="E740" t="s">
        <v>1240</v>
      </c>
      <c r="F740" s="8">
        <v>139</v>
      </c>
      <c r="G740" s="11">
        <v>3.9740641981421637E-4</v>
      </c>
      <c r="H740" s="12">
        <v>0.94182874567654806</v>
      </c>
      <c r="I740" t="s">
        <v>1239</v>
      </c>
      <c r="J740" s="8">
        <v>5</v>
      </c>
      <c r="K740">
        <v>6</v>
      </c>
      <c r="L740" s="11">
        <v>6.2155775398998981E-4</v>
      </c>
      <c r="M740" s="12">
        <v>0.97043812130456131</v>
      </c>
      <c r="N740" t="s">
        <v>1240</v>
      </c>
      <c r="O740" t="s">
        <v>1259</v>
      </c>
      <c r="P740" s="23">
        <f>VLOOKUP(A740,вариация!A$2:G$805,2,FALSE)</f>
        <v>2.2360679774997894</v>
      </c>
      <c r="Q740" t="str">
        <f>IF(вариация!H741="Yes",IF(P743&lt;0.1,"X",IF(P743&lt;0.25,"Y","Z")),"")</f>
        <v/>
      </c>
      <c r="R740" t="str">
        <f>O740&amp;Q740</f>
        <v>CBC</v>
      </c>
    </row>
    <row r="741" spans="1:18" x14ac:dyDescent="0.25">
      <c r="A741" s="7" t="s">
        <v>442</v>
      </c>
      <c r="B741" s="8">
        <v>1</v>
      </c>
      <c r="C741" s="11">
        <v>6.2155775398999025E-4</v>
      </c>
      <c r="D741" s="12">
        <v>0.97105967905855139</v>
      </c>
      <c r="E741" t="s">
        <v>1240</v>
      </c>
      <c r="F741" s="8">
        <v>157</v>
      </c>
      <c r="G741" s="11">
        <v>4.488691216606617E-4</v>
      </c>
      <c r="H741" s="12">
        <v>0.93091304916867856</v>
      </c>
      <c r="I741" t="s">
        <v>1239</v>
      </c>
      <c r="J741" s="8">
        <v>5</v>
      </c>
      <c r="K741">
        <v>6</v>
      </c>
      <c r="L741" s="11">
        <v>6.2155775398998981E-4</v>
      </c>
      <c r="M741" s="12">
        <v>0.97105967905855128</v>
      </c>
      <c r="N741" t="s">
        <v>1240</v>
      </c>
      <c r="O741" t="s">
        <v>1259</v>
      </c>
      <c r="P741" s="23">
        <f>VLOOKUP(A741,вариация!A$2:G$805,2,FALSE)</f>
        <v>2.2360679774997894</v>
      </c>
      <c r="Q741" t="str">
        <f>IF(вариация!H742="Yes",IF(P744&lt;0.1,"X",IF(P744&lt;0.25,"Y","Z")),"")</f>
        <v/>
      </c>
      <c r="R741" t="str">
        <f>O741&amp;Q741</f>
        <v>CBC</v>
      </c>
    </row>
    <row r="742" spans="1:18" x14ac:dyDescent="0.25">
      <c r="A742" s="7" t="s">
        <v>858</v>
      </c>
      <c r="B742" s="8">
        <v>1</v>
      </c>
      <c r="C742" s="11">
        <v>6.2155775398999025E-4</v>
      </c>
      <c r="D742" s="12">
        <v>0.97168123681254137</v>
      </c>
      <c r="E742" t="s">
        <v>1240</v>
      </c>
      <c r="F742" s="8">
        <v>1170</v>
      </c>
      <c r="G742" s="11">
        <v>3.3450756200189436E-3</v>
      </c>
      <c r="H742" s="12">
        <v>0.35656244318580416</v>
      </c>
      <c r="I742" t="s">
        <v>1238</v>
      </c>
      <c r="J742" s="8">
        <v>5</v>
      </c>
      <c r="K742">
        <v>6</v>
      </c>
      <c r="L742" s="11">
        <v>6.2155775398998981E-4</v>
      </c>
      <c r="M742" s="12">
        <v>0.97168123681254126</v>
      </c>
      <c r="N742" t="s">
        <v>1240</v>
      </c>
      <c r="O742" t="s">
        <v>1258</v>
      </c>
      <c r="P742" s="23">
        <f>VLOOKUP(A742,вариация!A$2:G$805,2,FALSE)</f>
        <v>2.2360679774997894</v>
      </c>
      <c r="Q742" t="str">
        <f>IF(вариация!H743="Yes",IF(P745&lt;0.1,"X",IF(P745&lt;0.25,"Y","Z")),"")</f>
        <v/>
      </c>
      <c r="R742" t="str">
        <f>O742&amp;Q742</f>
        <v>CAC</v>
      </c>
    </row>
    <row r="743" spans="1:18" x14ac:dyDescent="0.25">
      <c r="A743" s="7" t="s">
        <v>305</v>
      </c>
      <c r="B743" s="8">
        <v>1</v>
      </c>
      <c r="C743" s="11">
        <v>6.2155775398999025E-4</v>
      </c>
      <c r="D743" s="12">
        <v>0.97230279456653135</v>
      </c>
      <c r="E743" t="s">
        <v>1240</v>
      </c>
      <c r="F743" s="8">
        <v>70</v>
      </c>
      <c r="G743" s="11">
        <v>2.0013272940284279E-4</v>
      </c>
      <c r="H743" s="12">
        <v>0.98840892368531241</v>
      </c>
      <c r="I743" t="s">
        <v>1240</v>
      </c>
      <c r="J743" s="8">
        <v>5</v>
      </c>
      <c r="K743">
        <v>6</v>
      </c>
      <c r="L743" s="11">
        <v>6.2155775398998981E-4</v>
      </c>
      <c r="M743" s="12">
        <v>0.97230279456653124</v>
      </c>
      <c r="N743" t="s">
        <v>1240</v>
      </c>
      <c r="O743" t="s">
        <v>1260</v>
      </c>
      <c r="P743" s="23">
        <f>VLOOKUP(A743,вариация!A$2:G$805,2,FALSE)</f>
        <v>2.2360679774997894</v>
      </c>
      <c r="Q743" t="str">
        <f>IF(вариация!H744="Yes",IF(P746&lt;0.1,"X",IF(P746&lt;0.25,"Y","Z")),"")</f>
        <v/>
      </c>
      <c r="R743" t="str">
        <f>O743&amp;Q743</f>
        <v>CCC</v>
      </c>
    </row>
    <row r="744" spans="1:18" x14ac:dyDescent="0.25">
      <c r="A744" s="7" t="s">
        <v>235</v>
      </c>
      <c r="B744" s="8">
        <v>3</v>
      </c>
      <c r="C744" s="11">
        <v>1.8646732619699705E-3</v>
      </c>
      <c r="D744" s="12">
        <v>0.51278514704174183</v>
      </c>
      <c r="E744" t="s">
        <v>1238</v>
      </c>
      <c r="F744" s="8">
        <v>415</v>
      </c>
      <c r="G744" s="11">
        <v>1.1865011814597107E-3</v>
      </c>
      <c r="H744" s="12">
        <v>0.72204857343631845</v>
      </c>
      <c r="I744" t="s">
        <v>1238</v>
      </c>
      <c r="J744" s="8">
        <v>5</v>
      </c>
      <c r="K744">
        <v>18</v>
      </c>
      <c r="L744" s="11">
        <v>1.8646732619699697E-3</v>
      </c>
      <c r="M744" s="12">
        <v>0.51278514704174172</v>
      </c>
      <c r="N744" t="s">
        <v>1238</v>
      </c>
      <c r="O744" t="s">
        <v>1252</v>
      </c>
      <c r="P744" s="23">
        <f>VLOOKUP(A744,вариация!A$2:G$805,2,FALSE)</f>
        <v>0.91287092917527679</v>
      </c>
      <c r="Q744" t="str">
        <f>IF(вариация!H745="Yes",IF(P747&lt;0.1,"X",IF(P747&lt;0.25,"Y","Z")),"")</f>
        <v>Z</v>
      </c>
      <c r="R744" t="str">
        <f>O744&amp;Q744</f>
        <v>AAAZ</v>
      </c>
    </row>
    <row r="745" spans="1:18" x14ac:dyDescent="0.25">
      <c r="A745" s="7" t="s">
        <v>247</v>
      </c>
      <c r="B745" s="8">
        <v>1</v>
      </c>
      <c r="C745" s="11">
        <v>6.2155775398999025E-4</v>
      </c>
      <c r="D745" s="12">
        <v>0.97292435232052132</v>
      </c>
      <c r="E745" t="s">
        <v>1240</v>
      </c>
      <c r="F745" s="8">
        <v>32</v>
      </c>
      <c r="G745" s="11">
        <v>9.1489247727013847E-5</v>
      </c>
      <c r="H745" s="12">
        <v>0.99872824227581625</v>
      </c>
      <c r="I745" t="s">
        <v>1240</v>
      </c>
      <c r="J745" s="8">
        <v>5</v>
      </c>
      <c r="K745">
        <v>6</v>
      </c>
      <c r="L745" s="11">
        <v>6.2155775398998981E-4</v>
      </c>
      <c r="M745" s="12">
        <v>0.97292435232052121</v>
      </c>
      <c r="N745" t="s">
        <v>1240</v>
      </c>
      <c r="O745" t="s">
        <v>1260</v>
      </c>
      <c r="P745" s="23">
        <f>VLOOKUP(A745,вариация!A$2:G$805,2,FALSE)</f>
        <v>2.2360679774997894</v>
      </c>
      <c r="Q745" t="str">
        <f>IF(вариация!H746="Yes",IF(P748&lt;0.1,"X",IF(P748&lt;0.25,"Y","Z")),"")</f>
        <v/>
      </c>
      <c r="R745" t="str">
        <f>O745&amp;Q745</f>
        <v>CCC</v>
      </c>
    </row>
    <row r="746" spans="1:18" x14ac:dyDescent="0.25">
      <c r="A746" s="7" t="s">
        <v>1037</v>
      </c>
      <c r="B746" s="8">
        <v>6.6666669999999997E-2</v>
      </c>
      <c r="C746" s="11">
        <v>4.1437185671191858E-5</v>
      </c>
      <c r="D746" s="12">
        <v>0.99991298191443101</v>
      </c>
      <c r="E746" t="s">
        <v>1240</v>
      </c>
      <c r="F746" s="8">
        <v>273.00001364999997</v>
      </c>
      <c r="G746" s="11">
        <v>7.8051768369696904E-4</v>
      </c>
      <c r="H746" s="12">
        <v>0.84572726764752748</v>
      </c>
      <c r="I746" t="s">
        <v>1239</v>
      </c>
      <c r="J746" s="8">
        <v>5</v>
      </c>
      <c r="K746">
        <v>0.40000001999999996</v>
      </c>
      <c r="L746" s="11">
        <v>4.1437185671191831E-5</v>
      </c>
      <c r="M746" s="12">
        <v>0.9999129819144309</v>
      </c>
      <c r="N746" t="s">
        <v>1240</v>
      </c>
      <c r="O746" t="s">
        <v>1259</v>
      </c>
      <c r="P746" s="23">
        <f>VLOOKUP(A746,вариация!A$2:G$805,2,FALSE)</f>
        <v>2.2360679774997898</v>
      </c>
      <c r="Q746" t="str">
        <f>IF(вариация!H747="Yes",IF(P749&lt;0.1,"X",IF(P749&lt;0.25,"Y","Z")),"")</f>
        <v/>
      </c>
      <c r="R746" t="str">
        <f>O746&amp;Q746</f>
        <v>CBC</v>
      </c>
    </row>
    <row r="747" spans="1:18" x14ac:dyDescent="0.25">
      <c r="A747" s="7" t="s">
        <v>935</v>
      </c>
      <c r="B747" s="8">
        <v>0.2</v>
      </c>
      <c r="C747" s="11">
        <v>1.2431155079799805E-4</v>
      </c>
      <c r="D747" s="12">
        <v>0.99921831723356136</v>
      </c>
      <c r="E747" t="s">
        <v>1240</v>
      </c>
      <c r="F747" s="8">
        <v>327.60000000000002</v>
      </c>
      <c r="G747" s="11">
        <v>9.3662117360530429E-4</v>
      </c>
      <c r="H747" s="12">
        <v>0.80088035339792607</v>
      </c>
      <c r="I747" t="s">
        <v>1239</v>
      </c>
      <c r="J747" s="8">
        <v>5</v>
      </c>
      <c r="K747">
        <v>1.2</v>
      </c>
      <c r="L747" s="11">
        <v>1.2431155079799797E-4</v>
      </c>
      <c r="M747" s="12">
        <v>0.99921831723356125</v>
      </c>
      <c r="N747" t="s">
        <v>1240</v>
      </c>
      <c r="O747" t="s">
        <v>1259</v>
      </c>
      <c r="P747" s="23">
        <f>VLOOKUP(A747,вариация!A$2:G$805,2,FALSE)</f>
        <v>2.2360679774997898</v>
      </c>
      <c r="Q747" t="str">
        <f>IF(вариация!H748="Yes",IF(P750&lt;0.1,"X",IF(P750&lt;0.25,"Y","Z")),"")</f>
        <v/>
      </c>
      <c r="R747" t="str">
        <f>O747&amp;Q747</f>
        <v>CBC</v>
      </c>
    </row>
    <row r="748" spans="1:18" x14ac:dyDescent="0.25">
      <c r="A748" s="7" t="s">
        <v>809</v>
      </c>
      <c r="B748" s="8">
        <v>0.12</v>
      </c>
      <c r="C748" s="11">
        <v>7.4586930478798822E-5</v>
      </c>
      <c r="D748" s="12">
        <v>0.99957230917374873</v>
      </c>
      <c r="E748" t="s">
        <v>1240</v>
      </c>
      <c r="F748" s="8">
        <v>64.44</v>
      </c>
      <c r="G748" s="11">
        <v>1.8423647261027413E-4</v>
      </c>
      <c r="H748" s="12">
        <v>0.9897396347935018</v>
      </c>
      <c r="I748" t="s">
        <v>1240</v>
      </c>
      <c r="J748" s="8">
        <v>5</v>
      </c>
      <c r="K748">
        <v>0.72</v>
      </c>
      <c r="L748" s="11">
        <v>7.4586930478798781E-5</v>
      </c>
      <c r="M748" s="12">
        <v>0.99957230917374862</v>
      </c>
      <c r="N748" t="s">
        <v>1240</v>
      </c>
      <c r="O748" t="s">
        <v>1260</v>
      </c>
      <c r="P748" s="23">
        <f>VLOOKUP(A748,вариация!A$2:G$805,2,FALSE)</f>
        <v>2.2360679774997894</v>
      </c>
      <c r="Q748" t="str">
        <f>IF(вариация!H749="Yes",IF(P751&lt;0.1,"X",IF(P751&lt;0.25,"Y","Z")),"")</f>
        <v/>
      </c>
      <c r="R748" t="str">
        <f>O748&amp;Q748</f>
        <v>CCC</v>
      </c>
    </row>
    <row r="749" spans="1:18" x14ac:dyDescent="0.25">
      <c r="A749" s="7" t="s">
        <v>826</v>
      </c>
      <c r="B749" s="8">
        <v>0.24</v>
      </c>
      <c r="C749" s="11">
        <v>1.4917386095759764E-4</v>
      </c>
      <c r="D749" s="12">
        <v>0.99821494543335598</v>
      </c>
      <c r="E749" t="s">
        <v>1240</v>
      </c>
      <c r="F749" s="8">
        <v>322</v>
      </c>
      <c r="G749" s="11">
        <v>9.2061055525307679E-4</v>
      </c>
      <c r="H749" s="12">
        <v>0.80549484233015722</v>
      </c>
      <c r="I749" t="s">
        <v>1239</v>
      </c>
      <c r="J749" s="8">
        <v>5</v>
      </c>
      <c r="K749">
        <v>1.44</v>
      </c>
      <c r="L749" s="11">
        <v>1.4917386095759756E-4</v>
      </c>
      <c r="M749" s="12">
        <v>0.99821494543335587</v>
      </c>
      <c r="N749" t="s">
        <v>1240</v>
      </c>
      <c r="O749" t="s">
        <v>1259</v>
      </c>
      <c r="P749" s="23">
        <f>VLOOKUP(A749,вариация!A$2:G$805,2,FALSE)</f>
        <v>2.2360679774997894</v>
      </c>
      <c r="Q749" t="str">
        <f>IF(вариация!H750="Yes",IF(P752&lt;0.1,"X",IF(P752&lt;0.25,"Y","Z")),"")</f>
        <v/>
      </c>
      <c r="R749" t="str">
        <f>O749&amp;Q749</f>
        <v>CBC</v>
      </c>
    </row>
    <row r="750" spans="1:18" x14ac:dyDescent="0.25">
      <c r="A750" s="7" t="s">
        <v>1011</v>
      </c>
      <c r="B750" s="8">
        <v>0.04</v>
      </c>
      <c r="C750" s="11">
        <v>2.486231015959961E-5</v>
      </c>
      <c r="D750" s="12">
        <v>0.99999999999998967</v>
      </c>
      <c r="E750" t="s">
        <v>1240</v>
      </c>
      <c r="F750" s="8">
        <v>25.8</v>
      </c>
      <c r="G750" s="11">
        <v>7.3763205979904918E-5</v>
      </c>
      <c r="H750" s="12">
        <v>0.99951933836475582</v>
      </c>
      <c r="I750" t="s">
        <v>1240</v>
      </c>
      <c r="J750" s="8">
        <v>5</v>
      </c>
      <c r="K750">
        <v>0.24</v>
      </c>
      <c r="L750" s="11">
        <v>2.4862310159599593E-5</v>
      </c>
      <c r="M750" s="12">
        <v>0.99999999999998956</v>
      </c>
      <c r="N750" t="s">
        <v>1240</v>
      </c>
      <c r="O750" t="s">
        <v>1260</v>
      </c>
      <c r="P750" s="23">
        <f>VLOOKUP(A750,вариация!A$2:G$805,2,FALSE)</f>
        <v>2.2360679774997898</v>
      </c>
      <c r="Q750" t="str">
        <f>IF(вариация!H751="Yes",IF(P753&lt;0.1,"X",IF(P753&lt;0.25,"Y","Z")),"")</f>
        <v/>
      </c>
      <c r="R750" t="str">
        <f>O750&amp;Q750</f>
        <v>CCC</v>
      </c>
    </row>
    <row r="751" spans="1:18" x14ac:dyDescent="0.25">
      <c r="A751" s="7" t="s">
        <v>496</v>
      </c>
      <c r="B751" s="8">
        <v>1</v>
      </c>
      <c r="C751" s="11">
        <v>6.2155775398999025E-4</v>
      </c>
      <c r="D751" s="12">
        <v>0.9735459100745113</v>
      </c>
      <c r="E751" t="s">
        <v>1240</v>
      </c>
      <c r="F751" s="8">
        <v>173</v>
      </c>
      <c r="G751" s="11">
        <v>4.9461374552416863E-4</v>
      </c>
      <c r="H751" s="12">
        <v>0.92152502296512062</v>
      </c>
      <c r="I751" t="s">
        <v>1239</v>
      </c>
      <c r="J751" s="8">
        <v>5</v>
      </c>
      <c r="K751">
        <v>6</v>
      </c>
      <c r="L751" s="11">
        <v>6.2155775398998981E-4</v>
      </c>
      <c r="M751" s="12">
        <v>0.97354591007451119</v>
      </c>
      <c r="N751" t="s">
        <v>1240</v>
      </c>
      <c r="O751" t="s">
        <v>1259</v>
      </c>
      <c r="P751" s="23">
        <f>VLOOKUP(A751,вариация!A$2:G$805,2,FALSE)</f>
        <v>2.2360679774997894</v>
      </c>
      <c r="Q751" t="str">
        <f>IF(вариация!H752="Yes",IF(P754&lt;0.1,"X",IF(P754&lt;0.25,"Y","Z")),"")</f>
        <v/>
      </c>
      <c r="R751" t="str">
        <f>O751&amp;Q751</f>
        <v>CBC</v>
      </c>
    </row>
    <row r="752" spans="1:18" x14ac:dyDescent="0.25">
      <c r="A752" s="7" t="s">
        <v>1052</v>
      </c>
      <c r="B752" s="8">
        <v>1</v>
      </c>
      <c r="C752" s="11">
        <v>6.2155775398999025E-4</v>
      </c>
      <c r="D752" s="12">
        <v>0.97416746782850128</v>
      </c>
      <c r="E752" t="s">
        <v>1240</v>
      </c>
      <c r="F752" s="8">
        <v>214</v>
      </c>
      <c r="G752" s="11">
        <v>6.1183434417440513E-4</v>
      </c>
      <c r="H752" s="12">
        <v>0.89625672198637774</v>
      </c>
      <c r="I752" t="s">
        <v>1239</v>
      </c>
      <c r="J752" s="8">
        <v>5</v>
      </c>
      <c r="K752">
        <v>6</v>
      </c>
      <c r="L752" s="11">
        <v>6.2155775398998981E-4</v>
      </c>
      <c r="M752" s="12">
        <v>0.97416746782850117</v>
      </c>
      <c r="N752" t="s">
        <v>1240</v>
      </c>
      <c r="O752" t="s">
        <v>1259</v>
      </c>
      <c r="P752" s="23">
        <f>VLOOKUP(A752,вариация!A$2:G$805,2,FALSE)</f>
        <v>2.2360679774997894</v>
      </c>
      <c r="Q752" t="str">
        <f>IF(вариация!H753="Yes",IF(P755&lt;0.1,"X",IF(P755&lt;0.25,"Y","Z")),"")</f>
        <v/>
      </c>
      <c r="R752" t="str">
        <f>O752&amp;Q752</f>
        <v>CBC</v>
      </c>
    </row>
    <row r="753" spans="1:18" x14ac:dyDescent="0.25">
      <c r="A753" s="7" t="s">
        <v>263</v>
      </c>
      <c r="B753" s="8">
        <v>1</v>
      </c>
      <c r="C753" s="11">
        <v>6.2155775398999025E-4</v>
      </c>
      <c r="D753" s="12">
        <v>0.97478902558249125</v>
      </c>
      <c r="E753" t="s">
        <v>1240</v>
      </c>
      <c r="F753" s="8">
        <v>29</v>
      </c>
      <c r="G753" s="11">
        <v>8.2912130752606301E-5</v>
      </c>
      <c r="H753" s="12">
        <v>0.99906246393391906</v>
      </c>
      <c r="I753" t="s">
        <v>1240</v>
      </c>
      <c r="J753" s="8">
        <v>5</v>
      </c>
      <c r="K753">
        <v>6</v>
      </c>
      <c r="L753" s="11">
        <v>6.2155775398998981E-4</v>
      </c>
      <c r="M753" s="12">
        <v>0.97478902558249114</v>
      </c>
      <c r="N753" t="s">
        <v>1240</v>
      </c>
      <c r="O753" t="s">
        <v>1260</v>
      </c>
      <c r="P753" s="23">
        <f>VLOOKUP(A753,вариация!A$2:G$805,2,FALSE)</f>
        <v>2.2360679774997894</v>
      </c>
      <c r="Q753" t="str">
        <f>IF(вариация!H754="Yes",IF(P756&lt;0.1,"X",IF(P756&lt;0.25,"Y","Z")),"")</f>
        <v/>
      </c>
      <c r="R753" t="str">
        <f>O753&amp;Q753</f>
        <v>CCC</v>
      </c>
    </row>
    <row r="754" spans="1:18" x14ac:dyDescent="0.25">
      <c r="A754" s="7" t="s">
        <v>98</v>
      </c>
      <c r="B754" s="8">
        <v>7</v>
      </c>
      <c r="C754" s="11">
        <v>4.3509042779299317E-3</v>
      </c>
      <c r="D754" s="12">
        <v>0.27535008501756564</v>
      </c>
      <c r="E754" t="s">
        <v>1238</v>
      </c>
      <c r="F754" s="8">
        <v>315</v>
      </c>
      <c r="G754" s="11">
        <v>9.0059728231279255E-4</v>
      </c>
      <c r="H754" s="12">
        <v>0.80912582184932313</v>
      </c>
      <c r="I754" t="s">
        <v>1239</v>
      </c>
      <c r="J754" s="8">
        <v>5</v>
      </c>
      <c r="K754">
        <v>42</v>
      </c>
      <c r="L754" s="11">
        <v>4.3509042779299291E-3</v>
      </c>
      <c r="M754" s="12">
        <v>0.27535008501756547</v>
      </c>
      <c r="N754" t="s">
        <v>1238</v>
      </c>
      <c r="O754" t="s">
        <v>1253</v>
      </c>
      <c r="P754" s="23">
        <f>VLOOKUP(A754,вариация!A$2:G$805,2,FALSE)</f>
        <v>0.95831484749990992</v>
      </c>
      <c r="Q754" t="str">
        <f>IF(вариация!H755="Yes",IF(P757&lt;0.1,"X",IF(P757&lt;0.25,"Y","Z")),"")</f>
        <v>Z</v>
      </c>
      <c r="R754" t="str">
        <f>O754&amp;Q754</f>
        <v>ABAZ</v>
      </c>
    </row>
    <row r="755" spans="1:18" x14ac:dyDescent="0.25">
      <c r="A755" s="7" t="s">
        <v>593</v>
      </c>
      <c r="B755" s="8">
        <v>1</v>
      </c>
      <c r="C755" s="11">
        <v>6.2155775398999025E-4</v>
      </c>
      <c r="D755" s="12">
        <v>0.97541058333648123</v>
      </c>
      <c r="E755" t="s">
        <v>1240</v>
      </c>
      <c r="F755" s="8">
        <v>14</v>
      </c>
      <c r="G755" s="11">
        <v>4.0026545880568557E-5</v>
      </c>
      <c r="H755" s="12">
        <v>0.9999710665254079</v>
      </c>
      <c r="I755" t="s">
        <v>1240</v>
      </c>
      <c r="J755" s="8">
        <v>5</v>
      </c>
      <c r="K755">
        <v>6</v>
      </c>
      <c r="L755" s="11">
        <v>6.2155775398998981E-4</v>
      </c>
      <c r="M755" s="12">
        <v>0.97541058333648112</v>
      </c>
      <c r="N755" t="s">
        <v>1240</v>
      </c>
      <c r="O755" t="s">
        <v>1260</v>
      </c>
      <c r="P755" s="23">
        <f>VLOOKUP(A755,вариация!A$2:G$805,2,FALSE)</f>
        <v>2.2360679774997894</v>
      </c>
      <c r="Q755" t="str">
        <f>IF(вариация!H756="Yes",IF(P758&lt;0.1,"X",IF(P758&lt;0.25,"Y","Z")),"")</f>
        <v/>
      </c>
      <c r="R755" t="str">
        <f>O755&amp;Q755</f>
        <v>CCC</v>
      </c>
    </row>
    <row r="756" spans="1:18" x14ac:dyDescent="0.25">
      <c r="A756" s="7" t="s">
        <v>636</v>
      </c>
      <c r="B756" s="8">
        <v>1</v>
      </c>
      <c r="C756" s="11">
        <v>6.2155775398999025E-4</v>
      </c>
      <c r="D756" s="12">
        <v>0.97603214109047121</v>
      </c>
      <c r="E756" t="s">
        <v>1240</v>
      </c>
      <c r="F756" s="8">
        <v>27</v>
      </c>
      <c r="G756" s="11">
        <v>7.7194052769667928E-5</v>
      </c>
      <c r="H756" s="12">
        <v>0.99929690513121949</v>
      </c>
      <c r="I756" t="s">
        <v>1240</v>
      </c>
      <c r="J756" s="8">
        <v>5</v>
      </c>
      <c r="K756">
        <v>6</v>
      </c>
      <c r="L756" s="11">
        <v>6.2155775398998981E-4</v>
      </c>
      <c r="M756" s="12">
        <v>0.97603214109047109</v>
      </c>
      <c r="N756" t="s">
        <v>1240</v>
      </c>
      <c r="O756" t="s">
        <v>1260</v>
      </c>
      <c r="P756" s="23">
        <f>VLOOKUP(A756,вариация!A$2:G$805,2,FALSE)</f>
        <v>2.2360679774997894</v>
      </c>
      <c r="Q756" t="str">
        <f>IF(вариация!H757="Yes",IF(P759&lt;0.1,"X",IF(P759&lt;0.25,"Y","Z")),"")</f>
        <v/>
      </c>
      <c r="R756" t="str">
        <f>O756&amp;Q756</f>
        <v>CCC</v>
      </c>
    </row>
    <row r="757" spans="1:18" x14ac:dyDescent="0.25">
      <c r="A757" s="7" t="s">
        <v>632</v>
      </c>
      <c r="B757" s="8">
        <v>1</v>
      </c>
      <c r="C757" s="11">
        <v>6.2155775398999025E-4</v>
      </c>
      <c r="D757" s="12">
        <v>0.97665369884446118</v>
      </c>
      <c r="E757" t="s">
        <v>1240</v>
      </c>
      <c r="F757" s="8">
        <v>471</v>
      </c>
      <c r="G757" s="11">
        <v>1.3466073649819851E-3</v>
      </c>
      <c r="H757" s="12">
        <v>0.66471340550139535</v>
      </c>
      <c r="I757" t="s">
        <v>1238</v>
      </c>
      <c r="J757" s="8">
        <v>5</v>
      </c>
      <c r="K757">
        <v>6</v>
      </c>
      <c r="L757" s="11">
        <v>6.2155775398998981E-4</v>
      </c>
      <c r="M757" s="12">
        <v>0.97665369884446107</v>
      </c>
      <c r="N757" t="s">
        <v>1240</v>
      </c>
      <c r="O757" t="s">
        <v>1258</v>
      </c>
      <c r="P757" s="23">
        <f>VLOOKUP(A757,вариация!A$2:G$805,2,FALSE)</f>
        <v>2.2360679774997894</v>
      </c>
      <c r="Q757" t="str">
        <f>IF(вариация!H758="Yes",IF(P760&lt;0.1,"X",IF(P760&lt;0.25,"Y","Z")),"")</f>
        <v/>
      </c>
      <c r="R757" t="str">
        <f>O757&amp;Q757</f>
        <v>CAC</v>
      </c>
    </row>
    <row r="758" spans="1:18" x14ac:dyDescent="0.25">
      <c r="A758" s="7" t="s">
        <v>682</v>
      </c>
      <c r="B758" s="8">
        <v>0.33333332999999998</v>
      </c>
      <c r="C758" s="11">
        <v>2.0718591592480421E-4</v>
      </c>
      <c r="D758" s="12">
        <v>0.9977052680750842</v>
      </c>
      <c r="E758" t="s">
        <v>1240</v>
      </c>
      <c r="F758" s="8">
        <v>503.99999495999998</v>
      </c>
      <c r="G758" s="11">
        <v>1.4409556372909115E-3</v>
      </c>
      <c r="H758" s="12">
        <v>0.64948138518336884</v>
      </c>
      <c r="I758" t="s">
        <v>1238</v>
      </c>
      <c r="J758" s="8">
        <v>5</v>
      </c>
      <c r="K758">
        <v>1.9999999799999999</v>
      </c>
      <c r="L758" s="11">
        <v>2.071859159248041E-4</v>
      </c>
      <c r="M758" s="12">
        <v>0.99770526807508408</v>
      </c>
      <c r="N758" t="s">
        <v>1240</v>
      </c>
      <c r="O758" t="s">
        <v>1258</v>
      </c>
      <c r="P758" s="23">
        <f>VLOOKUP(A758,вариация!A$2:G$805,2,FALSE)</f>
        <v>2.2360679774997898</v>
      </c>
      <c r="Q758" t="str">
        <f>IF(вариация!H759="Yes",IF(P761&lt;0.1,"X",IF(P761&lt;0.25,"Y","Z")),"")</f>
        <v/>
      </c>
      <c r="R758" t="str">
        <f>O758&amp;Q758</f>
        <v>CAC</v>
      </c>
    </row>
    <row r="759" spans="1:18" x14ac:dyDescent="0.25">
      <c r="A759" s="7" t="s">
        <v>916</v>
      </c>
      <c r="B759" s="8">
        <v>1</v>
      </c>
      <c r="C759" s="11">
        <v>6.2155775398999025E-4</v>
      </c>
      <c r="D759" s="12">
        <v>0.97727525659845116</v>
      </c>
      <c r="E759" t="s">
        <v>1240</v>
      </c>
      <c r="F759" s="8">
        <v>122</v>
      </c>
      <c r="G759" s="11">
        <v>3.488027569592403E-4</v>
      </c>
      <c r="H759" s="12">
        <v>0.95498066812198512</v>
      </c>
      <c r="I759" t="s">
        <v>1240</v>
      </c>
      <c r="J759" s="8">
        <v>5</v>
      </c>
      <c r="K759">
        <v>6</v>
      </c>
      <c r="L759" s="11">
        <v>6.2155775398998981E-4</v>
      </c>
      <c r="M759" s="12">
        <v>0.97727525659845105</v>
      </c>
      <c r="N759" t="s">
        <v>1240</v>
      </c>
      <c r="O759" t="s">
        <v>1260</v>
      </c>
      <c r="P759" s="23">
        <f>VLOOKUP(A759,вариация!A$2:G$805,2,FALSE)</f>
        <v>2.2360679774997894</v>
      </c>
      <c r="Q759" t="str">
        <f>IF(вариация!H760="Yes",IF(P762&lt;0.1,"X",IF(P762&lt;0.25,"Y","Z")),"")</f>
        <v/>
      </c>
      <c r="R759" t="str">
        <f>O759&amp;Q759</f>
        <v>CCC</v>
      </c>
    </row>
    <row r="760" spans="1:18" x14ac:dyDescent="0.25">
      <c r="A760" s="7" t="s">
        <v>1142</v>
      </c>
      <c r="B760" s="8">
        <v>1</v>
      </c>
      <c r="C760" s="11">
        <v>6.2155775398999025E-4</v>
      </c>
      <c r="D760" s="12">
        <v>0.97789681435244113</v>
      </c>
      <c r="E760" t="s">
        <v>1240</v>
      </c>
      <c r="F760" s="8">
        <v>103</v>
      </c>
      <c r="G760" s="11">
        <v>2.9448101612132582E-4</v>
      </c>
      <c r="H760" s="12">
        <v>0.96551036577561689</v>
      </c>
      <c r="I760" t="s">
        <v>1240</v>
      </c>
      <c r="J760" s="8">
        <v>5</v>
      </c>
      <c r="K760">
        <v>6</v>
      </c>
      <c r="L760" s="11">
        <v>6.2155775398998981E-4</v>
      </c>
      <c r="M760" s="12">
        <v>0.97789681435244102</v>
      </c>
      <c r="N760" t="s">
        <v>1240</v>
      </c>
      <c r="O760" t="s">
        <v>1260</v>
      </c>
      <c r="P760" s="23">
        <f>VLOOKUP(A760,вариация!A$2:G$805,2,FALSE)</f>
        <v>2.2360679774997894</v>
      </c>
      <c r="Q760" t="str">
        <f>IF(вариация!H761="Yes",IF(P763&lt;0.1,"X",IF(P763&lt;0.25,"Y","Z")),"")</f>
        <v/>
      </c>
      <c r="R760" t="str">
        <f>O760&amp;Q760</f>
        <v>CCC</v>
      </c>
    </row>
    <row r="761" spans="1:18" x14ac:dyDescent="0.25">
      <c r="A761" s="7" t="s">
        <v>721</v>
      </c>
      <c r="B761" s="8">
        <v>1</v>
      </c>
      <c r="C761" s="11">
        <v>6.2155775398999025E-4</v>
      </c>
      <c r="D761" s="12">
        <v>0.97851837210643111</v>
      </c>
      <c r="E761" t="s">
        <v>1240</v>
      </c>
      <c r="F761" s="8">
        <v>153</v>
      </c>
      <c r="G761" s="11">
        <v>4.3743296569478496E-4</v>
      </c>
      <c r="H761" s="12">
        <v>0.93355766023578746</v>
      </c>
      <c r="I761" t="s">
        <v>1239</v>
      </c>
      <c r="J761" s="8">
        <v>5</v>
      </c>
      <c r="K761">
        <v>6</v>
      </c>
      <c r="L761" s="11">
        <v>6.2155775398998981E-4</v>
      </c>
      <c r="M761" s="12">
        <v>0.978518372106431</v>
      </c>
      <c r="N761" t="s">
        <v>1240</v>
      </c>
      <c r="O761" t="s">
        <v>1259</v>
      </c>
      <c r="P761" s="23">
        <f>VLOOKUP(A761,вариация!A$2:G$805,2,FALSE)</f>
        <v>2.2360679774997894</v>
      </c>
      <c r="Q761" t="str">
        <f>IF(вариация!H762="Yes",IF(P764&lt;0.1,"X",IF(P764&lt;0.25,"Y","Z")),"")</f>
        <v/>
      </c>
      <c r="R761" t="str">
        <f>O761&amp;Q761</f>
        <v>CBC</v>
      </c>
    </row>
    <row r="762" spans="1:18" x14ac:dyDescent="0.25">
      <c r="A762" s="7" t="s">
        <v>1107</v>
      </c>
      <c r="B762" s="8">
        <v>1</v>
      </c>
      <c r="C762" s="11">
        <v>6.2155775398999025E-4</v>
      </c>
      <c r="D762" s="12">
        <v>0.97913992986042109</v>
      </c>
      <c r="E762" t="s">
        <v>1240</v>
      </c>
      <c r="F762" s="8">
        <v>242</v>
      </c>
      <c r="G762" s="11">
        <v>6.9188743593554219E-4</v>
      </c>
      <c r="H762" s="12">
        <v>0.87744879129450659</v>
      </c>
      <c r="I762" t="s">
        <v>1239</v>
      </c>
      <c r="J762" s="8">
        <v>5</v>
      </c>
      <c r="K762">
        <v>6</v>
      </c>
      <c r="L762" s="11">
        <v>6.2155775398998981E-4</v>
      </c>
      <c r="M762" s="12">
        <v>0.97913992986042098</v>
      </c>
      <c r="N762" t="s">
        <v>1240</v>
      </c>
      <c r="O762" t="s">
        <v>1259</v>
      </c>
      <c r="P762" s="23">
        <f>VLOOKUP(A762,вариация!A$2:G$805,2,FALSE)</f>
        <v>2.2360679774997894</v>
      </c>
      <c r="Q762" t="str">
        <f>IF(вариация!H763="Yes",IF(P765&lt;0.1,"X",IF(P765&lt;0.25,"Y","Z")),"")</f>
        <v/>
      </c>
      <c r="R762" t="str">
        <f>O762&amp;Q762</f>
        <v>CBC</v>
      </c>
    </row>
    <row r="763" spans="1:18" x14ac:dyDescent="0.25">
      <c r="A763" s="7" t="s">
        <v>715</v>
      </c>
      <c r="B763" s="8">
        <v>3</v>
      </c>
      <c r="C763" s="11">
        <v>1.8646732619699705E-3</v>
      </c>
      <c r="D763" s="12">
        <v>0.51464982030371176</v>
      </c>
      <c r="E763" t="s">
        <v>1238</v>
      </c>
      <c r="F763" s="8">
        <v>117</v>
      </c>
      <c r="G763" s="11">
        <v>3.3450756200189435E-4</v>
      </c>
      <c r="H763" s="12">
        <v>0.95804241297794956</v>
      </c>
      <c r="I763" t="s">
        <v>1240</v>
      </c>
      <c r="J763" s="8">
        <v>5</v>
      </c>
      <c r="K763">
        <v>18</v>
      </c>
      <c r="L763" s="11">
        <v>1.8646732619699697E-3</v>
      </c>
      <c r="M763" s="12">
        <v>0.51464982030371165</v>
      </c>
      <c r="N763" t="s">
        <v>1238</v>
      </c>
      <c r="O763" t="s">
        <v>1254</v>
      </c>
      <c r="P763" s="23">
        <f>VLOOKUP(A763,вариация!A$2:G$805,2,FALSE)</f>
        <v>2.2360679774997898</v>
      </c>
      <c r="Q763" t="str">
        <f>IF(вариация!H764="Yes",IF(P766&lt;0.1,"X",IF(P766&lt;0.25,"Y","Z")),"")</f>
        <v/>
      </c>
      <c r="R763" t="str">
        <f>O763&amp;Q763</f>
        <v>ACA</v>
      </c>
    </row>
    <row r="764" spans="1:18" x14ac:dyDescent="0.25">
      <c r="A764" s="7" t="s">
        <v>957</v>
      </c>
      <c r="B764" s="8">
        <v>1</v>
      </c>
      <c r="C764" s="11">
        <v>6.2155775398999025E-4</v>
      </c>
      <c r="D764" s="12">
        <v>0.97976148761441106</v>
      </c>
      <c r="E764" t="s">
        <v>1240</v>
      </c>
      <c r="F764" s="8">
        <v>511</v>
      </c>
      <c r="G764" s="11">
        <v>1.4609689246407524E-3</v>
      </c>
      <c r="H764" s="12">
        <v>0.64224992258994629</v>
      </c>
      <c r="I764" t="s">
        <v>1238</v>
      </c>
      <c r="J764" s="8">
        <v>5</v>
      </c>
      <c r="K764">
        <v>6</v>
      </c>
      <c r="L764" s="11">
        <v>6.2155775398998981E-4</v>
      </c>
      <c r="M764" s="12">
        <v>0.97976148761441095</v>
      </c>
      <c r="N764" t="s">
        <v>1240</v>
      </c>
      <c r="O764" t="s">
        <v>1258</v>
      </c>
      <c r="P764" s="23">
        <f>VLOOKUP(A764,вариация!A$2:G$805,2,FALSE)</f>
        <v>2.2360679774997894</v>
      </c>
      <c r="Q764" t="str">
        <f>IF(вариация!H765="Yes",IF(P767&lt;0.1,"X",IF(P767&lt;0.25,"Y","Z")),"")</f>
        <v/>
      </c>
      <c r="R764" t="str">
        <f>O764&amp;Q764</f>
        <v>CAC</v>
      </c>
    </row>
    <row r="765" spans="1:18" x14ac:dyDescent="0.25">
      <c r="A765" s="7" t="s">
        <v>744</v>
      </c>
      <c r="B765" s="8">
        <v>9</v>
      </c>
      <c r="C765" s="11">
        <v>5.5940197859099122E-3</v>
      </c>
      <c r="D765" s="12">
        <v>0.23867817753215614</v>
      </c>
      <c r="E765" t="s">
        <v>1238</v>
      </c>
      <c r="F765" s="8">
        <v>333</v>
      </c>
      <c r="G765" s="11">
        <v>9.5205998415923783E-4</v>
      </c>
      <c r="H765" s="12">
        <v>0.79618369568507996</v>
      </c>
      <c r="I765" t="s">
        <v>1238</v>
      </c>
      <c r="J765" s="8">
        <v>5</v>
      </c>
      <c r="K765">
        <v>54</v>
      </c>
      <c r="L765" s="11">
        <v>5.5940197859099088E-3</v>
      </c>
      <c r="M765" s="12">
        <v>0.23867817753215601</v>
      </c>
      <c r="N765" t="s">
        <v>1238</v>
      </c>
      <c r="O765" t="s">
        <v>1252</v>
      </c>
      <c r="P765" s="23">
        <f>VLOOKUP(A765,вариация!A$2:G$805,2,FALSE)</f>
        <v>2.2360679774997894</v>
      </c>
      <c r="Q765" t="str">
        <f>IF(вариация!H766="Yes",IF(P768&lt;0.1,"X",IF(P768&lt;0.25,"Y","Z")),"")</f>
        <v/>
      </c>
      <c r="R765" t="str">
        <f>O765&amp;Q765</f>
        <v>AAA</v>
      </c>
    </row>
    <row r="766" spans="1:18" x14ac:dyDescent="0.25">
      <c r="A766" s="7" t="s">
        <v>854</v>
      </c>
      <c r="B766" s="8">
        <v>10</v>
      </c>
      <c r="C766" s="11">
        <v>6.2155775398999025E-3</v>
      </c>
      <c r="D766" s="12">
        <v>0.21630209838851655</v>
      </c>
      <c r="E766" t="s">
        <v>1238</v>
      </c>
      <c r="F766" s="8">
        <v>370</v>
      </c>
      <c r="G766" s="11">
        <v>1.0578444268435976E-3</v>
      </c>
      <c r="H766" s="12">
        <v>0.7600556371252627</v>
      </c>
      <c r="I766" t="s">
        <v>1238</v>
      </c>
      <c r="J766" s="8">
        <v>5</v>
      </c>
      <c r="K766">
        <v>60</v>
      </c>
      <c r="L766" s="11">
        <v>6.2155775398998981E-3</v>
      </c>
      <c r="M766" s="12">
        <v>0.21630209838851641</v>
      </c>
      <c r="N766" t="s">
        <v>1238</v>
      </c>
      <c r="O766" t="s">
        <v>1252</v>
      </c>
      <c r="P766" s="23">
        <f>VLOOKUP(A766,вариация!A$2:G$805,2,FALSE)</f>
        <v>2.2360679774997898</v>
      </c>
      <c r="Q766" t="str">
        <f>IF(вариация!H767="Yes",IF(P769&lt;0.1,"X",IF(P769&lt;0.25,"Y","Z")),"")</f>
        <v/>
      </c>
      <c r="R766" t="str">
        <f>O766&amp;Q766</f>
        <v>AAA</v>
      </c>
    </row>
    <row r="767" spans="1:18" x14ac:dyDescent="0.25">
      <c r="A767" s="7" t="s">
        <v>122</v>
      </c>
      <c r="B767" s="8">
        <v>2</v>
      </c>
      <c r="C767" s="11">
        <v>1.2431155079799805E-3</v>
      </c>
      <c r="D767" s="12">
        <v>0.67563327858711564</v>
      </c>
      <c r="E767" t="s">
        <v>1238</v>
      </c>
      <c r="F767" s="8">
        <v>92.039999999999992</v>
      </c>
      <c r="G767" s="11">
        <v>2.6314594877482357E-4</v>
      </c>
      <c r="H767" s="12">
        <v>0.97524264886413747</v>
      </c>
      <c r="I767" t="s">
        <v>1240</v>
      </c>
      <c r="J767" s="8">
        <v>5</v>
      </c>
      <c r="K767">
        <v>12</v>
      </c>
      <c r="L767" s="11">
        <v>1.2431155079799796E-3</v>
      </c>
      <c r="M767" s="12">
        <v>0.67563327858711553</v>
      </c>
      <c r="N767" t="s">
        <v>1238</v>
      </c>
      <c r="O767" t="s">
        <v>1254</v>
      </c>
      <c r="P767" s="23">
        <f>VLOOKUP(A767,вариация!A$2:G$805,2,FALSE)</f>
        <v>1.3693063937629151</v>
      </c>
      <c r="Q767" t="str">
        <f>IF(вариация!H768="Yes",IF(P770&lt;0.1,"X",IF(P770&lt;0.25,"Y","Z")),"")</f>
        <v/>
      </c>
      <c r="R767" t="str">
        <f>O767&amp;Q767</f>
        <v>ACA</v>
      </c>
    </row>
    <row r="768" spans="1:18" x14ac:dyDescent="0.25">
      <c r="A768" s="7" t="s">
        <v>598</v>
      </c>
      <c r="B768" s="8">
        <v>1</v>
      </c>
      <c r="C768" s="11">
        <v>6.2155775398999025E-4</v>
      </c>
      <c r="D768" s="12">
        <v>0.98038304536840104</v>
      </c>
      <c r="E768" t="s">
        <v>1240</v>
      </c>
      <c r="F768" s="8">
        <v>276</v>
      </c>
      <c r="G768" s="11">
        <v>7.8909476164549445E-4</v>
      </c>
      <c r="H768" s="12">
        <v>0.84259090183485985</v>
      </c>
      <c r="I768" t="s">
        <v>1239</v>
      </c>
      <c r="J768" s="8">
        <v>5</v>
      </c>
      <c r="K768">
        <v>6</v>
      </c>
      <c r="L768" s="11">
        <v>6.2155775398998981E-4</v>
      </c>
      <c r="M768" s="12">
        <v>0.98038304536840093</v>
      </c>
      <c r="N768" t="s">
        <v>1240</v>
      </c>
      <c r="O768" t="s">
        <v>1259</v>
      </c>
      <c r="P768" s="23">
        <f>VLOOKUP(A768,вариация!A$2:G$805,2,FALSE)</f>
        <v>2.2360679774997894</v>
      </c>
      <c r="Q768" t="str">
        <f>IF(вариация!H769="Yes",IF(P771&lt;0.1,"X",IF(P771&lt;0.25,"Y","Z")),"")</f>
        <v/>
      </c>
      <c r="R768" t="str">
        <f>O768&amp;Q768</f>
        <v>CBC</v>
      </c>
    </row>
    <row r="769" spans="1:18" x14ac:dyDescent="0.25">
      <c r="A769" s="7" t="s">
        <v>623</v>
      </c>
      <c r="B769" s="8">
        <v>1</v>
      </c>
      <c r="C769" s="11">
        <v>6.2155775398999025E-4</v>
      </c>
      <c r="D769" s="12">
        <v>0.98100460312239102</v>
      </c>
      <c r="E769" t="s">
        <v>1240</v>
      </c>
      <c r="F769" s="8">
        <v>50</v>
      </c>
      <c r="G769" s="11">
        <v>1.4295194957345914E-4</v>
      </c>
      <c r="H769" s="12">
        <v>0.99480494889208437</v>
      </c>
      <c r="I769" t="s">
        <v>1240</v>
      </c>
      <c r="J769" s="8">
        <v>5</v>
      </c>
      <c r="K769">
        <v>6</v>
      </c>
      <c r="L769" s="11">
        <v>6.2155775398998981E-4</v>
      </c>
      <c r="M769" s="12">
        <v>0.98100460312239091</v>
      </c>
      <c r="N769" t="s">
        <v>1240</v>
      </c>
      <c r="O769" t="s">
        <v>1260</v>
      </c>
      <c r="P769" s="23">
        <f>VLOOKUP(A769,вариация!A$2:G$805,2,FALSE)</f>
        <v>2.2360679774997894</v>
      </c>
      <c r="Q769" t="str">
        <f>IF(вариация!H770="Yes",IF(P772&lt;0.1,"X",IF(P772&lt;0.25,"Y","Z")),"")</f>
        <v/>
      </c>
      <c r="R769" t="str">
        <f>O769&amp;Q769</f>
        <v>CCC</v>
      </c>
    </row>
    <row r="770" spans="1:18" x14ac:dyDescent="0.25">
      <c r="A770" s="7" t="s">
        <v>242</v>
      </c>
      <c r="B770" s="8">
        <v>2</v>
      </c>
      <c r="C770" s="11">
        <v>1.2431155079799805E-3</v>
      </c>
      <c r="D770" s="12">
        <v>0.67687639409509559</v>
      </c>
      <c r="E770" t="s">
        <v>1238</v>
      </c>
      <c r="F770" s="8">
        <v>585</v>
      </c>
      <c r="G770" s="11">
        <v>1.6725378100094718E-3</v>
      </c>
      <c r="H770" s="12">
        <v>0.60173845510603463</v>
      </c>
      <c r="I770" t="s">
        <v>1238</v>
      </c>
      <c r="J770" s="8">
        <v>5</v>
      </c>
      <c r="K770">
        <v>12</v>
      </c>
      <c r="L770" s="11">
        <v>1.2431155079799796E-3</v>
      </c>
      <c r="M770" s="12">
        <v>0.67687639409509548</v>
      </c>
      <c r="N770" t="s">
        <v>1238</v>
      </c>
      <c r="O770" t="s">
        <v>1252</v>
      </c>
      <c r="P770" s="23">
        <f>VLOOKUP(A770,вариация!A$2:G$805,2,FALSE)</f>
        <v>1.3693063937629151</v>
      </c>
      <c r="Q770" t="str">
        <f>IF(вариация!H771="Yes",IF(P773&lt;0.1,"X",IF(P773&lt;0.25,"Y","Z")),"")</f>
        <v/>
      </c>
      <c r="R770" t="str">
        <f>O770&amp;Q770</f>
        <v>AAA</v>
      </c>
    </row>
    <row r="771" spans="1:18" x14ac:dyDescent="0.25">
      <c r="A771" s="7" t="s">
        <v>530</v>
      </c>
      <c r="B771" s="8">
        <v>2</v>
      </c>
      <c r="C771" s="11">
        <v>1.2431155079799805E-3</v>
      </c>
      <c r="D771" s="12">
        <v>0.67811950960307554</v>
      </c>
      <c r="E771" t="s">
        <v>1238</v>
      </c>
      <c r="F771" s="8">
        <v>1377</v>
      </c>
      <c r="G771" s="11">
        <v>3.9368966912530648E-3</v>
      </c>
      <c r="H771" s="12">
        <v>0.30605257326404578</v>
      </c>
      <c r="I771" t="s">
        <v>1238</v>
      </c>
      <c r="J771" s="8">
        <v>5</v>
      </c>
      <c r="K771">
        <v>12</v>
      </c>
      <c r="L771" s="11">
        <v>1.2431155079799796E-3</v>
      </c>
      <c r="M771" s="12">
        <v>0.67811950960307543</v>
      </c>
      <c r="N771" t="s">
        <v>1238</v>
      </c>
      <c r="O771" t="s">
        <v>1252</v>
      </c>
      <c r="P771" s="23">
        <f>VLOOKUP(A771,вариация!A$2:G$805,2,FALSE)</f>
        <v>1.3693063937629151</v>
      </c>
      <c r="Q771" t="str">
        <f>IF(вариация!H772="Yes",IF(P774&lt;0.1,"X",IF(P774&lt;0.25,"Y","Z")),"")</f>
        <v/>
      </c>
      <c r="R771" t="str">
        <f>O771&amp;Q771</f>
        <v>AAA</v>
      </c>
    </row>
    <row r="772" spans="1:18" x14ac:dyDescent="0.25">
      <c r="A772" s="7" t="s">
        <v>1195</v>
      </c>
      <c r="B772" s="8">
        <v>1</v>
      </c>
      <c r="C772" s="11">
        <v>6.2155775398999025E-4</v>
      </c>
      <c r="D772" s="12">
        <v>0.98162616087638099</v>
      </c>
      <c r="E772" t="s">
        <v>1240</v>
      </c>
      <c r="F772" s="8">
        <v>681</v>
      </c>
      <c r="G772" s="11">
        <v>1.9470055531905135E-3</v>
      </c>
      <c r="H772" s="12">
        <v>0.52450818778191066</v>
      </c>
      <c r="I772" t="s">
        <v>1238</v>
      </c>
      <c r="J772" s="8">
        <v>5</v>
      </c>
      <c r="K772">
        <v>6</v>
      </c>
      <c r="L772" s="11">
        <v>6.2155775398998981E-4</v>
      </c>
      <c r="M772" s="12">
        <v>0.98162616087638088</v>
      </c>
      <c r="N772" t="s">
        <v>1240</v>
      </c>
      <c r="O772" t="s">
        <v>1258</v>
      </c>
      <c r="P772" s="23">
        <f>VLOOKUP(A772,вариация!A$2:G$805,2,FALSE)</f>
        <v>2.2360679774997894</v>
      </c>
      <c r="Q772" t="str">
        <f>IF(вариация!H773="Yes",IF(P775&lt;0.1,"X",IF(P775&lt;0.25,"Y","Z")),"")</f>
        <v/>
      </c>
      <c r="R772" t="str">
        <f>O772&amp;Q772</f>
        <v>CAC</v>
      </c>
    </row>
    <row r="773" spans="1:18" x14ac:dyDescent="0.25">
      <c r="A773" s="7" t="s">
        <v>476</v>
      </c>
      <c r="B773" s="8">
        <v>1</v>
      </c>
      <c r="C773" s="11">
        <v>6.2155775398999025E-4</v>
      </c>
      <c r="D773" s="12">
        <v>0.98224771863037097</v>
      </c>
      <c r="E773" t="s">
        <v>1240</v>
      </c>
      <c r="F773" s="8">
        <v>880</v>
      </c>
      <c r="G773" s="11">
        <v>2.5159543124928809E-3</v>
      </c>
      <c r="H773" s="12">
        <v>0.45464739850560809</v>
      </c>
      <c r="I773" t="s">
        <v>1238</v>
      </c>
      <c r="J773" s="8">
        <v>5</v>
      </c>
      <c r="K773">
        <v>6</v>
      </c>
      <c r="L773" s="11">
        <v>6.2155775398998981E-4</v>
      </c>
      <c r="M773" s="12">
        <v>0.98224771863037086</v>
      </c>
      <c r="N773" t="s">
        <v>1240</v>
      </c>
      <c r="O773" t="s">
        <v>1258</v>
      </c>
      <c r="P773" s="23">
        <f>VLOOKUP(A773,вариация!A$2:G$805,2,FALSE)</f>
        <v>2.2360679774997894</v>
      </c>
      <c r="Q773" t="str">
        <f>IF(вариация!H774="Yes",IF(P776&lt;0.1,"X",IF(P776&lt;0.25,"Y","Z")),"")</f>
        <v/>
      </c>
      <c r="R773" t="str">
        <f>O773&amp;Q773</f>
        <v>CAC</v>
      </c>
    </row>
    <row r="774" spans="1:18" x14ac:dyDescent="0.25">
      <c r="A774" s="7" t="s">
        <v>75</v>
      </c>
      <c r="B774" s="8">
        <v>4</v>
      </c>
      <c r="C774" s="11">
        <v>2.486231015959961E-3</v>
      </c>
      <c r="D774" s="12">
        <v>0.41209279089536305</v>
      </c>
      <c r="E774" t="s">
        <v>1238</v>
      </c>
      <c r="F774" s="8">
        <v>99</v>
      </c>
      <c r="G774" s="11">
        <v>2.8304486015544907E-4</v>
      </c>
      <c r="H774" s="12">
        <v>0.96896980295529456</v>
      </c>
      <c r="I774" t="s">
        <v>1240</v>
      </c>
      <c r="J774" s="8">
        <v>5</v>
      </c>
      <c r="K774">
        <v>24</v>
      </c>
      <c r="L774" s="11">
        <v>2.4862310159599593E-3</v>
      </c>
      <c r="M774" s="12">
        <v>0.41209279089536288</v>
      </c>
      <c r="N774" t="s">
        <v>1238</v>
      </c>
      <c r="O774" t="s">
        <v>1254</v>
      </c>
      <c r="P774" s="23">
        <f>VLOOKUP(A774,вариация!A$2:G$805,2,FALSE)</f>
        <v>1.6298006013006621</v>
      </c>
      <c r="Q774" t="str">
        <f>IF(вариация!H775="Yes",IF(P777&lt;0.1,"X",IF(P777&lt;0.25,"Y","Z")),"")</f>
        <v/>
      </c>
      <c r="R774" t="str">
        <f>O774&amp;Q774</f>
        <v>ACA</v>
      </c>
    </row>
    <row r="775" spans="1:18" x14ac:dyDescent="0.25">
      <c r="A775" s="7" t="s">
        <v>273</v>
      </c>
      <c r="B775" s="8">
        <v>6</v>
      </c>
      <c r="C775" s="11">
        <v>3.729346523939941E-3</v>
      </c>
      <c r="D775" s="12">
        <v>0.30953576148701489</v>
      </c>
      <c r="E775" t="s">
        <v>1238</v>
      </c>
      <c r="F775" s="8">
        <v>230</v>
      </c>
      <c r="G775" s="11">
        <v>6.5757896803791201E-4</v>
      </c>
      <c r="H775" s="12">
        <v>0.88556274395229628</v>
      </c>
      <c r="I775" t="s">
        <v>1239</v>
      </c>
      <c r="J775" s="8">
        <v>5</v>
      </c>
      <c r="K775">
        <v>36</v>
      </c>
      <c r="L775" s="11">
        <v>3.7293465239399393E-3</v>
      </c>
      <c r="M775" s="12">
        <v>0.30953576148701473</v>
      </c>
      <c r="N775" t="s">
        <v>1238</v>
      </c>
      <c r="O775" t="s">
        <v>1253</v>
      </c>
      <c r="P775" s="23">
        <f>VLOOKUP(A775,вариация!A$2:G$805,2,FALSE)</f>
        <v>0.69721668877839638</v>
      </c>
      <c r="Q775" t="str">
        <f>IF(вариация!H776="Yes",IF(P778&lt;0.1,"X",IF(P778&lt;0.25,"Y","Z")),"")</f>
        <v>Z</v>
      </c>
      <c r="R775" t="str">
        <f>O775&amp;Q775</f>
        <v>ABAZ</v>
      </c>
    </row>
    <row r="776" spans="1:18" x14ac:dyDescent="0.25">
      <c r="A776" s="7" t="s">
        <v>270</v>
      </c>
      <c r="B776" s="8">
        <v>6</v>
      </c>
      <c r="C776" s="11">
        <v>3.729346523939941E-3</v>
      </c>
      <c r="D776" s="12">
        <v>0.31326510801095481</v>
      </c>
      <c r="E776" t="s">
        <v>1238</v>
      </c>
      <c r="F776" s="8">
        <v>392</v>
      </c>
      <c r="G776" s="11">
        <v>1.1207432846559197E-3</v>
      </c>
      <c r="H776" s="12">
        <v>0.74158438686502715</v>
      </c>
      <c r="I776" t="s">
        <v>1238</v>
      </c>
      <c r="J776" s="8">
        <v>5</v>
      </c>
      <c r="K776">
        <v>36</v>
      </c>
      <c r="L776" s="11">
        <v>3.7293465239399393E-3</v>
      </c>
      <c r="M776" s="12">
        <v>0.31326510801095464</v>
      </c>
      <c r="N776" t="s">
        <v>1238</v>
      </c>
      <c r="O776" t="s">
        <v>1252</v>
      </c>
      <c r="P776" s="23">
        <f>VLOOKUP(A776,вариация!A$2:G$805,2,FALSE)</f>
        <v>1.4907119849998598</v>
      </c>
      <c r="Q776" t="str">
        <f>IF(вариация!H777="Yes",IF(P779&lt;0.1,"X",IF(P779&lt;0.25,"Y","Z")),"")</f>
        <v/>
      </c>
      <c r="R776" t="str">
        <f>O776&amp;Q776</f>
        <v>AAA</v>
      </c>
    </row>
    <row r="777" spans="1:18" x14ac:dyDescent="0.25">
      <c r="A777" s="7" t="s">
        <v>1151</v>
      </c>
      <c r="B777" s="8">
        <v>1</v>
      </c>
      <c r="C777" s="11">
        <v>6.2155775398999025E-4</v>
      </c>
      <c r="D777" s="12">
        <v>0.98286927638436095</v>
      </c>
      <c r="E777" t="s">
        <v>1240</v>
      </c>
      <c r="F777" s="8">
        <v>219</v>
      </c>
      <c r="G777" s="11">
        <v>6.2612953913175097E-4</v>
      </c>
      <c r="H777" s="12">
        <v>0.89132656655909825</v>
      </c>
      <c r="I777" t="s">
        <v>1239</v>
      </c>
      <c r="J777" s="8">
        <v>5</v>
      </c>
      <c r="K777">
        <v>6</v>
      </c>
      <c r="L777" s="11">
        <v>6.2155775398998981E-4</v>
      </c>
      <c r="M777" s="12">
        <v>0.98286927638436083</v>
      </c>
      <c r="N777" t="s">
        <v>1240</v>
      </c>
      <c r="O777" t="s">
        <v>1259</v>
      </c>
      <c r="P777" s="23">
        <f>VLOOKUP(A777,вариация!A$2:G$805,2,FALSE)</f>
        <v>2.2360679774997894</v>
      </c>
      <c r="Q777" t="str">
        <f>IF(вариация!H778="Yes",IF(P780&lt;0.1,"X",IF(P780&lt;0.25,"Y","Z")),"")</f>
        <v/>
      </c>
      <c r="R777" t="str">
        <f>O777&amp;Q777</f>
        <v>CBC</v>
      </c>
    </row>
    <row r="778" spans="1:18" x14ac:dyDescent="0.25">
      <c r="A778" s="7" t="s">
        <v>751</v>
      </c>
      <c r="B778" s="8">
        <v>1</v>
      </c>
      <c r="C778" s="11">
        <v>6.2155775398999025E-4</v>
      </c>
      <c r="D778" s="12">
        <v>0.98349083413835092</v>
      </c>
      <c r="E778" t="s">
        <v>1240</v>
      </c>
      <c r="F778" s="8">
        <v>455</v>
      </c>
      <c r="G778" s="11">
        <v>1.3008627411184781E-3</v>
      </c>
      <c r="H778" s="12">
        <v>0.68852634126134238</v>
      </c>
      <c r="I778" t="s">
        <v>1238</v>
      </c>
      <c r="J778" s="8">
        <v>5</v>
      </c>
      <c r="K778">
        <v>6</v>
      </c>
      <c r="L778" s="11">
        <v>6.2155775398998981E-4</v>
      </c>
      <c r="M778" s="12">
        <v>0.98349083413835081</v>
      </c>
      <c r="N778" t="s">
        <v>1240</v>
      </c>
      <c r="O778" t="s">
        <v>1258</v>
      </c>
      <c r="P778" s="23">
        <f>VLOOKUP(A778,вариация!A$2:G$805,2,FALSE)</f>
        <v>2.2360679774997894</v>
      </c>
      <c r="Q778" t="str">
        <f>IF(вариация!H779="Yes",IF(P781&lt;0.1,"X",IF(P781&lt;0.25,"Y","Z")),"")</f>
        <v/>
      </c>
      <c r="R778" t="str">
        <f>O778&amp;Q778</f>
        <v>CAC</v>
      </c>
    </row>
    <row r="779" spans="1:18" x14ac:dyDescent="0.25">
      <c r="A779" s="7" t="s">
        <v>116</v>
      </c>
      <c r="B779" s="8">
        <v>1</v>
      </c>
      <c r="C779" s="11">
        <v>6.2155775398999025E-4</v>
      </c>
      <c r="D779" s="12">
        <v>0.9841123918923409</v>
      </c>
      <c r="E779" t="s">
        <v>1240</v>
      </c>
      <c r="F779" s="8">
        <v>127</v>
      </c>
      <c r="G779" s="11">
        <v>3.6309795191658619E-4</v>
      </c>
      <c r="H779" s="12">
        <v>0.94861370264954292</v>
      </c>
      <c r="I779" t="s">
        <v>1239</v>
      </c>
      <c r="J779" s="8">
        <v>5</v>
      </c>
      <c r="K779">
        <v>6</v>
      </c>
      <c r="L779" s="11">
        <v>6.2155775398998981E-4</v>
      </c>
      <c r="M779" s="12">
        <v>0.98411239189234079</v>
      </c>
      <c r="N779" t="s">
        <v>1240</v>
      </c>
      <c r="O779" t="s">
        <v>1259</v>
      </c>
      <c r="P779" s="23">
        <f>VLOOKUP(A779,вариация!A$2:G$805,2,FALSE)</f>
        <v>2.2360679774997894</v>
      </c>
      <c r="Q779" t="str">
        <f>IF(вариация!H780="Yes",IF(P782&lt;0.1,"X",IF(P782&lt;0.25,"Y","Z")),"")</f>
        <v/>
      </c>
      <c r="R779" t="str">
        <f>O779&amp;Q779</f>
        <v>CBC</v>
      </c>
    </row>
    <row r="780" spans="1:18" x14ac:dyDescent="0.25">
      <c r="A780" s="7" t="s">
        <v>282</v>
      </c>
      <c r="B780" s="8">
        <v>1</v>
      </c>
      <c r="C780" s="11">
        <v>6.2155775398999025E-4</v>
      </c>
      <c r="D780" s="12">
        <v>0.98473394964633088</v>
      </c>
      <c r="E780" t="s">
        <v>1240</v>
      </c>
      <c r="F780" s="8">
        <v>141</v>
      </c>
      <c r="G780" s="11">
        <v>4.0312449779715477E-4</v>
      </c>
      <c r="H780" s="12">
        <v>0.94063652641710538</v>
      </c>
      <c r="I780" t="s">
        <v>1239</v>
      </c>
      <c r="J780" s="8">
        <v>5</v>
      </c>
      <c r="K780">
        <v>6</v>
      </c>
      <c r="L780" s="11">
        <v>6.2155775398998981E-4</v>
      </c>
      <c r="M780" s="12">
        <v>0.98473394964633076</v>
      </c>
      <c r="N780" t="s">
        <v>1240</v>
      </c>
      <c r="O780" t="s">
        <v>1259</v>
      </c>
      <c r="P780" s="23">
        <f>VLOOKUP(A780,вариация!A$2:G$805,2,FALSE)</f>
        <v>2.2360679774997894</v>
      </c>
      <c r="Q780" t="str">
        <f>IF(вариация!H781="Yes",IF(P783&lt;0.1,"X",IF(P783&lt;0.25,"Y","Z")),"")</f>
        <v/>
      </c>
      <c r="R780" t="str">
        <f>O780&amp;Q780</f>
        <v>CBC</v>
      </c>
    </row>
    <row r="781" spans="1:18" x14ac:dyDescent="0.25">
      <c r="A781" s="7" t="s">
        <v>408</v>
      </c>
      <c r="B781" s="8">
        <v>3</v>
      </c>
      <c r="C781" s="11">
        <v>1.8646732619699705E-3</v>
      </c>
      <c r="D781" s="12">
        <v>0.51651449356568169</v>
      </c>
      <c r="E781" t="s">
        <v>1238</v>
      </c>
      <c r="F781" s="8">
        <v>68</v>
      </c>
      <c r="G781" s="11">
        <v>1.9441465141990441E-4</v>
      </c>
      <c r="H781" s="12">
        <v>0.9887977529881522</v>
      </c>
      <c r="I781" t="s">
        <v>1240</v>
      </c>
      <c r="J781" s="8">
        <v>5</v>
      </c>
      <c r="K781">
        <v>18</v>
      </c>
      <c r="L781" s="11">
        <v>1.8646732619699697E-3</v>
      </c>
      <c r="M781" s="12">
        <v>0.51651449356568158</v>
      </c>
      <c r="N781" t="s">
        <v>1238</v>
      </c>
      <c r="O781" t="s">
        <v>1254</v>
      </c>
      <c r="P781" s="23">
        <f>VLOOKUP(A781,вариация!A$2:G$805,2,FALSE)</f>
        <v>1.4907119849998598</v>
      </c>
      <c r="Q781" t="str">
        <f>IF(вариация!H782="Yes",IF(P784&lt;0.1,"X",IF(P784&lt;0.25,"Y","Z")),"")</f>
        <v/>
      </c>
      <c r="R781" t="str">
        <f>O781&amp;Q781</f>
        <v>ACA</v>
      </c>
    </row>
    <row r="782" spans="1:18" x14ac:dyDescent="0.25">
      <c r="A782" s="7" t="s">
        <v>1105</v>
      </c>
      <c r="B782" s="8">
        <v>1</v>
      </c>
      <c r="C782" s="11">
        <v>6.2155775398999025E-4</v>
      </c>
      <c r="D782" s="12">
        <v>0.98535550740032085</v>
      </c>
      <c r="E782" t="s">
        <v>1240</v>
      </c>
      <c r="F782" s="8">
        <v>98</v>
      </c>
      <c r="G782" s="11">
        <v>2.8018582116397993E-4</v>
      </c>
      <c r="H782" s="12">
        <v>0.97037073206111435</v>
      </c>
      <c r="I782" t="s">
        <v>1240</v>
      </c>
      <c r="J782" s="8">
        <v>5</v>
      </c>
      <c r="K782">
        <v>6</v>
      </c>
      <c r="L782" s="11">
        <v>6.2155775398998981E-4</v>
      </c>
      <c r="M782" s="12">
        <v>0.98535550740032074</v>
      </c>
      <c r="N782" t="s">
        <v>1240</v>
      </c>
      <c r="O782" t="s">
        <v>1260</v>
      </c>
      <c r="P782" s="23">
        <f>VLOOKUP(A782,вариация!A$2:G$805,2,FALSE)</f>
        <v>2.2360679774997894</v>
      </c>
      <c r="Q782" t="str">
        <f>IF(вариация!H783="Yes",IF(P785&lt;0.1,"X",IF(P785&lt;0.25,"Y","Z")),"")</f>
        <v/>
      </c>
      <c r="R782" t="str">
        <f>O782&amp;Q782</f>
        <v>CCC</v>
      </c>
    </row>
    <row r="783" spans="1:18" x14ac:dyDescent="0.25">
      <c r="A783" s="7" t="s">
        <v>83</v>
      </c>
      <c r="B783" s="8">
        <v>2</v>
      </c>
      <c r="C783" s="11">
        <v>1.2431155079799805E-3</v>
      </c>
      <c r="D783" s="12">
        <v>0.6793626251110555</v>
      </c>
      <c r="E783" t="s">
        <v>1238</v>
      </c>
      <c r="F783" s="8">
        <v>672</v>
      </c>
      <c r="G783" s="11">
        <v>1.9212742022672907E-3</v>
      </c>
      <c r="H783" s="12">
        <v>0.53804764345207701</v>
      </c>
      <c r="I783" t="s">
        <v>1238</v>
      </c>
      <c r="J783" s="8">
        <v>5</v>
      </c>
      <c r="K783">
        <v>12</v>
      </c>
      <c r="L783" s="11">
        <v>1.2431155079799796E-3</v>
      </c>
      <c r="M783" s="12">
        <v>0.67936262511105538</v>
      </c>
      <c r="N783" t="s">
        <v>1238</v>
      </c>
      <c r="O783" t="s">
        <v>1252</v>
      </c>
      <c r="P783" s="23">
        <f>VLOOKUP(A783,вариация!A$2:G$805,2,FALSE)</f>
        <v>2.2360679774997894</v>
      </c>
      <c r="Q783" t="str">
        <f>IF(вариация!H784="Yes",IF(P786&lt;0.1,"X",IF(P786&lt;0.25,"Y","Z")),"")</f>
        <v/>
      </c>
      <c r="R783" t="str">
        <f>O783&amp;Q783</f>
        <v>AAA</v>
      </c>
    </row>
    <row r="784" spans="1:18" x14ac:dyDescent="0.25">
      <c r="A784" s="7" t="s">
        <v>1181</v>
      </c>
      <c r="B784" s="8">
        <v>1</v>
      </c>
      <c r="C784" s="11">
        <v>6.2155775398999025E-4</v>
      </c>
      <c r="D784" s="12">
        <v>0.98597706515431083</v>
      </c>
      <c r="E784" t="s">
        <v>1240</v>
      </c>
      <c r="F784" s="8">
        <v>92</v>
      </c>
      <c r="G784" s="11">
        <v>2.6303158721516478E-4</v>
      </c>
      <c r="H784" s="12">
        <v>0.97603174362578304</v>
      </c>
      <c r="I784" t="s">
        <v>1240</v>
      </c>
      <c r="J784" s="8">
        <v>5</v>
      </c>
      <c r="K784">
        <v>6</v>
      </c>
      <c r="L784" s="11">
        <v>6.2155775398998981E-4</v>
      </c>
      <c r="M784" s="12">
        <v>0.98597706515431072</v>
      </c>
      <c r="N784" t="s">
        <v>1240</v>
      </c>
      <c r="O784" t="s">
        <v>1260</v>
      </c>
      <c r="P784" s="23">
        <f>VLOOKUP(A784,вариация!A$2:G$805,2,FALSE)</f>
        <v>2.2360679774997894</v>
      </c>
      <c r="Q784" t="str">
        <f>IF(вариация!H785="Yes",IF(P787&lt;0.1,"X",IF(P787&lt;0.25,"Y","Z")),"")</f>
        <v/>
      </c>
      <c r="R784" t="str">
        <f>O784&amp;Q784</f>
        <v>CCC</v>
      </c>
    </row>
    <row r="785" spans="1:18" x14ac:dyDescent="0.25">
      <c r="A785" s="7" t="s">
        <v>1004</v>
      </c>
      <c r="B785" s="8">
        <v>3</v>
      </c>
      <c r="C785" s="11">
        <v>1.8646732619699705E-3</v>
      </c>
      <c r="D785" s="12">
        <v>0.51837916682765162</v>
      </c>
      <c r="E785" t="s">
        <v>1238</v>
      </c>
      <c r="F785" s="8">
        <v>166</v>
      </c>
      <c r="G785" s="11">
        <v>4.7460047258388434E-4</v>
      </c>
      <c r="H785" s="12">
        <v>0.92586218511517937</v>
      </c>
      <c r="I785" t="s">
        <v>1239</v>
      </c>
      <c r="J785" s="8">
        <v>5</v>
      </c>
      <c r="K785">
        <v>18</v>
      </c>
      <c r="L785" s="11">
        <v>1.8646732619699697E-3</v>
      </c>
      <c r="M785" s="12">
        <v>0.51837916682765151</v>
      </c>
      <c r="N785" t="s">
        <v>1238</v>
      </c>
      <c r="O785" t="s">
        <v>1253</v>
      </c>
      <c r="P785" s="23">
        <f>VLOOKUP(A785,вариация!A$2:G$805,2,FALSE)</f>
        <v>1.4907119849998598</v>
      </c>
      <c r="Q785" t="str">
        <f>IF(вариация!H786="Yes",IF(P788&lt;0.1,"X",IF(P788&lt;0.25,"Y","Z")),"")</f>
        <v/>
      </c>
      <c r="R785" t="str">
        <f>O785&amp;Q785</f>
        <v>ABA</v>
      </c>
    </row>
    <row r="786" spans="1:18" x14ac:dyDescent="0.25">
      <c r="A786" s="7" t="s">
        <v>827</v>
      </c>
      <c r="B786" s="8">
        <v>1</v>
      </c>
      <c r="C786" s="11">
        <v>6.2155775398999025E-4</v>
      </c>
      <c r="D786" s="12">
        <v>0.9865986229083008</v>
      </c>
      <c r="E786" t="s">
        <v>1240</v>
      </c>
      <c r="F786" s="8">
        <v>127</v>
      </c>
      <c r="G786" s="11">
        <v>3.6309795191658619E-4</v>
      </c>
      <c r="H786" s="12">
        <v>0.9489768006014595</v>
      </c>
      <c r="I786" t="s">
        <v>1239</v>
      </c>
      <c r="J786" s="8">
        <v>5</v>
      </c>
      <c r="K786">
        <v>6</v>
      </c>
      <c r="L786" s="11">
        <v>6.2155775398998981E-4</v>
      </c>
      <c r="M786" s="12">
        <v>0.98659862290830069</v>
      </c>
      <c r="N786" t="s">
        <v>1240</v>
      </c>
      <c r="O786" t="s">
        <v>1259</v>
      </c>
      <c r="P786" s="23">
        <f>VLOOKUP(A786,вариация!A$2:G$805,2,FALSE)</f>
        <v>2.2360679774997894</v>
      </c>
      <c r="Q786" t="str">
        <f>IF(вариация!H787="Yes",IF(P789&lt;0.1,"X",IF(P789&lt;0.25,"Y","Z")),"")</f>
        <v/>
      </c>
      <c r="R786" t="str">
        <f>O786&amp;Q786</f>
        <v>CBC</v>
      </c>
    </row>
    <row r="787" spans="1:18" x14ac:dyDescent="0.25">
      <c r="A787" s="7" t="s">
        <v>71</v>
      </c>
      <c r="B787" s="8">
        <v>2</v>
      </c>
      <c r="C787" s="11">
        <v>1.2431155079799805E-3</v>
      </c>
      <c r="D787" s="12">
        <v>0.68060574061903545</v>
      </c>
      <c r="E787" t="s">
        <v>1238</v>
      </c>
      <c r="F787" s="8">
        <v>1552</v>
      </c>
      <c r="G787" s="11">
        <v>4.4372285147601716E-3</v>
      </c>
      <c r="H787" s="12">
        <v>0.24905146778593362</v>
      </c>
      <c r="I787" t="s">
        <v>1238</v>
      </c>
      <c r="J787" s="8">
        <v>5</v>
      </c>
      <c r="K787">
        <v>12</v>
      </c>
      <c r="L787" s="11">
        <v>1.2431155079799796E-3</v>
      </c>
      <c r="M787" s="12">
        <v>0.68060574061903534</v>
      </c>
      <c r="N787" t="s">
        <v>1238</v>
      </c>
      <c r="O787" t="s">
        <v>1252</v>
      </c>
      <c r="P787" s="23">
        <f>VLOOKUP(A787,вариация!A$2:G$805,2,FALSE)</f>
        <v>2.2360679774997894</v>
      </c>
      <c r="Q787" t="str">
        <f>IF(вариация!H788="Yes",IF(P790&lt;0.1,"X",IF(P790&lt;0.25,"Y","Z")),"")</f>
        <v/>
      </c>
      <c r="R787" t="str">
        <f>O787&amp;Q787</f>
        <v>AAA</v>
      </c>
    </row>
    <row r="788" spans="1:18" x14ac:dyDescent="0.25">
      <c r="A788" s="7" t="s">
        <v>28</v>
      </c>
      <c r="B788" s="8">
        <v>2</v>
      </c>
      <c r="C788" s="11">
        <v>1.2431155079799805E-3</v>
      </c>
      <c r="D788" s="12">
        <v>0.6818488561270154</v>
      </c>
      <c r="E788" t="s">
        <v>1238</v>
      </c>
      <c r="F788" s="8">
        <v>4974</v>
      </c>
      <c r="G788" s="11">
        <v>1.4220859943567714E-2</v>
      </c>
      <c r="H788" s="12">
        <v>4.6650939223802652E-2</v>
      </c>
      <c r="I788" t="s">
        <v>1238</v>
      </c>
      <c r="J788" s="8">
        <v>5</v>
      </c>
      <c r="K788">
        <v>12</v>
      </c>
      <c r="L788" s="11">
        <v>1.2431155079799796E-3</v>
      </c>
      <c r="M788" s="12">
        <v>0.68184885612701529</v>
      </c>
      <c r="N788" t="s">
        <v>1238</v>
      </c>
      <c r="O788" t="s">
        <v>1252</v>
      </c>
      <c r="P788" s="23">
        <f>VLOOKUP(A788,вариация!A$2:G$805,2,FALSE)</f>
        <v>1.3693063937629151</v>
      </c>
      <c r="Q788" t="str">
        <f>IF(вариация!H789="Yes",IF(P791&lt;0.1,"X",IF(P791&lt;0.25,"Y","Z")),"")</f>
        <v/>
      </c>
      <c r="R788" t="str">
        <f>O788&amp;Q788</f>
        <v>AAA</v>
      </c>
    </row>
    <row r="789" spans="1:18" x14ac:dyDescent="0.25">
      <c r="A789" s="7" t="s">
        <v>749</v>
      </c>
      <c r="B789" s="8">
        <v>1</v>
      </c>
      <c r="C789" s="11">
        <v>6.2155775398999025E-4</v>
      </c>
      <c r="D789" s="12">
        <v>0.98722018066229078</v>
      </c>
      <c r="E789" t="s">
        <v>1240</v>
      </c>
      <c r="F789" s="8">
        <v>261</v>
      </c>
      <c r="G789" s="11">
        <v>7.4620917677345672E-4</v>
      </c>
      <c r="H789" s="12">
        <v>0.86098129851144223</v>
      </c>
      <c r="I789" t="s">
        <v>1239</v>
      </c>
      <c r="J789" s="8">
        <v>5</v>
      </c>
      <c r="K789">
        <v>6</v>
      </c>
      <c r="L789" s="11">
        <v>6.2155775398998981E-4</v>
      </c>
      <c r="M789" s="12">
        <v>0.98722018066229067</v>
      </c>
      <c r="N789" t="s">
        <v>1240</v>
      </c>
      <c r="O789" t="s">
        <v>1259</v>
      </c>
      <c r="P789" s="23">
        <f>VLOOKUP(A789,вариация!A$2:G$805,2,FALSE)</f>
        <v>2.2360679774997894</v>
      </c>
      <c r="Q789" t="str">
        <f>IF(вариация!H790="Yes",IF(P792&lt;0.1,"X",IF(P792&lt;0.25,"Y","Z")),"")</f>
        <v/>
      </c>
      <c r="R789" t="str">
        <f>O789&amp;Q789</f>
        <v>CBC</v>
      </c>
    </row>
    <row r="790" spans="1:18" x14ac:dyDescent="0.25">
      <c r="A790" s="7" t="s">
        <v>821</v>
      </c>
      <c r="B790" s="8">
        <v>3</v>
      </c>
      <c r="C790" s="11">
        <v>1.8646732619699705E-3</v>
      </c>
      <c r="D790" s="12">
        <v>0.52024384008962155</v>
      </c>
      <c r="E790" t="s">
        <v>1238</v>
      </c>
      <c r="F790" s="8">
        <v>794.81999999999994</v>
      </c>
      <c r="G790" s="11">
        <v>2.2724213711995357E-3</v>
      </c>
      <c r="H790" s="12">
        <v>0.48076134602666915</v>
      </c>
      <c r="I790" t="s">
        <v>1238</v>
      </c>
      <c r="J790" s="8">
        <v>5</v>
      </c>
      <c r="K790">
        <v>18</v>
      </c>
      <c r="L790" s="11">
        <v>1.8646732619699697E-3</v>
      </c>
      <c r="M790" s="12">
        <v>0.52024384008962143</v>
      </c>
      <c r="N790" t="s">
        <v>1238</v>
      </c>
      <c r="O790" t="s">
        <v>1252</v>
      </c>
      <c r="P790" s="23">
        <f>VLOOKUP(A790,вариация!A$2:G$805,2,FALSE)</f>
        <v>1.4907119849998598</v>
      </c>
      <c r="Q790" t="str">
        <f>IF(вариация!H791="Yes",IF(P793&lt;0.1,"X",IF(P793&lt;0.25,"Y","Z")),"")</f>
        <v/>
      </c>
      <c r="R790" t="str">
        <f>O790&amp;Q790</f>
        <v>AAA</v>
      </c>
    </row>
    <row r="791" spans="1:18" x14ac:dyDescent="0.25">
      <c r="A791" s="7" t="s">
        <v>174</v>
      </c>
      <c r="B791" s="8">
        <v>1</v>
      </c>
      <c r="C791" s="11">
        <v>6.2155775398999025E-4</v>
      </c>
      <c r="D791" s="12">
        <v>0.98784173841628076</v>
      </c>
      <c r="E791" t="s">
        <v>1240</v>
      </c>
      <c r="F791" s="8">
        <v>67</v>
      </c>
      <c r="G791" s="11">
        <v>1.9155561242843524E-4</v>
      </c>
      <c r="H791" s="12">
        <v>0.9891808642130091</v>
      </c>
      <c r="I791" t="s">
        <v>1240</v>
      </c>
      <c r="J791" s="8">
        <v>5</v>
      </c>
      <c r="K791">
        <v>6</v>
      </c>
      <c r="L791" s="11">
        <v>6.2155775398998981E-4</v>
      </c>
      <c r="M791" s="12">
        <v>0.98784173841628065</v>
      </c>
      <c r="N791" t="s">
        <v>1240</v>
      </c>
      <c r="O791" t="s">
        <v>1260</v>
      </c>
      <c r="P791" s="23">
        <f>VLOOKUP(A791,вариация!A$2:G$805,2,FALSE)</f>
        <v>2.2360679774997894</v>
      </c>
      <c r="Q791" t="str">
        <f>IF(вариация!H792="Yes",IF(P794&lt;0.1,"X",IF(P794&lt;0.25,"Y","Z")),"")</f>
        <v/>
      </c>
      <c r="R791" t="str">
        <f>O791&amp;Q791</f>
        <v>CCC</v>
      </c>
    </row>
    <row r="792" spans="1:18" x14ac:dyDescent="0.25">
      <c r="A792" s="7" t="s">
        <v>215</v>
      </c>
      <c r="B792" s="8">
        <v>6</v>
      </c>
      <c r="C792" s="11">
        <v>3.729346523939941E-3</v>
      </c>
      <c r="D792" s="12">
        <v>0.31699445453489472</v>
      </c>
      <c r="E792" t="s">
        <v>1238</v>
      </c>
      <c r="F792" s="8">
        <v>230</v>
      </c>
      <c r="G792" s="11">
        <v>6.5757896803791201E-4</v>
      </c>
      <c r="H792" s="12">
        <v>0.88622032292033415</v>
      </c>
      <c r="I792" t="s">
        <v>1239</v>
      </c>
      <c r="J792" s="8">
        <v>5</v>
      </c>
      <c r="K792">
        <v>36</v>
      </c>
      <c r="L792" s="11">
        <v>3.7293465239399393E-3</v>
      </c>
      <c r="M792" s="12">
        <v>0.31699445453489455</v>
      </c>
      <c r="N792" t="s">
        <v>1238</v>
      </c>
      <c r="O792" t="s">
        <v>1253</v>
      </c>
      <c r="P792" s="23">
        <f>VLOOKUP(A792,вариация!A$2:G$805,2,FALSE)</f>
        <v>1.4907119849998598</v>
      </c>
      <c r="Q792" t="str">
        <f>IF(вариация!H793="Yes",IF(P795&lt;0.1,"X",IF(P795&lt;0.25,"Y","Z")),"")</f>
        <v/>
      </c>
      <c r="R792" t="str">
        <f>O792&amp;Q792</f>
        <v>ABA</v>
      </c>
    </row>
    <row r="793" spans="1:18" x14ac:dyDescent="0.25">
      <c r="A793" s="7" t="s">
        <v>568</v>
      </c>
      <c r="B793" s="8">
        <v>2</v>
      </c>
      <c r="C793" s="11">
        <v>1.2431155079799805E-3</v>
      </c>
      <c r="D793" s="12">
        <v>0.68309197163499535</v>
      </c>
      <c r="E793" t="s">
        <v>1238</v>
      </c>
      <c r="F793" s="8">
        <v>358</v>
      </c>
      <c r="G793" s="11">
        <v>1.0235359589459675E-3</v>
      </c>
      <c r="H793" s="12">
        <v>0.77044922840935648</v>
      </c>
      <c r="I793" t="s">
        <v>1238</v>
      </c>
      <c r="J793" s="8">
        <v>5</v>
      </c>
      <c r="K793">
        <v>12</v>
      </c>
      <c r="L793" s="11">
        <v>1.2431155079799796E-3</v>
      </c>
      <c r="M793" s="12">
        <v>0.68309197163499524</v>
      </c>
      <c r="N793" t="s">
        <v>1238</v>
      </c>
      <c r="O793" t="s">
        <v>1252</v>
      </c>
      <c r="P793" s="23">
        <f>VLOOKUP(A793,вариация!A$2:G$805,2,FALSE)</f>
        <v>2.2360679774997894</v>
      </c>
      <c r="Q793" t="str">
        <f>IF(вариация!H794="Yes",IF(P796&lt;0.1,"X",IF(P796&lt;0.25,"Y","Z")),"")</f>
        <v/>
      </c>
      <c r="R793" t="str">
        <f>O793&amp;Q793</f>
        <v>AAA</v>
      </c>
    </row>
    <row r="794" spans="1:18" x14ac:dyDescent="0.25">
      <c r="A794" s="7" t="s">
        <v>33</v>
      </c>
      <c r="B794" s="8">
        <v>2</v>
      </c>
      <c r="C794" s="11">
        <v>1.2431155079799805E-3</v>
      </c>
      <c r="D794" s="12">
        <v>0.68433508714297531</v>
      </c>
      <c r="E794" t="s">
        <v>1238</v>
      </c>
      <c r="F794" s="8">
        <v>42</v>
      </c>
      <c r="G794" s="11">
        <v>1.2007963764170567E-4</v>
      </c>
      <c r="H794" s="12">
        <v>0.99674406349765832</v>
      </c>
      <c r="I794" t="s">
        <v>1240</v>
      </c>
      <c r="J794" s="8">
        <v>5</v>
      </c>
      <c r="K794">
        <v>12</v>
      </c>
      <c r="L794" s="11">
        <v>1.2431155079799796E-3</v>
      </c>
      <c r="M794" s="12">
        <v>0.6843350871429752</v>
      </c>
      <c r="N794" t="s">
        <v>1238</v>
      </c>
      <c r="O794" t="s">
        <v>1254</v>
      </c>
      <c r="P794" s="23">
        <f>VLOOKUP(A794,вариация!A$2:G$805,2,FALSE)</f>
        <v>2.2360679774997894</v>
      </c>
      <c r="Q794" t="str">
        <f>IF(вариация!H795="Yes",IF(P797&lt;0.1,"X",IF(P797&lt;0.25,"Y","Z")),"")</f>
        <v/>
      </c>
      <c r="R794" t="str">
        <f>O794&amp;Q794</f>
        <v>ACA</v>
      </c>
    </row>
    <row r="795" spans="1:18" x14ac:dyDescent="0.25">
      <c r="A795" s="7" t="s">
        <v>277</v>
      </c>
      <c r="B795" s="8">
        <v>1</v>
      </c>
      <c r="C795" s="11">
        <v>6.2155775398999025E-4</v>
      </c>
      <c r="D795" s="12">
        <v>0.98846329617027073</v>
      </c>
      <c r="E795" t="s">
        <v>1240</v>
      </c>
      <c r="F795" s="8">
        <v>37</v>
      </c>
      <c r="G795" s="11">
        <v>1.0578444268435977E-4</v>
      </c>
      <c r="H795" s="12">
        <v>0.99785051730543495</v>
      </c>
      <c r="I795" t="s">
        <v>1240</v>
      </c>
      <c r="J795" s="8">
        <v>5</v>
      </c>
      <c r="K795">
        <v>6</v>
      </c>
      <c r="L795" s="11">
        <v>6.2155775398998981E-4</v>
      </c>
      <c r="M795" s="12">
        <v>0.98846329617027062</v>
      </c>
      <c r="N795" t="s">
        <v>1240</v>
      </c>
      <c r="O795" t="s">
        <v>1260</v>
      </c>
      <c r="P795" s="23">
        <f>VLOOKUP(A795,вариация!A$2:G$805,2,FALSE)</f>
        <v>2.2360679774997894</v>
      </c>
      <c r="Q795" t="str">
        <f>IF(вариация!H796="Yes",IF(P798&lt;0.1,"X",IF(P798&lt;0.25,"Y","Z")),"")</f>
        <v/>
      </c>
      <c r="R795" t="str">
        <f>O795&amp;Q795</f>
        <v>CCC</v>
      </c>
    </row>
    <row r="796" spans="1:18" x14ac:dyDescent="0.25">
      <c r="A796" s="7" t="s">
        <v>981</v>
      </c>
      <c r="B796" s="8">
        <v>1</v>
      </c>
      <c r="C796" s="11">
        <v>6.2155775398999025E-4</v>
      </c>
      <c r="D796" s="12">
        <v>0.98908485392426071</v>
      </c>
      <c r="E796" t="s">
        <v>1240</v>
      </c>
      <c r="F796" s="8">
        <v>19</v>
      </c>
      <c r="G796" s="11">
        <v>5.432174083791447E-5</v>
      </c>
      <c r="H796" s="12">
        <v>0.99984240977079175</v>
      </c>
      <c r="I796" t="s">
        <v>1240</v>
      </c>
      <c r="J796" s="8">
        <v>5</v>
      </c>
      <c r="K796">
        <v>6</v>
      </c>
      <c r="L796" s="11">
        <v>6.2155775398998981E-4</v>
      </c>
      <c r="M796" s="12">
        <v>0.9890848539242606</v>
      </c>
      <c r="N796" t="s">
        <v>1240</v>
      </c>
      <c r="O796" t="s">
        <v>1260</v>
      </c>
      <c r="P796" s="23">
        <f>VLOOKUP(A796,вариация!A$2:G$805,2,FALSE)</f>
        <v>2.2360679774997894</v>
      </c>
      <c r="Q796" t="str">
        <f>IF(вариация!H797="Yes",IF(P799&lt;0.1,"X",IF(P799&lt;0.25,"Y","Z")),"")</f>
        <v/>
      </c>
      <c r="R796" t="str">
        <f>O796&amp;Q796</f>
        <v>CCC</v>
      </c>
    </row>
    <row r="797" spans="1:18" x14ac:dyDescent="0.25">
      <c r="A797" s="7" t="s">
        <v>314</v>
      </c>
      <c r="B797" s="8">
        <v>1</v>
      </c>
      <c r="C797" s="11">
        <v>6.2155775398999025E-4</v>
      </c>
      <c r="D797" s="12">
        <v>0.98970641167825069</v>
      </c>
      <c r="E797" t="s">
        <v>1240</v>
      </c>
      <c r="F797" s="8">
        <v>474</v>
      </c>
      <c r="G797" s="11">
        <v>1.3551844819563925E-3</v>
      </c>
      <c r="H797" s="12">
        <v>0.66066500223512903</v>
      </c>
      <c r="I797" t="s">
        <v>1238</v>
      </c>
      <c r="J797" s="8">
        <v>5</v>
      </c>
      <c r="K797">
        <v>6</v>
      </c>
      <c r="L797" s="11">
        <v>6.2155775398998981E-4</v>
      </c>
      <c r="M797" s="12">
        <v>0.98970641167825057</v>
      </c>
      <c r="N797" t="s">
        <v>1240</v>
      </c>
      <c r="O797" t="s">
        <v>1258</v>
      </c>
      <c r="P797" s="23">
        <f>VLOOKUP(A797,вариация!A$2:G$805,2,FALSE)</f>
        <v>2.2360679774997894</v>
      </c>
      <c r="Q797" t="str">
        <f>IF(вариация!H798="Yes",IF(P800&lt;0.1,"X",IF(P800&lt;0.25,"Y","Z")),"")</f>
        <v/>
      </c>
      <c r="R797" t="str">
        <f>O797&amp;Q797</f>
        <v>CAC</v>
      </c>
    </row>
    <row r="798" spans="1:18" x14ac:dyDescent="0.25">
      <c r="A798" s="7" t="s">
        <v>221</v>
      </c>
      <c r="B798" s="8">
        <v>1</v>
      </c>
      <c r="C798" s="11">
        <v>6.2155775398999025E-4</v>
      </c>
      <c r="D798" s="12">
        <v>0.99032796943224066</v>
      </c>
      <c r="E798" t="s">
        <v>1240</v>
      </c>
      <c r="F798" s="8">
        <v>82</v>
      </c>
      <c r="G798" s="11">
        <v>2.3444119730047297E-4</v>
      </c>
      <c r="H798" s="12">
        <v>0.98041676608855921</v>
      </c>
      <c r="I798" t="s">
        <v>1240</v>
      </c>
      <c r="J798" s="8">
        <v>5</v>
      </c>
      <c r="K798">
        <v>6</v>
      </c>
      <c r="L798" s="11">
        <v>6.2155775398998981E-4</v>
      </c>
      <c r="M798" s="12">
        <v>0.99032796943224055</v>
      </c>
      <c r="N798" t="s">
        <v>1240</v>
      </c>
      <c r="O798" t="s">
        <v>1260</v>
      </c>
      <c r="P798" s="23">
        <f>VLOOKUP(A798,вариация!A$2:G$805,2,FALSE)</f>
        <v>2.2360679774997894</v>
      </c>
      <c r="Q798" t="str">
        <f>IF(вариация!H799="Yes",IF(P801&lt;0.1,"X",IF(P801&lt;0.25,"Y","Z")),"")</f>
        <v/>
      </c>
      <c r="R798" t="str">
        <f>O798&amp;Q798</f>
        <v>CCC</v>
      </c>
    </row>
    <row r="799" spans="1:18" x14ac:dyDescent="0.25">
      <c r="A799" s="7" t="s">
        <v>624</v>
      </c>
      <c r="B799" s="8">
        <v>1</v>
      </c>
      <c r="C799" s="11">
        <v>6.2155775398999025E-4</v>
      </c>
      <c r="D799" s="12">
        <v>0.99094952718623064</v>
      </c>
      <c r="E799" t="s">
        <v>1240</v>
      </c>
      <c r="F799" s="8">
        <v>83</v>
      </c>
      <c r="G799" s="11">
        <v>2.3730023629194217E-4</v>
      </c>
      <c r="H799" s="12">
        <v>0.9794790012993575</v>
      </c>
      <c r="I799" t="s">
        <v>1240</v>
      </c>
      <c r="J799" s="8">
        <v>5</v>
      </c>
      <c r="K799">
        <v>6</v>
      </c>
      <c r="L799" s="11">
        <v>6.2155775398998981E-4</v>
      </c>
      <c r="M799" s="12">
        <v>0.99094952718623053</v>
      </c>
      <c r="N799" t="s">
        <v>1240</v>
      </c>
      <c r="O799" t="s">
        <v>1260</v>
      </c>
      <c r="P799" s="23">
        <f>VLOOKUP(A799,вариация!A$2:G$805,2,FALSE)</f>
        <v>2.2360679774997894</v>
      </c>
      <c r="Q799" t="str">
        <f>IF(вариация!H800="Yes",IF(P802&lt;0.1,"X",IF(P802&lt;0.25,"Y","Z")),"")</f>
        <v/>
      </c>
      <c r="R799" t="str">
        <f>O799&amp;Q799</f>
        <v>CCC</v>
      </c>
    </row>
    <row r="800" spans="1:18" x14ac:dyDescent="0.25">
      <c r="A800" s="7" t="s">
        <v>251</v>
      </c>
      <c r="B800" s="8">
        <v>7</v>
      </c>
      <c r="C800" s="11">
        <v>4.3509042779299317E-3</v>
      </c>
      <c r="D800" s="12">
        <v>0.27970098929549558</v>
      </c>
      <c r="E800" t="s">
        <v>1238</v>
      </c>
      <c r="F800" s="8">
        <v>1412</v>
      </c>
      <c r="G800" s="11">
        <v>4.036963055954486E-3</v>
      </c>
      <c r="H800" s="12">
        <v>0.28227967639102708</v>
      </c>
      <c r="I800" t="s">
        <v>1238</v>
      </c>
      <c r="J800" s="8">
        <v>5</v>
      </c>
      <c r="K800">
        <v>42</v>
      </c>
      <c r="L800" s="11">
        <v>4.3509042779299291E-3</v>
      </c>
      <c r="M800" s="12">
        <v>0.27970098929549542</v>
      </c>
      <c r="N800" t="s">
        <v>1238</v>
      </c>
      <c r="O800" t="s">
        <v>1252</v>
      </c>
      <c r="P800" s="23">
        <f>VLOOKUP(A800,вариация!A$2:G$805,2,FALSE)</f>
        <v>0.63887656499993983</v>
      </c>
      <c r="Q800" t="str">
        <f>IF(вариация!H801="Yes",IF(P803&lt;0.1,"X",IF(P803&lt;0.25,"Y","Z")),"")</f>
        <v>Z</v>
      </c>
      <c r="R800" t="str">
        <f>O800&amp;Q800</f>
        <v>AAAZ</v>
      </c>
    </row>
    <row r="801" spans="1:18" x14ac:dyDescent="0.25">
      <c r="A801" s="7" t="s">
        <v>1050</v>
      </c>
      <c r="B801" s="8">
        <v>1</v>
      </c>
      <c r="C801" s="11">
        <v>6.2155775398999025E-4</v>
      </c>
      <c r="D801" s="12">
        <v>0.99157108494022062</v>
      </c>
      <c r="E801" t="s">
        <v>1240</v>
      </c>
      <c r="F801" s="8">
        <v>409</v>
      </c>
      <c r="G801" s="11">
        <v>1.1693469475108956E-3</v>
      </c>
      <c r="H801" s="12">
        <v>0.7279124624078217</v>
      </c>
      <c r="I801" t="s">
        <v>1238</v>
      </c>
      <c r="J801" s="8">
        <v>5</v>
      </c>
      <c r="K801">
        <v>6</v>
      </c>
      <c r="L801" s="11">
        <v>6.2155775398998981E-4</v>
      </c>
      <c r="M801" s="12">
        <v>0.9915710849402205</v>
      </c>
      <c r="N801" t="s">
        <v>1240</v>
      </c>
      <c r="O801" t="s">
        <v>1258</v>
      </c>
      <c r="P801" s="23">
        <f>VLOOKUP(A801,вариация!A$2:G$805,2,FALSE)</f>
        <v>2.2360679774997894</v>
      </c>
      <c r="Q801" t="str">
        <f>IF(вариация!H802="Yes",IF(P804&lt;0.1,"X",IF(P804&lt;0.25,"Y","Z")),"")</f>
        <v/>
      </c>
      <c r="R801" t="str">
        <f>O801&amp;Q801</f>
        <v>CAC</v>
      </c>
    </row>
    <row r="802" spans="1:18" x14ac:dyDescent="0.25">
      <c r="A802" s="7" t="s">
        <v>1187</v>
      </c>
      <c r="B802" s="8">
        <v>1</v>
      </c>
      <c r="C802" s="11">
        <v>6.2155775398999025E-4</v>
      </c>
      <c r="D802" s="12">
        <v>0.99219264269421059</v>
      </c>
      <c r="E802" t="s">
        <v>1240</v>
      </c>
      <c r="F802" s="8">
        <v>470</v>
      </c>
      <c r="G802" s="11">
        <v>1.3437483259905159E-3</v>
      </c>
      <c r="H802" s="12">
        <v>0.66605715382738584</v>
      </c>
      <c r="I802" t="s">
        <v>1238</v>
      </c>
      <c r="J802" s="8">
        <v>5</v>
      </c>
      <c r="K802">
        <v>6</v>
      </c>
      <c r="L802" s="11">
        <v>6.2155775398998981E-4</v>
      </c>
      <c r="M802" s="12">
        <v>0.99219264269421048</v>
      </c>
      <c r="N802" t="s">
        <v>1240</v>
      </c>
      <c r="O802" t="s">
        <v>1258</v>
      </c>
      <c r="P802" s="23">
        <f>VLOOKUP(A802,вариация!A$2:G$805,2,FALSE)</f>
        <v>2.2360679774997894</v>
      </c>
      <c r="Q802" t="str">
        <f>IF(вариация!H803="Yes",IF(P805&lt;0.1,"X",IF(P805&lt;0.25,"Y","Z")),"")</f>
        <v/>
      </c>
      <c r="R802" t="str">
        <f>O802&amp;Q802</f>
        <v>CAC</v>
      </c>
    </row>
    <row r="803" spans="1:18" x14ac:dyDescent="0.25">
      <c r="A803" s="7" t="s">
        <v>136</v>
      </c>
      <c r="B803" s="8">
        <v>1</v>
      </c>
      <c r="C803" s="11">
        <v>6.2155775398999025E-4</v>
      </c>
      <c r="D803" s="12">
        <v>0.99281420044820057</v>
      </c>
      <c r="E803" t="s">
        <v>1240</v>
      </c>
      <c r="F803" s="8">
        <v>370</v>
      </c>
      <c r="G803" s="11">
        <v>1.0578444268435976E-3</v>
      </c>
      <c r="H803" s="12">
        <v>0.76111348155210634</v>
      </c>
      <c r="I803" t="s">
        <v>1238</v>
      </c>
      <c r="J803" s="8">
        <v>5</v>
      </c>
      <c r="K803">
        <v>6</v>
      </c>
      <c r="L803" s="11">
        <v>6.2155775398998981E-4</v>
      </c>
      <c r="M803" s="12">
        <v>0.99281420044820046</v>
      </c>
      <c r="N803" t="s">
        <v>1240</v>
      </c>
      <c r="O803" t="s">
        <v>1258</v>
      </c>
      <c r="P803" s="23">
        <f>VLOOKUP(A803,вариация!A$2:G$805,2,FALSE)</f>
        <v>2.2360679774997894</v>
      </c>
      <c r="Q803" t="str">
        <f>IF(вариация!H804="Yes",IF(P806&lt;0.1,"X",IF(P806&lt;0.25,"Y","Z")),"")</f>
        <v/>
      </c>
      <c r="R803" t="str">
        <f>O803&amp;Q803</f>
        <v>CAC</v>
      </c>
    </row>
    <row r="804" spans="1:18" x14ac:dyDescent="0.25">
      <c r="A804" s="7" t="s">
        <v>1096</v>
      </c>
      <c r="B804" s="8">
        <v>1</v>
      </c>
      <c r="C804" s="11">
        <v>6.2155775398999025E-4</v>
      </c>
      <c r="D804" s="12">
        <v>0.99343575820219054</v>
      </c>
      <c r="E804" t="s">
        <v>1240</v>
      </c>
      <c r="F804" s="8">
        <v>639</v>
      </c>
      <c r="G804" s="11">
        <v>1.8269259155488079E-3</v>
      </c>
      <c r="H804" s="12">
        <v>0.55864987846560266</v>
      </c>
      <c r="I804" t="s">
        <v>1238</v>
      </c>
      <c r="J804" s="8">
        <v>5</v>
      </c>
      <c r="K804">
        <v>6</v>
      </c>
      <c r="L804" s="11">
        <v>6.2155775398998981E-4</v>
      </c>
      <c r="M804" s="12">
        <v>0.99343575820219043</v>
      </c>
      <c r="N804" t="s">
        <v>1240</v>
      </c>
      <c r="O804" t="s">
        <v>1258</v>
      </c>
      <c r="P804" s="23">
        <f>VLOOKUP(A804,вариация!A$2:G$805,2,FALSE)</f>
        <v>2.2360679774997894</v>
      </c>
      <c r="Q804" t="str">
        <f>IF(вариация!H805="Yes",IF(P807&lt;0.1,"X",IF(P807&lt;0.25,"Y","Z")),"")</f>
        <v/>
      </c>
      <c r="R804" t="str">
        <f>O804&amp;Q804</f>
        <v>CAC</v>
      </c>
    </row>
  </sheetData>
  <sortState xmlns:xlrd2="http://schemas.microsoft.com/office/spreadsheetml/2017/richdata2" ref="A2:R804">
    <sortCondition ref="A1:A804"/>
  </sortState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3D9AE-C0EC-4842-B655-96165842B700}">
  <dimension ref="A2:J805"/>
  <sheetViews>
    <sheetView topLeftCell="A81" workbookViewId="0">
      <selection activeCell="J201" sqref="J201"/>
    </sheetView>
  </sheetViews>
  <sheetFormatPr defaultRowHeight="13.2" x14ac:dyDescent="0.25"/>
  <cols>
    <col min="1" max="1" width="60" customWidth="1"/>
    <col min="2" max="2" width="10.21875" style="23" bestFit="1" customWidth="1"/>
    <col min="3" max="7" width="10.109375" bestFit="1" customWidth="1"/>
    <col min="8" max="8" width="14.44140625" customWidth="1"/>
  </cols>
  <sheetData>
    <row r="2" spans="1:10" x14ac:dyDescent="0.25">
      <c r="A2" s="10" t="s">
        <v>1233</v>
      </c>
      <c r="B2" s="22" t="s">
        <v>1265</v>
      </c>
      <c r="C2" s="21">
        <v>44774</v>
      </c>
      <c r="D2" s="21">
        <f>C2+1</f>
        <v>44775</v>
      </c>
      <c r="E2" s="21">
        <f>D2+1</f>
        <v>44776</v>
      </c>
      <c r="F2" s="21">
        <f>E2+1</f>
        <v>44777</v>
      </c>
      <c r="G2" s="21">
        <f>F2+1</f>
        <v>44778</v>
      </c>
      <c r="H2" s="10" t="s">
        <v>1274</v>
      </c>
    </row>
    <row r="3" spans="1:10" x14ac:dyDescent="0.25">
      <c r="A3" s="7" t="s">
        <v>154</v>
      </c>
      <c r="B3" s="25">
        <f>_xlfn.STDEV.S(C3:G3)/AVERAGE(C3:G3)</f>
        <v>2.2360679774997894</v>
      </c>
      <c r="C3">
        <f>SUMIFS('data (1)'!$M:$M,'data (1)'!$J:$J,"="&amp;$A3,'data (1)'!$A:$A,"="&amp;вариация!C$2)</f>
        <v>1</v>
      </c>
      <c r="D3">
        <f>SUMIFS('data (1)'!$M:$M,'data (1)'!$J:$J,"="&amp;$A3,'data (1)'!$A:$A,"="&amp;вариация!D$2)</f>
        <v>0</v>
      </c>
      <c r="E3">
        <f>SUMIFS('data (1)'!$M:$M,'data (1)'!$J:$J,"="&amp;$A3,'data (1)'!$A:$A,"="&amp;вариация!E$2)</f>
        <v>0</v>
      </c>
      <c r="F3">
        <f>SUMIFS('data (1)'!$M:$M,'data (1)'!$J:$J,"="&amp;$A3,'data (1)'!$A:$A,"="&amp;вариация!F$2)</f>
        <v>0</v>
      </c>
      <c r="G3">
        <f>SUMIFS('data (1)'!$M:$M,'data (1)'!$J:$J,"="&amp;$A3,'data (1)'!$A:$A,"="&amp;вариация!G$2)</f>
        <v>0</v>
      </c>
      <c r="H3" t="str">
        <f>IF(COUNTIF(C3:G3,"&gt;0") &gt;=3, "Yes", "No")</f>
        <v>No</v>
      </c>
    </row>
    <row r="4" spans="1:10" x14ac:dyDescent="0.25">
      <c r="A4" s="7" t="s">
        <v>518</v>
      </c>
      <c r="B4" s="25">
        <f t="shared" ref="B4:B67" si="0">_xlfn.STDEV.S(C4:G4)/AVERAGE(C4:G4)</f>
        <v>2.2360679774997894</v>
      </c>
      <c r="C4">
        <f>SUMIFS('data (1)'!$M:$M,'data (1)'!$J:$J,"="&amp;$A4,'data (1)'!$A:$A,"="&amp;вариация!C$2)</f>
        <v>0</v>
      </c>
      <c r="D4">
        <f>SUMIFS('data (1)'!$M:$M,'data (1)'!$J:$J,"="&amp;$A4,'data (1)'!$A:$A,"="&amp;вариация!D$2)</f>
        <v>1</v>
      </c>
      <c r="E4">
        <f>SUMIFS('data (1)'!$M:$M,'data (1)'!$J:$J,"="&amp;$A4,'data (1)'!$A:$A,"="&amp;вариация!E$2)</f>
        <v>0</v>
      </c>
      <c r="F4">
        <f>SUMIFS('data (1)'!$M:$M,'data (1)'!$J:$J,"="&amp;$A4,'data (1)'!$A:$A,"="&amp;вариация!F$2)</f>
        <v>0</v>
      </c>
      <c r="G4">
        <f>SUMIFS('data (1)'!$M:$M,'data (1)'!$J:$J,"="&amp;$A4,'data (1)'!$A:$A,"="&amp;вариация!G$2)</f>
        <v>0</v>
      </c>
      <c r="H4" t="str">
        <f t="shared" ref="H4:H67" si="1">IF(COUNTIF(C4:G4,"&gt;0") &gt;=3, "Yes", "No")</f>
        <v>No</v>
      </c>
    </row>
    <row r="5" spans="1:10" x14ac:dyDescent="0.25">
      <c r="A5" s="7" t="s">
        <v>870</v>
      </c>
      <c r="B5" s="25">
        <f t="shared" si="0"/>
        <v>2.2360679774997894</v>
      </c>
      <c r="C5">
        <f>SUMIFS('data (1)'!$M:$M,'data (1)'!$J:$J,"="&amp;$A5,'data (1)'!$A:$A,"="&amp;вариация!C$2)</f>
        <v>0</v>
      </c>
      <c r="D5">
        <f>SUMIFS('data (1)'!$M:$M,'data (1)'!$J:$J,"="&amp;$A5,'data (1)'!$A:$A,"="&amp;вариация!D$2)</f>
        <v>0</v>
      </c>
      <c r="E5">
        <f>SUMIFS('data (1)'!$M:$M,'data (1)'!$J:$J,"="&amp;$A5,'data (1)'!$A:$A,"="&amp;вариация!E$2)</f>
        <v>1</v>
      </c>
      <c r="F5">
        <f>SUMIFS('data (1)'!$M:$M,'data (1)'!$J:$J,"="&amp;$A5,'data (1)'!$A:$A,"="&amp;вариация!F$2)</f>
        <v>0</v>
      </c>
      <c r="G5">
        <f>SUMIFS('data (1)'!$M:$M,'data (1)'!$J:$J,"="&amp;$A5,'data (1)'!$A:$A,"="&amp;вариация!G$2)</f>
        <v>0</v>
      </c>
      <c r="H5" t="str">
        <f t="shared" si="1"/>
        <v>No</v>
      </c>
      <c r="J5" s="19"/>
    </row>
    <row r="6" spans="1:10" x14ac:dyDescent="0.25">
      <c r="A6" s="7" t="s">
        <v>109</v>
      </c>
      <c r="B6" s="25">
        <f t="shared" si="0"/>
        <v>2.2360679774997894</v>
      </c>
      <c r="C6">
        <f>SUMIFS('data (1)'!$M:$M,'data (1)'!$J:$J,"="&amp;$A6,'data (1)'!$A:$A,"="&amp;вариация!C$2)</f>
        <v>1</v>
      </c>
      <c r="D6">
        <f>SUMIFS('data (1)'!$M:$M,'data (1)'!$J:$J,"="&amp;$A6,'data (1)'!$A:$A,"="&amp;вариация!D$2)</f>
        <v>0</v>
      </c>
      <c r="E6">
        <f>SUMIFS('data (1)'!$M:$M,'data (1)'!$J:$J,"="&amp;$A6,'data (1)'!$A:$A,"="&amp;вариация!E$2)</f>
        <v>0</v>
      </c>
      <c r="F6">
        <f>SUMIFS('data (1)'!$M:$M,'data (1)'!$J:$J,"="&amp;$A6,'data (1)'!$A:$A,"="&amp;вариация!F$2)</f>
        <v>0</v>
      </c>
      <c r="G6">
        <f>SUMIFS('data (1)'!$M:$M,'data (1)'!$J:$J,"="&amp;$A6,'data (1)'!$A:$A,"="&amp;вариация!G$2)</f>
        <v>0</v>
      </c>
      <c r="H6" t="str">
        <f t="shared" si="1"/>
        <v>No</v>
      </c>
    </row>
    <row r="7" spans="1:10" x14ac:dyDescent="0.25">
      <c r="A7" s="7" t="s">
        <v>1212</v>
      </c>
      <c r="B7" s="25">
        <f t="shared" si="0"/>
        <v>2.2360679774997894</v>
      </c>
      <c r="C7">
        <f>SUMIFS('data (1)'!$M:$M,'data (1)'!$J:$J,"="&amp;$A7,'data (1)'!$A:$A,"="&amp;вариация!C$2)</f>
        <v>0</v>
      </c>
      <c r="D7">
        <f>SUMIFS('data (1)'!$M:$M,'data (1)'!$J:$J,"="&amp;$A7,'data (1)'!$A:$A,"="&amp;вариация!D$2)</f>
        <v>0</v>
      </c>
      <c r="E7">
        <f>SUMIFS('data (1)'!$M:$M,'data (1)'!$J:$J,"="&amp;$A7,'data (1)'!$A:$A,"="&amp;вариация!E$2)</f>
        <v>0</v>
      </c>
      <c r="F7">
        <f>SUMIFS('data (1)'!$M:$M,'data (1)'!$J:$J,"="&amp;$A7,'data (1)'!$A:$A,"="&amp;вариация!F$2)</f>
        <v>0</v>
      </c>
      <c r="G7">
        <f>SUMIFS('data (1)'!$M:$M,'data (1)'!$J:$J,"="&amp;$A7,'data (1)'!$A:$A,"="&amp;вариация!G$2)</f>
        <v>1</v>
      </c>
      <c r="H7" t="str">
        <f t="shared" si="1"/>
        <v>No</v>
      </c>
    </row>
    <row r="8" spans="1:10" x14ac:dyDescent="0.25">
      <c r="A8" s="7" t="s">
        <v>213</v>
      </c>
      <c r="B8" s="25">
        <f t="shared" si="0"/>
        <v>1.3693063937629151</v>
      </c>
      <c r="C8">
        <f>SUMIFS('data (1)'!$M:$M,'data (1)'!$J:$J,"="&amp;$A8,'data (1)'!$A:$A,"="&amp;вариация!C$2)</f>
        <v>1</v>
      </c>
      <c r="D8">
        <f>SUMIFS('data (1)'!$M:$M,'data (1)'!$J:$J,"="&amp;$A8,'data (1)'!$A:$A,"="&amp;вариация!D$2)</f>
        <v>0</v>
      </c>
      <c r="E8">
        <f>SUMIFS('data (1)'!$M:$M,'data (1)'!$J:$J,"="&amp;$A8,'data (1)'!$A:$A,"="&amp;вариация!E$2)</f>
        <v>0</v>
      </c>
      <c r="F8">
        <f>SUMIFS('data (1)'!$M:$M,'data (1)'!$J:$J,"="&amp;$A8,'data (1)'!$A:$A,"="&amp;вариация!F$2)</f>
        <v>1</v>
      </c>
      <c r="G8">
        <f>SUMIFS('data (1)'!$M:$M,'data (1)'!$J:$J,"="&amp;$A8,'data (1)'!$A:$A,"="&amp;вариация!G$2)</f>
        <v>0</v>
      </c>
      <c r="H8" t="str">
        <f t="shared" si="1"/>
        <v>No</v>
      </c>
    </row>
    <row r="9" spans="1:10" x14ac:dyDescent="0.25">
      <c r="A9" s="7" t="s">
        <v>180</v>
      </c>
      <c r="B9" s="25">
        <f t="shared" si="0"/>
        <v>1.4907119849998598</v>
      </c>
      <c r="C9">
        <f>SUMIFS('data (1)'!$M:$M,'data (1)'!$J:$J,"="&amp;$A9,'data (1)'!$A:$A,"="&amp;вариация!C$2)</f>
        <v>2</v>
      </c>
      <c r="D9">
        <f>SUMIFS('data (1)'!$M:$M,'data (1)'!$J:$J,"="&amp;$A9,'data (1)'!$A:$A,"="&amp;вариация!D$2)</f>
        <v>0</v>
      </c>
      <c r="E9">
        <f>SUMIFS('data (1)'!$M:$M,'data (1)'!$J:$J,"="&amp;$A9,'data (1)'!$A:$A,"="&amp;вариация!E$2)</f>
        <v>0</v>
      </c>
      <c r="F9">
        <f>SUMIFS('data (1)'!$M:$M,'data (1)'!$J:$J,"="&amp;$A9,'data (1)'!$A:$A,"="&amp;вариация!F$2)</f>
        <v>1</v>
      </c>
      <c r="G9">
        <f>SUMIFS('data (1)'!$M:$M,'data (1)'!$J:$J,"="&amp;$A9,'data (1)'!$A:$A,"="&amp;вариация!G$2)</f>
        <v>0</v>
      </c>
      <c r="H9" t="str">
        <f t="shared" si="1"/>
        <v>No</v>
      </c>
    </row>
    <row r="10" spans="1:10" x14ac:dyDescent="0.25">
      <c r="A10" s="7" t="s">
        <v>44</v>
      </c>
      <c r="B10" s="25">
        <f t="shared" si="0"/>
        <v>2.2360679774997894</v>
      </c>
      <c r="C10">
        <f>SUMIFS('data (1)'!$M:$M,'data (1)'!$J:$J,"="&amp;$A10,'data (1)'!$A:$A,"="&amp;вариация!C$2)</f>
        <v>1</v>
      </c>
      <c r="D10">
        <f>SUMIFS('data (1)'!$M:$M,'data (1)'!$J:$J,"="&amp;$A10,'data (1)'!$A:$A,"="&amp;вариация!D$2)</f>
        <v>0</v>
      </c>
      <c r="E10">
        <f>SUMIFS('data (1)'!$M:$M,'data (1)'!$J:$J,"="&amp;$A10,'data (1)'!$A:$A,"="&amp;вариация!E$2)</f>
        <v>0</v>
      </c>
      <c r="F10">
        <f>SUMIFS('data (1)'!$M:$M,'data (1)'!$J:$J,"="&amp;$A10,'data (1)'!$A:$A,"="&amp;вариация!F$2)</f>
        <v>0</v>
      </c>
      <c r="G10">
        <f>SUMIFS('data (1)'!$M:$M,'data (1)'!$J:$J,"="&amp;$A10,'data (1)'!$A:$A,"="&amp;вариация!G$2)</f>
        <v>0</v>
      </c>
      <c r="H10" t="str">
        <f t="shared" si="1"/>
        <v>No</v>
      </c>
    </row>
    <row r="11" spans="1:10" x14ac:dyDescent="0.25">
      <c r="A11" s="7" t="s">
        <v>766</v>
      </c>
      <c r="B11" s="25">
        <f t="shared" si="0"/>
        <v>2.2360679774997894</v>
      </c>
      <c r="C11">
        <f>SUMIFS('data (1)'!$M:$M,'data (1)'!$J:$J,"="&amp;$A11,'data (1)'!$A:$A,"="&amp;вариация!C$2)</f>
        <v>0</v>
      </c>
      <c r="D11">
        <f>SUMIFS('data (1)'!$M:$M,'data (1)'!$J:$J,"="&amp;$A11,'data (1)'!$A:$A,"="&amp;вариация!D$2)</f>
        <v>0</v>
      </c>
      <c r="E11">
        <f>SUMIFS('data (1)'!$M:$M,'data (1)'!$J:$J,"="&amp;$A11,'data (1)'!$A:$A,"="&amp;вариация!E$2)</f>
        <v>1</v>
      </c>
      <c r="F11">
        <f>SUMIFS('data (1)'!$M:$M,'data (1)'!$J:$J,"="&amp;$A11,'data (1)'!$A:$A,"="&amp;вариация!F$2)</f>
        <v>0</v>
      </c>
      <c r="G11">
        <f>SUMIFS('data (1)'!$M:$M,'data (1)'!$J:$J,"="&amp;$A11,'data (1)'!$A:$A,"="&amp;вариация!G$2)</f>
        <v>0</v>
      </c>
      <c r="H11" t="str">
        <f t="shared" si="1"/>
        <v>No</v>
      </c>
    </row>
    <row r="12" spans="1:10" x14ac:dyDescent="0.25">
      <c r="A12" s="7" t="s">
        <v>505</v>
      </c>
      <c r="B12" s="25">
        <f t="shared" si="0"/>
        <v>2.2360679774997894</v>
      </c>
      <c r="C12">
        <f>SUMIFS('data (1)'!$M:$M,'data (1)'!$J:$J,"="&amp;$A12,'data (1)'!$A:$A,"="&amp;вариация!C$2)</f>
        <v>0</v>
      </c>
      <c r="D12">
        <f>SUMIFS('data (1)'!$M:$M,'data (1)'!$J:$J,"="&amp;$A12,'data (1)'!$A:$A,"="&amp;вариация!D$2)</f>
        <v>1</v>
      </c>
      <c r="E12">
        <f>SUMIFS('data (1)'!$M:$M,'data (1)'!$J:$J,"="&amp;$A12,'data (1)'!$A:$A,"="&amp;вариация!E$2)</f>
        <v>0</v>
      </c>
      <c r="F12">
        <f>SUMIFS('data (1)'!$M:$M,'data (1)'!$J:$J,"="&amp;$A12,'data (1)'!$A:$A,"="&amp;вариация!F$2)</f>
        <v>0</v>
      </c>
      <c r="G12">
        <f>SUMIFS('data (1)'!$M:$M,'data (1)'!$J:$J,"="&amp;$A12,'data (1)'!$A:$A,"="&amp;вариация!G$2)</f>
        <v>0</v>
      </c>
      <c r="H12" t="str">
        <f t="shared" si="1"/>
        <v>No</v>
      </c>
    </row>
    <row r="13" spans="1:10" x14ac:dyDescent="0.25">
      <c r="A13" s="7" t="s">
        <v>871</v>
      </c>
      <c r="B13" s="25">
        <f t="shared" si="0"/>
        <v>2.2360679774997894</v>
      </c>
      <c r="C13">
        <f>SUMIFS('data (1)'!$M:$M,'data (1)'!$J:$J,"="&amp;$A13,'data (1)'!$A:$A,"="&amp;вариация!C$2)</f>
        <v>0</v>
      </c>
      <c r="D13">
        <f>SUMIFS('data (1)'!$M:$M,'data (1)'!$J:$J,"="&amp;$A13,'data (1)'!$A:$A,"="&amp;вариация!D$2)</f>
        <v>0</v>
      </c>
      <c r="E13">
        <f>SUMIFS('data (1)'!$M:$M,'data (1)'!$J:$J,"="&amp;$A13,'data (1)'!$A:$A,"="&amp;вариация!E$2)</f>
        <v>1</v>
      </c>
      <c r="F13">
        <f>SUMIFS('data (1)'!$M:$M,'data (1)'!$J:$J,"="&amp;$A13,'data (1)'!$A:$A,"="&amp;вариация!F$2)</f>
        <v>0</v>
      </c>
      <c r="G13">
        <f>SUMIFS('data (1)'!$M:$M,'data (1)'!$J:$J,"="&amp;$A13,'data (1)'!$A:$A,"="&amp;вариация!G$2)</f>
        <v>0</v>
      </c>
      <c r="H13" t="str">
        <f t="shared" si="1"/>
        <v>No</v>
      </c>
    </row>
    <row r="14" spans="1:10" x14ac:dyDescent="0.25">
      <c r="A14" s="7" t="s">
        <v>86</v>
      </c>
      <c r="B14" s="25">
        <f t="shared" si="0"/>
        <v>1.3693063937629151</v>
      </c>
      <c r="C14">
        <f>SUMIFS('data (1)'!$M:$M,'data (1)'!$J:$J,"="&amp;$A14,'data (1)'!$A:$A,"="&amp;вариация!C$2)</f>
        <v>1</v>
      </c>
      <c r="D14">
        <f>SUMIFS('data (1)'!$M:$M,'data (1)'!$J:$J,"="&amp;$A14,'data (1)'!$A:$A,"="&amp;вариация!D$2)</f>
        <v>1</v>
      </c>
      <c r="E14">
        <f>SUMIFS('data (1)'!$M:$M,'data (1)'!$J:$J,"="&amp;$A14,'data (1)'!$A:$A,"="&amp;вариация!E$2)</f>
        <v>0</v>
      </c>
      <c r="F14">
        <f>SUMIFS('data (1)'!$M:$M,'data (1)'!$J:$J,"="&amp;$A14,'data (1)'!$A:$A,"="&amp;вариация!F$2)</f>
        <v>0</v>
      </c>
      <c r="G14">
        <f>SUMIFS('data (1)'!$M:$M,'data (1)'!$J:$J,"="&amp;$A14,'data (1)'!$A:$A,"="&amp;вариация!G$2)</f>
        <v>0</v>
      </c>
      <c r="H14" t="str">
        <f t="shared" si="1"/>
        <v>No</v>
      </c>
    </row>
    <row r="15" spans="1:10" x14ac:dyDescent="0.25">
      <c r="A15" s="7" t="s">
        <v>847</v>
      </c>
      <c r="B15" s="25">
        <f t="shared" si="0"/>
        <v>2.2360679774997894</v>
      </c>
      <c r="C15">
        <f>SUMIFS('data (1)'!$M:$M,'data (1)'!$J:$J,"="&amp;$A15,'data (1)'!$A:$A,"="&amp;вариация!C$2)</f>
        <v>0</v>
      </c>
      <c r="D15">
        <f>SUMIFS('data (1)'!$M:$M,'data (1)'!$J:$J,"="&amp;$A15,'data (1)'!$A:$A,"="&amp;вариация!D$2)</f>
        <v>0</v>
      </c>
      <c r="E15">
        <f>SUMIFS('data (1)'!$M:$M,'data (1)'!$J:$J,"="&amp;$A15,'data (1)'!$A:$A,"="&amp;вариация!E$2)</f>
        <v>2</v>
      </c>
      <c r="F15">
        <f>SUMIFS('data (1)'!$M:$M,'data (1)'!$J:$J,"="&amp;$A15,'data (1)'!$A:$A,"="&amp;вариация!F$2)</f>
        <v>0</v>
      </c>
      <c r="G15">
        <f>SUMIFS('data (1)'!$M:$M,'data (1)'!$J:$J,"="&amp;$A15,'data (1)'!$A:$A,"="&amp;вариация!G$2)</f>
        <v>0</v>
      </c>
      <c r="H15" t="str">
        <f t="shared" si="1"/>
        <v>No</v>
      </c>
    </row>
    <row r="16" spans="1:10" x14ac:dyDescent="0.25">
      <c r="A16" s="7" t="s">
        <v>904</v>
      </c>
      <c r="B16" s="25">
        <f t="shared" si="0"/>
        <v>2.2360679774997894</v>
      </c>
      <c r="C16">
        <f>SUMIFS('data (1)'!$M:$M,'data (1)'!$J:$J,"="&amp;$A16,'data (1)'!$A:$A,"="&amp;вариация!C$2)</f>
        <v>0</v>
      </c>
      <c r="D16">
        <f>SUMIFS('data (1)'!$M:$M,'data (1)'!$J:$J,"="&amp;$A16,'data (1)'!$A:$A,"="&amp;вариация!D$2)</f>
        <v>0</v>
      </c>
      <c r="E16">
        <f>SUMIFS('data (1)'!$M:$M,'data (1)'!$J:$J,"="&amp;$A16,'data (1)'!$A:$A,"="&amp;вариация!E$2)</f>
        <v>1</v>
      </c>
      <c r="F16">
        <f>SUMIFS('data (1)'!$M:$M,'data (1)'!$J:$J,"="&amp;$A16,'data (1)'!$A:$A,"="&amp;вариация!F$2)</f>
        <v>0</v>
      </c>
      <c r="G16">
        <f>SUMIFS('data (1)'!$M:$M,'data (1)'!$J:$J,"="&amp;$A16,'data (1)'!$A:$A,"="&amp;вариация!G$2)</f>
        <v>0</v>
      </c>
      <c r="H16" t="str">
        <f t="shared" si="1"/>
        <v>No</v>
      </c>
    </row>
    <row r="17" spans="1:8" x14ac:dyDescent="0.25">
      <c r="A17" s="7" t="s">
        <v>1002</v>
      </c>
      <c r="B17" s="25">
        <f t="shared" si="0"/>
        <v>2.2360679774997894</v>
      </c>
      <c r="C17">
        <f>SUMIFS('data (1)'!$M:$M,'data (1)'!$J:$J,"="&amp;$A17,'data (1)'!$A:$A,"="&amp;вариация!C$2)</f>
        <v>0</v>
      </c>
      <c r="D17">
        <f>SUMIFS('data (1)'!$M:$M,'data (1)'!$J:$J,"="&amp;$A17,'data (1)'!$A:$A,"="&amp;вариация!D$2)</f>
        <v>0</v>
      </c>
      <c r="E17">
        <f>SUMIFS('data (1)'!$M:$M,'data (1)'!$J:$J,"="&amp;$A17,'data (1)'!$A:$A,"="&amp;вариация!E$2)</f>
        <v>0</v>
      </c>
      <c r="F17">
        <f>SUMIFS('data (1)'!$M:$M,'data (1)'!$J:$J,"="&amp;$A17,'data (1)'!$A:$A,"="&amp;вариация!F$2)</f>
        <v>1</v>
      </c>
      <c r="G17">
        <f>SUMIFS('data (1)'!$M:$M,'data (1)'!$J:$J,"="&amp;$A17,'data (1)'!$A:$A,"="&amp;вариация!G$2)</f>
        <v>0</v>
      </c>
      <c r="H17" t="str">
        <f t="shared" si="1"/>
        <v>No</v>
      </c>
    </row>
    <row r="18" spans="1:8" x14ac:dyDescent="0.25">
      <c r="A18" s="7" t="s">
        <v>1127</v>
      </c>
      <c r="B18" s="25">
        <f t="shared" si="0"/>
        <v>2.2360679774997894</v>
      </c>
      <c r="C18">
        <f>SUMIFS('data (1)'!$M:$M,'data (1)'!$J:$J,"="&amp;$A18,'data (1)'!$A:$A,"="&amp;вариация!C$2)</f>
        <v>0</v>
      </c>
      <c r="D18">
        <f>SUMIFS('data (1)'!$M:$M,'data (1)'!$J:$J,"="&amp;$A18,'data (1)'!$A:$A,"="&amp;вариация!D$2)</f>
        <v>0</v>
      </c>
      <c r="E18">
        <f>SUMIFS('data (1)'!$M:$M,'data (1)'!$J:$J,"="&amp;$A18,'data (1)'!$A:$A,"="&amp;вариация!E$2)</f>
        <v>0</v>
      </c>
      <c r="F18">
        <f>SUMIFS('data (1)'!$M:$M,'data (1)'!$J:$J,"="&amp;$A18,'data (1)'!$A:$A,"="&amp;вариация!F$2)</f>
        <v>0</v>
      </c>
      <c r="G18">
        <f>SUMIFS('data (1)'!$M:$M,'data (1)'!$J:$J,"="&amp;$A18,'data (1)'!$A:$A,"="&amp;вариация!G$2)</f>
        <v>1</v>
      </c>
      <c r="H18" t="str">
        <f t="shared" si="1"/>
        <v>No</v>
      </c>
    </row>
    <row r="19" spans="1:8" x14ac:dyDescent="0.25">
      <c r="A19" s="7" t="s">
        <v>1199</v>
      </c>
      <c r="B19" s="25">
        <f t="shared" si="0"/>
        <v>2.2360679774997894</v>
      </c>
      <c r="C19">
        <f>SUMIFS('data (1)'!$M:$M,'data (1)'!$J:$J,"="&amp;$A19,'data (1)'!$A:$A,"="&amp;вариация!C$2)</f>
        <v>0</v>
      </c>
      <c r="D19">
        <f>SUMIFS('data (1)'!$M:$M,'data (1)'!$J:$J,"="&amp;$A19,'data (1)'!$A:$A,"="&amp;вариация!D$2)</f>
        <v>0</v>
      </c>
      <c r="E19">
        <f>SUMIFS('data (1)'!$M:$M,'data (1)'!$J:$J,"="&amp;$A19,'data (1)'!$A:$A,"="&amp;вариация!E$2)</f>
        <v>0</v>
      </c>
      <c r="F19">
        <f>SUMIFS('data (1)'!$M:$M,'data (1)'!$J:$J,"="&amp;$A19,'data (1)'!$A:$A,"="&amp;вариация!F$2)</f>
        <v>0</v>
      </c>
      <c r="G19">
        <f>SUMIFS('data (1)'!$M:$M,'data (1)'!$J:$J,"="&amp;$A19,'data (1)'!$A:$A,"="&amp;вариация!G$2)</f>
        <v>1</v>
      </c>
      <c r="H19" t="str">
        <f t="shared" si="1"/>
        <v>No</v>
      </c>
    </row>
    <row r="20" spans="1:8" x14ac:dyDescent="0.25">
      <c r="A20" s="7" t="s">
        <v>556</v>
      </c>
      <c r="B20" s="25">
        <f t="shared" si="0"/>
        <v>2.2360679774997894</v>
      </c>
      <c r="C20">
        <f>SUMIFS('data (1)'!$M:$M,'data (1)'!$J:$J,"="&amp;$A20,'data (1)'!$A:$A,"="&amp;вариация!C$2)</f>
        <v>0</v>
      </c>
      <c r="D20">
        <f>SUMIFS('data (1)'!$M:$M,'data (1)'!$J:$J,"="&amp;$A20,'data (1)'!$A:$A,"="&amp;вариация!D$2)</f>
        <v>1</v>
      </c>
      <c r="E20">
        <f>SUMIFS('data (1)'!$M:$M,'data (1)'!$J:$J,"="&amp;$A20,'data (1)'!$A:$A,"="&amp;вариация!E$2)</f>
        <v>0</v>
      </c>
      <c r="F20">
        <f>SUMIFS('data (1)'!$M:$M,'data (1)'!$J:$J,"="&amp;$A20,'data (1)'!$A:$A,"="&amp;вариация!F$2)</f>
        <v>0</v>
      </c>
      <c r="G20">
        <f>SUMIFS('data (1)'!$M:$M,'data (1)'!$J:$J,"="&amp;$A20,'data (1)'!$A:$A,"="&amp;вариация!G$2)</f>
        <v>0</v>
      </c>
      <c r="H20" t="str">
        <f t="shared" si="1"/>
        <v>No</v>
      </c>
    </row>
    <row r="21" spans="1:8" x14ac:dyDescent="0.25">
      <c r="A21" s="7" t="s">
        <v>868</v>
      </c>
      <c r="B21" s="25">
        <f t="shared" si="0"/>
        <v>2.2360679774997894</v>
      </c>
      <c r="C21">
        <f>SUMIFS('data (1)'!$M:$M,'data (1)'!$J:$J,"="&amp;$A21,'data (1)'!$A:$A,"="&amp;вариация!C$2)</f>
        <v>0</v>
      </c>
      <c r="D21">
        <f>SUMIFS('data (1)'!$M:$M,'data (1)'!$J:$J,"="&amp;$A21,'data (1)'!$A:$A,"="&amp;вариация!D$2)</f>
        <v>0</v>
      </c>
      <c r="E21">
        <f>SUMIFS('data (1)'!$M:$M,'data (1)'!$J:$J,"="&amp;$A21,'data (1)'!$A:$A,"="&amp;вариация!E$2)</f>
        <v>0.5</v>
      </c>
      <c r="F21">
        <f>SUMIFS('data (1)'!$M:$M,'data (1)'!$J:$J,"="&amp;$A21,'data (1)'!$A:$A,"="&amp;вариация!F$2)</f>
        <v>0</v>
      </c>
      <c r="G21">
        <f>SUMIFS('data (1)'!$M:$M,'data (1)'!$J:$J,"="&amp;$A21,'data (1)'!$A:$A,"="&amp;вариация!G$2)</f>
        <v>0</v>
      </c>
      <c r="H21" t="str">
        <f t="shared" si="1"/>
        <v>No</v>
      </c>
    </row>
    <row r="22" spans="1:8" x14ac:dyDescent="0.25">
      <c r="A22" s="7" t="s">
        <v>498</v>
      </c>
      <c r="B22" s="25">
        <f t="shared" si="0"/>
        <v>2.2360679774997894</v>
      </c>
      <c r="C22">
        <f>SUMIFS('data (1)'!$M:$M,'data (1)'!$J:$J,"="&amp;$A22,'data (1)'!$A:$A,"="&amp;вариация!C$2)</f>
        <v>0</v>
      </c>
      <c r="D22">
        <f>SUMIFS('data (1)'!$M:$M,'data (1)'!$J:$J,"="&amp;$A22,'data (1)'!$A:$A,"="&amp;вариация!D$2)</f>
        <v>1</v>
      </c>
      <c r="E22">
        <f>SUMIFS('data (1)'!$M:$M,'data (1)'!$J:$J,"="&amp;$A22,'data (1)'!$A:$A,"="&amp;вариация!E$2)</f>
        <v>0</v>
      </c>
      <c r="F22">
        <f>SUMIFS('data (1)'!$M:$M,'data (1)'!$J:$J,"="&amp;$A22,'data (1)'!$A:$A,"="&amp;вариация!F$2)</f>
        <v>0</v>
      </c>
      <c r="G22">
        <f>SUMIFS('data (1)'!$M:$M,'data (1)'!$J:$J,"="&amp;$A22,'data (1)'!$A:$A,"="&amp;вариация!G$2)</f>
        <v>0</v>
      </c>
      <c r="H22" t="str">
        <f t="shared" si="1"/>
        <v>No</v>
      </c>
    </row>
    <row r="23" spans="1:8" x14ac:dyDescent="0.25">
      <c r="A23" s="7" t="s">
        <v>867</v>
      </c>
      <c r="B23" s="25">
        <f t="shared" si="0"/>
        <v>2.2360679774997894</v>
      </c>
      <c r="C23">
        <f>SUMIFS('data (1)'!$M:$M,'data (1)'!$J:$J,"="&amp;$A23,'data (1)'!$A:$A,"="&amp;вариация!C$2)</f>
        <v>0</v>
      </c>
      <c r="D23">
        <f>SUMIFS('data (1)'!$M:$M,'data (1)'!$J:$J,"="&amp;$A23,'data (1)'!$A:$A,"="&amp;вариация!D$2)</f>
        <v>0</v>
      </c>
      <c r="E23">
        <f>SUMIFS('data (1)'!$M:$M,'data (1)'!$J:$J,"="&amp;$A23,'data (1)'!$A:$A,"="&amp;вариация!E$2)</f>
        <v>1</v>
      </c>
      <c r="F23">
        <f>SUMIFS('data (1)'!$M:$M,'data (1)'!$J:$J,"="&amp;$A23,'data (1)'!$A:$A,"="&amp;вариация!F$2)</f>
        <v>0</v>
      </c>
      <c r="G23">
        <f>SUMIFS('data (1)'!$M:$M,'data (1)'!$J:$J,"="&amp;$A23,'data (1)'!$A:$A,"="&amp;вариация!G$2)</f>
        <v>0</v>
      </c>
      <c r="H23" t="str">
        <f t="shared" si="1"/>
        <v>No</v>
      </c>
    </row>
    <row r="24" spans="1:8" x14ac:dyDescent="0.25">
      <c r="A24" s="7" t="s">
        <v>1079</v>
      </c>
      <c r="B24" s="25">
        <f t="shared" si="0"/>
        <v>2.2360679774997894</v>
      </c>
      <c r="C24">
        <f>SUMIFS('data (1)'!$M:$M,'data (1)'!$J:$J,"="&amp;$A24,'data (1)'!$A:$A,"="&amp;вариация!C$2)</f>
        <v>0</v>
      </c>
      <c r="D24">
        <f>SUMIFS('data (1)'!$M:$M,'data (1)'!$J:$J,"="&amp;$A24,'data (1)'!$A:$A,"="&amp;вариация!D$2)</f>
        <v>0</v>
      </c>
      <c r="E24">
        <f>SUMIFS('data (1)'!$M:$M,'data (1)'!$J:$J,"="&amp;$A24,'data (1)'!$A:$A,"="&amp;вариация!E$2)</f>
        <v>0</v>
      </c>
      <c r="F24">
        <f>SUMIFS('data (1)'!$M:$M,'data (1)'!$J:$J,"="&amp;$A24,'data (1)'!$A:$A,"="&amp;вариация!F$2)</f>
        <v>0</v>
      </c>
      <c r="G24">
        <f>SUMIFS('data (1)'!$M:$M,'data (1)'!$J:$J,"="&amp;$A24,'data (1)'!$A:$A,"="&amp;вариация!G$2)</f>
        <v>1</v>
      </c>
      <c r="H24" t="str">
        <f t="shared" si="1"/>
        <v>No</v>
      </c>
    </row>
    <row r="25" spans="1:8" x14ac:dyDescent="0.25">
      <c r="A25" s="7" t="s">
        <v>1182</v>
      </c>
      <c r="B25" s="25">
        <f t="shared" si="0"/>
        <v>2.2360679774997898</v>
      </c>
      <c r="C25">
        <f>SUMIFS('data (1)'!$M:$M,'data (1)'!$J:$J,"="&amp;$A25,'data (1)'!$A:$A,"="&amp;вариация!C$2)</f>
        <v>0</v>
      </c>
      <c r="D25">
        <f>SUMIFS('data (1)'!$M:$M,'data (1)'!$J:$J,"="&amp;$A25,'data (1)'!$A:$A,"="&amp;вариация!D$2)</f>
        <v>0</v>
      </c>
      <c r="E25">
        <f>SUMIFS('data (1)'!$M:$M,'data (1)'!$J:$J,"="&amp;$A25,'data (1)'!$A:$A,"="&amp;вариация!E$2)</f>
        <v>0</v>
      </c>
      <c r="F25">
        <f>SUMIFS('data (1)'!$M:$M,'data (1)'!$J:$J,"="&amp;$A25,'data (1)'!$A:$A,"="&amp;вариация!F$2)</f>
        <v>0</v>
      </c>
      <c r="G25">
        <f>SUMIFS('data (1)'!$M:$M,'data (1)'!$J:$J,"="&amp;$A25,'data (1)'!$A:$A,"="&amp;вариация!G$2)</f>
        <v>0.2</v>
      </c>
      <c r="H25" t="str">
        <f t="shared" si="1"/>
        <v>No</v>
      </c>
    </row>
    <row r="26" spans="1:8" x14ac:dyDescent="0.25">
      <c r="A26" s="7" t="s">
        <v>964</v>
      </c>
      <c r="B26" s="25">
        <f t="shared" si="0"/>
        <v>2.2360679774997894</v>
      </c>
      <c r="C26">
        <f>SUMIFS('data (1)'!$M:$M,'data (1)'!$J:$J,"="&amp;$A26,'data (1)'!$A:$A,"="&amp;вариация!C$2)</f>
        <v>0</v>
      </c>
      <c r="D26">
        <f>SUMIFS('data (1)'!$M:$M,'data (1)'!$J:$J,"="&amp;$A26,'data (1)'!$A:$A,"="&amp;вариация!D$2)</f>
        <v>0</v>
      </c>
      <c r="E26">
        <f>SUMIFS('data (1)'!$M:$M,'data (1)'!$J:$J,"="&amp;$A26,'data (1)'!$A:$A,"="&amp;вариация!E$2)</f>
        <v>0</v>
      </c>
      <c r="F26">
        <f>SUMIFS('data (1)'!$M:$M,'data (1)'!$J:$J,"="&amp;$A26,'data (1)'!$A:$A,"="&amp;вариация!F$2)</f>
        <v>1</v>
      </c>
      <c r="G26">
        <f>SUMIFS('data (1)'!$M:$M,'data (1)'!$J:$J,"="&amp;$A26,'data (1)'!$A:$A,"="&amp;вариация!G$2)</f>
        <v>0</v>
      </c>
      <c r="H26" t="str">
        <f t="shared" si="1"/>
        <v>No</v>
      </c>
    </row>
    <row r="27" spans="1:8" x14ac:dyDescent="0.25">
      <c r="A27" s="7" t="s">
        <v>864</v>
      </c>
      <c r="B27" s="25">
        <f t="shared" si="0"/>
        <v>2.2360679774997894</v>
      </c>
      <c r="C27">
        <f>SUMIFS('data (1)'!$M:$M,'data (1)'!$J:$J,"="&amp;$A27,'data (1)'!$A:$A,"="&amp;вариация!C$2)</f>
        <v>0</v>
      </c>
      <c r="D27">
        <f>SUMIFS('data (1)'!$M:$M,'data (1)'!$J:$J,"="&amp;$A27,'data (1)'!$A:$A,"="&amp;вариация!D$2)</f>
        <v>0</v>
      </c>
      <c r="E27">
        <f>SUMIFS('data (1)'!$M:$M,'data (1)'!$J:$J,"="&amp;$A27,'data (1)'!$A:$A,"="&amp;вариация!E$2)</f>
        <v>1</v>
      </c>
      <c r="F27">
        <f>SUMIFS('data (1)'!$M:$M,'data (1)'!$J:$J,"="&amp;$A27,'data (1)'!$A:$A,"="&amp;вариация!F$2)</f>
        <v>0</v>
      </c>
      <c r="G27">
        <f>SUMIFS('data (1)'!$M:$M,'data (1)'!$J:$J,"="&amp;$A27,'data (1)'!$A:$A,"="&amp;вариация!G$2)</f>
        <v>0</v>
      </c>
      <c r="H27" t="str">
        <f t="shared" si="1"/>
        <v>No</v>
      </c>
    </row>
    <row r="28" spans="1:8" x14ac:dyDescent="0.25">
      <c r="A28" s="7" t="s">
        <v>897</v>
      </c>
      <c r="B28" s="25">
        <f t="shared" si="0"/>
        <v>2.2360679774997894</v>
      </c>
      <c r="C28">
        <f>SUMIFS('data (1)'!$M:$M,'data (1)'!$J:$J,"="&amp;$A28,'data (1)'!$A:$A,"="&amp;вариация!C$2)</f>
        <v>0</v>
      </c>
      <c r="D28">
        <f>SUMIFS('data (1)'!$M:$M,'data (1)'!$J:$J,"="&amp;$A28,'data (1)'!$A:$A,"="&amp;вариация!D$2)</f>
        <v>0</v>
      </c>
      <c r="E28">
        <f>SUMIFS('data (1)'!$M:$M,'data (1)'!$J:$J,"="&amp;$A28,'data (1)'!$A:$A,"="&amp;вариация!E$2)</f>
        <v>1</v>
      </c>
      <c r="F28">
        <f>SUMIFS('data (1)'!$M:$M,'data (1)'!$J:$J,"="&amp;$A28,'data (1)'!$A:$A,"="&amp;вариация!F$2)</f>
        <v>0</v>
      </c>
      <c r="G28">
        <f>SUMIFS('data (1)'!$M:$M,'data (1)'!$J:$J,"="&amp;$A28,'data (1)'!$A:$A,"="&amp;вариация!G$2)</f>
        <v>0</v>
      </c>
      <c r="H28" t="str">
        <f t="shared" si="1"/>
        <v>No</v>
      </c>
    </row>
    <row r="29" spans="1:8" x14ac:dyDescent="0.25">
      <c r="A29" s="7" t="s">
        <v>544</v>
      </c>
      <c r="B29" s="25">
        <f t="shared" si="0"/>
        <v>2.2360679774997894</v>
      </c>
      <c r="C29">
        <f>SUMIFS('data (1)'!$M:$M,'data (1)'!$J:$J,"="&amp;$A29,'data (1)'!$A:$A,"="&amp;вариация!C$2)</f>
        <v>0</v>
      </c>
      <c r="D29">
        <f>SUMIFS('data (1)'!$M:$M,'data (1)'!$J:$J,"="&amp;$A29,'data (1)'!$A:$A,"="&amp;вариация!D$2)</f>
        <v>1</v>
      </c>
      <c r="E29">
        <f>SUMIFS('data (1)'!$M:$M,'data (1)'!$J:$J,"="&amp;$A29,'data (1)'!$A:$A,"="&amp;вариация!E$2)</f>
        <v>0</v>
      </c>
      <c r="F29">
        <f>SUMIFS('data (1)'!$M:$M,'data (1)'!$J:$J,"="&amp;$A29,'data (1)'!$A:$A,"="&amp;вариация!F$2)</f>
        <v>0</v>
      </c>
      <c r="G29">
        <f>SUMIFS('data (1)'!$M:$M,'data (1)'!$J:$J,"="&amp;$A29,'data (1)'!$A:$A,"="&amp;вариация!G$2)</f>
        <v>0</v>
      </c>
      <c r="H29" t="str">
        <f t="shared" si="1"/>
        <v>No</v>
      </c>
    </row>
    <row r="30" spans="1:8" x14ac:dyDescent="0.25">
      <c r="A30" s="7" t="s">
        <v>905</v>
      </c>
      <c r="B30" s="25">
        <f t="shared" si="0"/>
        <v>2.2360679774997894</v>
      </c>
      <c r="C30">
        <f>SUMIFS('data (1)'!$M:$M,'data (1)'!$J:$J,"="&amp;$A30,'data (1)'!$A:$A,"="&amp;вариация!C$2)</f>
        <v>0</v>
      </c>
      <c r="D30">
        <f>SUMIFS('data (1)'!$M:$M,'data (1)'!$J:$J,"="&amp;$A30,'data (1)'!$A:$A,"="&amp;вариация!D$2)</f>
        <v>0</v>
      </c>
      <c r="E30">
        <f>SUMIFS('data (1)'!$M:$M,'data (1)'!$J:$J,"="&amp;$A30,'data (1)'!$A:$A,"="&amp;вариация!E$2)</f>
        <v>1</v>
      </c>
      <c r="F30">
        <f>SUMIFS('data (1)'!$M:$M,'data (1)'!$J:$J,"="&amp;$A30,'data (1)'!$A:$A,"="&amp;вариация!F$2)</f>
        <v>0</v>
      </c>
      <c r="G30">
        <f>SUMIFS('data (1)'!$M:$M,'data (1)'!$J:$J,"="&amp;$A30,'data (1)'!$A:$A,"="&amp;вариация!G$2)</f>
        <v>0</v>
      </c>
      <c r="H30" t="str">
        <f t="shared" si="1"/>
        <v>No</v>
      </c>
    </row>
    <row r="31" spans="1:8" x14ac:dyDescent="0.25">
      <c r="A31" s="7" t="s">
        <v>481</v>
      </c>
      <c r="B31" s="25">
        <f t="shared" si="0"/>
        <v>2.2360679774997894</v>
      </c>
      <c r="C31">
        <f>SUMIFS('data (1)'!$M:$M,'data (1)'!$J:$J,"="&amp;$A31,'data (1)'!$A:$A,"="&amp;вариация!C$2)</f>
        <v>0</v>
      </c>
      <c r="D31">
        <f>SUMIFS('data (1)'!$M:$M,'data (1)'!$J:$J,"="&amp;$A31,'data (1)'!$A:$A,"="&amp;вариация!D$2)</f>
        <v>1</v>
      </c>
      <c r="E31">
        <f>SUMIFS('data (1)'!$M:$M,'data (1)'!$J:$J,"="&amp;$A31,'data (1)'!$A:$A,"="&amp;вариация!E$2)</f>
        <v>0</v>
      </c>
      <c r="F31">
        <f>SUMIFS('data (1)'!$M:$M,'data (1)'!$J:$J,"="&amp;$A31,'data (1)'!$A:$A,"="&amp;вариация!F$2)</f>
        <v>0</v>
      </c>
      <c r="G31">
        <f>SUMIFS('data (1)'!$M:$M,'data (1)'!$J:$J,"="&amp;$A31,'data (1)'!$A:$A,"="&amp;вариация!G$2)</f>
        <v>0</v>
      </c>
      <c r="H31" t="str">
        <f t="shared" si="1"/>
        <v>No</v>
      </c>
    </row>
    <row r="32" spans="1:8" x14ac:dyDescent="0.25">
      <c r="A32" s="7" t="s">
        <v>532</v>
      </c>
      <c r="B32" s="25">
        <f t="shared" si="0"/>
        <v>2.2360679774997894</v>
      </c>
      <c r="C32">
        <f>SUMIFS('data (1)'!$M:$M,'data (1)'!$J:$J,"="&amp;$A32,'data (1)'!$A:$A,"="&amp;вариация!C$2)</f>
        <v>0</v>
      </c>
      <c r="D32">
        <f>SUMIFS('data (1)'!$M:$M,'data (1)'!$J:$J,"="&amp;$A32,'data (1)'!$A:$A,"="&amp;вариация!D$2)</f>
        <v>1</v>
      </c>
      <c r="E32">
        <f>SUMIFS('data (1)'!$M:$M,'data (1)'!$J:$J,"="&amp;$A32,'data (1)'!$A:$A,"="&amp;вариация!E$2)</f>
        <v>0</v>
      </c>
      <c r="F32">
        <f>SUMIFS('data (1)'!$M:$M,'data (1)'!$J:$J,"="&amp;$A32,'data (1)'!$A:$A,"="&amp;вариация!F$2)</f>
        <v>0</v>
      </c>
      <c r="G32">
        <f>SUMIFS('data (1)'!$M:$M,'data (1)'!$J:$J,"="&amp;$A32,'data (1)'!$A:$A,"="&amp;вариация!G$2)</f>
        <v>0</v>
      </c>
      <c r="H32" t="str">
        <f t="shared" si="1"/>
        <v>No</v>
      </c>
    </row>
    <row r="33" spans="1:8" x14ac:dyDescent="0.25">
      <c r="A33" s="7" t="s">
        <v>1206</v>
      </c>
      <c r="B33" s="25">
        <f t="shared" si="0"/>
        <v>2.2360679774997894</v>
      </c>
      <c r="C33">
        <f>SUMIFS('data (1)'!$M:$M,'data (1)'!$J:$J,"="&amp;$A33,'data (1)'!$A:$A,"="&amp;вариация!C$2)</f>
        <v>0</v>
      </c>
      <c r="D33">
        <f>SUMIFS('data (1)'!$M:$M,'data (1)'!$J:$J,"="&amp;$A33,'data (1)'!$A:$A,"="&amp;вариация!D$2)</f>
        <v>0</v>
      </c>
      <c r="E33">
        <f>SUMIFS('data (1)'!$M:$M,'data (1)'!$J:$J,"="&amp;$A33,'data (1)'!$A:$A,"="&amp;вариация!E$2)</f>
        <v>0</v>
      </c>
      <c r="F33">
        <f>SUMIFS('data (1)'!$M:$M,'data (1)'!$J:$J,"="&amp;$A33,'data (1)'!$A:$A,"="&amp;вариация!F$2)</f>
        <v>0</v>
      </c>
      <c r="G33">
        <f>SUMIFS('data (1)'!$M:$M,'data (1)'!$J:$J,"="&amp;$A33,'data (1)'!$A:$A,"="&amp;вариация!G$2)</f>
        <v>1</v>
      </c>
      <c r="H33" t="str">
        <f t="shared" si="1"/>
        <v>No</v>
      </c>
    </row>
    <row r="34" spans="1:8" x14ac:dyDescent="0.25">
      <c r="A34" s="7" t="s">
        <v>678</v>
      </c>
      <c r="B34" s="25">
        <f t="shared" si="0"/>
        <v>2.2360679774997894</v>
      </c>
      <c r="C34">
        <f>SUMIFS('data (1)'!$M:$M,'data (1)'!$J:$J,"="&amp;$A34,'data (1)'!$A:$A,"="&amp;вариация!C$2)</f>
        <v>0</v>
      </c>
      <c r="D34">
        <f>SUMIFS('data (1)'!$M:$M,'data (1)'!$J:$J,"="&amp;$A34,'data (1)'!$A:$A,"="&amp;вариация!D$2)</f>
        <v>1</v>
      </c>
      <c r="E34">
        <f>SUMIFS('data (1)'!$M:$M,'data (1)'!$J:$J,"="&amp;$A34,'data (1)'!$A:$A,"="&amp;вариация!E$2)</f>
        <v>0</v>
      </c>
      <c r="F34">
        <f>SUMIFS('data (1)'!$M:$M,'data (1)'!$J:$J,"="&amp;$A34,'data (1)'!$A:$A,"="&amp;вариация!F$2)</f>
        <v>0</v>
      </c>
      <c r="G34">
        <f>SUMIFS('data (1)'!$M:$M,'data (1)'!$J:$J,"="&amp;$A34,'data (1)'!$A:$A,"="&amp;вариация!G$2)</f>
        <v>0</v>
      </c>
      <c r="H34" t="str">
        <f t="shared" si="1"/>
        <v>No</v>
      </c>
    </row>
    <row r="35" spans="1:8" x14ac:dyDescent="0.25">
      <c r="A35" s="7" t="s">
        <v>987</v>
      </c>
      <c r="B35" s="25">
        <f t="shared" si="0"/>
        <v>2.2360679774997894</v>
      </c>
      <c r="C35">
        <f>SUMIFS('data (1)'!$M:$M,'data (1)'!$J:$J,"="&amp;$A35,'data (1)'!$A:$A,"="&amp;вариация!C$2)</f>
        <v>0</v>
      </c>
      <c r="D35">
        <f>SUMIFS('data (1)'!$M:$M,'data (1)'!$J:$J,"="&amp;$A35,'data (1)'!$A:$A,"="&amp;вариация!D$2)</f>
        <v>0</v>
      </c>
      <c r="E35">
        <f>SUMIFS('data (1)'!$M:$M,'data (1)'!$J:$J,"="&amp;$A35,'data (1)'!$A:$A,"="&amp;вариация!E$2)</f>
        <v>0</v>
      </c>
      <c r="F35">
        <f>SUMIFS('data (1)'!$M:$M,'data (1)'!$J:$J,"="&amp;$A35,'data (1)'!$A:$A,"="&amp;вариация!F$2)</f>
        <v>1</v>
      </c>
      <c r="G35">
        <f>SUMIFS('data (1)'!$M:$M,'data (1)'!$J:$J,"="&amp;$A35,'data (1)'!$A:$A,"="&amp;вариация!G$2)</f>
        <v>0</v>
      </c>
      <c r="H35" t="str">
        <f t="shared" si="1"/>
        <v>No</v>
      </c>
    </row>
    <row r="36" spans="1:8" x14ac:dyDescent="0.25">
      <c r="A36" s="7" t="s">
        <v>621</v>
      </c>
      <c r="B36" s="25">
        <f t="shared" si="0"/>
        <v>2.2360679774997894</v>
      </c>
      <c r="C36">
        <f>SUMIFS('data (1)'!$M:$M,'data (1)'!$J:$J,"="&amp;$A36,'data (1)'!$A:$A,"="&amp;вариация!C$2)</f>
        <v>0</v>
      </c>
      <c r="D36">
        <f>SUMIFS('data (1)'!$M:$M,'data (1)'!$J:$J,"="&amp;$A36,'data (1)'!$A:$A,"="&amp;вариация!D$2)</f>
        <v>1</v>
      </c>
      <c r="E36">
        <f>SUMIFS('data (1)'!$M:$M,'data (1)'!$J:$J,"="&amp;$A36,'data (1)'!$A:$A,"="&amp;вариация!E$2)</f>
        <v>0</v>
      </c>
      <c r="F36">
        <f>SUMIFS('data (1)'!$M:$M,'data (1)'!$J:$J,"="&amp;$A36,'data (1)'!$A:$A,"="&amp;вариация!F$2)</f>
        <v>0</v>
      </c>
      <c r="G36">
        <f>SUMIFS('data (1)'!$M:$M,'data (1)'!$J:$J,"="&amp;$A36,'data (1)'!$A:$A,"="&amp;вариация!G$2)</f>
        <v>0</v>
      </c>
      <c r="H36" t="str">
        <f t="shared" si="1"/>
        <v>No</v>
      </c>
    </row>
    <row r="37" spans="1:8" x14ac:dyDescent="0.25">
      <c r="A37" s="7" t="s">
        <v>913</v>
      </c>
      <c r="B37" s="25">
        <f t="shared" si="0"/>
        <v>2.2360679774997894</v>
      </c>
      <c r="C37">
        <f>SUMIFS('data (1)'!$M:$M,'data (1)'!$J:$J,"="&amp;$A37,'data (1)'!$A:$A,"="&amp;вариация!C$2)</f>
        <v>0</v>
      </c>
      <c r="D37">
        <f>SUMIFS('data (1)'!$M:$M,'data (1)'!$J:$J,"="&amp;$A37,'data (1)'!$A:$A,"="&amp;вариация!D$2)</f>
        <v>0</v>
      </c>
      <c r="E37">
        <f>SUMIFS('data (1)'!$M:$M,'data (1)'!$J:$J,"="&amp;$A37,'data (1)'!$A:$A,"="&amp;вариация!E$2)</f>
        <v>1</v>
      </c>
      <c r="F37">
        <f>SUMIFS('data (1)'!$M:$M,'data (1)'!$J:$J,"="&amp;$A37,'data (1)'!$A:$A,"="&amp;вариация!F$2)</f>
        <v>0</v>
      </c>
      <c r="G37">
        <f>SUMIFS('data (1)'!$M:$M,'data (1)'!$J:$J,"="&amp;$A37,'data (1)'!$A:$A,"="&amp;вариация!G$2)</f>
        <v>0</v>
      </c>
      <c r="H37" t="str">
        <f t="shared" si="1"/>
        <v>No</v>
      </c>
    </row>
    <row r="38" spans="1:8" x14ac:dyDescent="0.25">
      <c r="A38" s="7" t="s">
        <v>958</v>
      </c>
      <c r="B38" s="25">
        <f t="shared" si="0"/>
        <v>2.2360679774997894</v>
      </c>
      <c r="C38">
        <f>SUMIFS('data (1)'!$M:$M,'data (1)'!$J:$J,"="&amp;$A38,'data (1)'!$A:$A,"="&amp;вариация!C$2)</f>
        <v>0</v>
      </c>
      <c r="D38">
        <f>SUMIFS('data (1)'!$M:$M,'data (1)'!$J:$J,"="&amp;$A38,'data (1)'!$A:$A,"="&amp;вариация!D$2)</f>
        <v>0</v>
      </c>
      <c r="E38">
        <f>SUMIFS('data (1)'!$M:$M,'data (1)'!$J:$J,"="&amp;$A38,'data (1)'!$A:$A,"="&amp;вариация!E$2)</f>
        <v>0</v>
      </c>
      <c r="F38">
        <f>SUMIFS('data (1)'!$M:$M,'data (1)'!$J:$J,"="&amp;$A38,'data (1)'!$A:$A,"="&amp;вариация!F$2)</f>
        <v>1</v>
      </c>
      <c r="G38">
        <f>SUMIFS('data (1)'!$M:$M,'data (1)'!$J:$J,"="&amp;$A38,'data (1)'!$A:$A,"="&amp;вариация!G$2)</f>
        <v>0</v>
      </c>
      <c r="H38" t="str">
        <f t="shared" si="1"/>
        <v>No</v>
      </c>
    </row>
    <row r="39" spans="1:8" x14ac:dyDescent="0.25">
      <c r="A39" s="7" t="s">
        <v>887</v>
      </c>
      <c r="B39" s="25">
        <f t="shared" si="0"/>
        <v>2.2360679774997894</v>
      </c>
      <c r="C39">
        <f>SUMIFS('data (1)'!$M:$M,'data (1)'!$J:$J,"="&amp;$A39,'data (1)'!$A:$A,"="&amp;вариация!C$2)</f>
        <v>0</v>
      </c>
      <c r="D39">
        <f>SUMIFS('data (1)'!$M:$M,'data (1)'!$J:$J,"="&amp;$A39,'data (1)'!$A:$A,"="&amp;вариация!D$2)</f>
        <v>0</v>
      </c>
      <c r="E39">
        <f>SUMIFS('data (1)'!$M:$M,'data (1)'!$J:$J,"="&amp;$A39,'data (1)'!$A:$A,"="&amp;вариация!E$2)</f>
        <v>1</v>
      </c>
      <c r="F39">
        <f>SUMIFS('data (1)'!$M:$M,'data (1)'!$J:$J,"="&amp;$A39,'data (1)'!$A:$A,"="&amp;вариация!F$2)</f>
        <v>0</v>
      </c>
      <c r="G39">
        <f>SUMIFS('data (1)'!$M:$M,'data (1)'!$J:$J,"="&amp;$A39,'data (1)'!$A:$A,"="&amp;вариация!G$2)</f>
        <v>0</v>
      </c>
      <c r="H39" t="str">
        <f t="shared" si="1"/>
        <v>No</v>
      </c>
    </row>
    <row r="40" spans="1:8" x14ac:dyDescent="0.25">
      <c r="A40" s="7" t="s">
        <v>478</v>
      </c>
      <c r="B40" s="25">
        <f t="shared" si="0"/>
        <v>2.2360679774997894</v>
      </c>
      <c r="C40">
        <f>SUMIFS('data (1)'!$M:$M,'data (1)'!$J:$J,"="&amp;$A40,'data (1)'!$A:$A,"="&amp;вариация!C$2)</f>
        <v>0</v>
      </c>
      <c r="D40">
        <f>SUMIFS('data (1)'!$M:$M,'data (1)'!$J:$J,"="&amp;$A40,'data (1)'!$A:$A,"="&amp;вариация!D$2)</f>
        <v>1</v>
      </c>
      <c r="E40">
        <f>SUMIFS('data (1)'!$M:$M,'data (1)'!$J:$J,"="&amp;$A40,'data (1)'!$A:$A,"="&amp;вариация!E$2)</f>
        <v>0</v>
      </c>
      <c r="F40">
        <f>SUMIFS('data (1)'!$M:$M,'data (1)'!$J:$J,"="&amp;$A40,'data (1)'!$A:$A,"="&amp;вариация!F$2)</f>
        <v>0</v>
      </c>
      <c r="G40">
        <f>SUMIFS('data (1)'!$M:$M,'data (1)'!$J:$J,"="&amp;$A40,'data (1)'!$A:$A,"="&amp;вариация!G$2)</f>
        <v>0</v>
      </c>
      <c r="H40" t="str">
        <f t="shared" si="1"/>
        <v>No</v>
      </c>
    </row>
    <row r="41" spans="1:8" x14ac:dyDescent="0.25">
      <c r="A41" s="7" t="s">
        <v>607</v>
      </c>
      <c r="B41" s="25">
        <f t="shared" si="0"/>
        <v>2.2360679774997894</v>
      </c>
      <c r="C41">
        <f>SUMIFS('data (1)'!$M:$M,'data (1)'!$J:$J,"="&amp;$A41,'data (1)'!$A:$A,"="&amp;вариация!C$2)</f>
        <v>0</v>
      </c>
      <c r="D41">
        <f>SUMIFS('data (1)'!$M:$M,'data (1)'!$J:$J,"="&amp;$A41,'data (1)'!$A:$A,"="&amp;вариация!D$2)</f>
        <v>1</v>
      </c>
      <c r="E41">
        <f>SUMIFS('data (1)'!$M:$M,'data (1)'!$J:$J,"="&amp;$A41,'data (1)'!$A:$A,"="&amp;вариация!E$2)</f>
        <v>0</v>
      </c>
      <c r="F41">
        <f>SUMIFS('data (1)'!$M:$M,'data (1)'!$J:$J,"="&amp;$A41,'data (1)'!$A:$A,"="&amp;вариация!F$2)</f>
        <v>0</v>
      </c>
      <c r="G41">
        <f>SUMIFS('data (1)'!$M:$M,'data (1)'!$J:$J,"="&amp;$A41,'data (1)'!$A:$A,"="&amp;вариация!G$2)</f>
        <v>0</v>
      </c>
      <c r="H41" t="str">
        <f t="shared" si="1"/>
        <v>No</v>
      </c>
    </row>
    <row r="42" spans="1:8" x14ac:dyDescent="0.25">
      <c r="A42" s="7" t="s">
        <v>473</v>
      </c>
      <c r="B42" s="25">
        <f t="shared" si="0"/>
        <v>2.2360679774997894</v>
      </c>
      <c r="C42">
        <f>SUMIFS('data (1)'!$M:$M,'data (1)'!$J:$J,"="&amp;$A42,'data (1)'!$A:$A,"="&amp;вариация!C$2)</f>
        <v>1</v>
      </c>
      <c r="D42">
        <f>SUMIFS('data (1)'!$M:$M,'data (1)'!$J:$J,"="&amp;$A42,'data (1)'!$A:$A,"="&amp;вариация!D$2)</f>
        <v>0</v>
      </c>
      <c r="E42">
        <f>SUMIFS('data (1)'!$M:$M,'data (1)'!$J:$J,"="&amp;$A42,'data (1)'!$A:$A,"="&amp;вариация!E$2)</f>
        <v>0</v>
      </c>
      <c r="F42">
        <f>SUMIFS('data (1)'!$M:$M,'data (1)'!$J:$J,"="&amp;$A42,'data (1)'!$A:$A,"="&amp;вариация!F$2)</f>
        <v>0</v>
      </c>
      <c r="G42">
        <f>SUMIFS('data (1)'!$M:$M,'data (1)'!$J:$J,"="&amp;$A42,'data (1)'!$A:$A,"="&amp;вариация!G$2)</f>
        <v>0</v>
      </c>
      <c r="H42" t="str">
        <f t="shared" si="1"/>
        <v>No</v>
      </c>
    </row>
    <row r="43" spans="1:8" x14ac:dyDescent="0.25">
      <c r="A43" s="7" t="s">
        <v>740</v>
      </c>
      <c r="B43" s="25">
        <f t="shared" si="0"/>
        <v>2.2360679774997894</v>
      </c>
      <c r="C43">
        <f>SUMIFS('data (1)'!$M:$M,'data (1)'!$J:$J,"="&amp;$A43,'data (1)'!$A:$A,"="&amp;вариация!C$2)</f>
        <v>0</v>
      </c>
      <c r="D43">
        <f>SUMIFS('data (1)'!$M:$M,'data (1)'!$J:$J,"="&amp;$A43,'data (1)'!$A:$A,"="&amp;вариация!D$2)</f>
        <v>0</v>
      </c>
      <c r="E43">
        <f>SUMIFS('data (1)'!$M:$M,'data (1)'!$J:$J,"="&amp;$A43,'data (1)'!$A:$A,"="&amp;вариация!E$2)</f>
        <v>1</v>
      </c>
      <c r="F43">
        <f>SUMIFS('data (1)'!$M:$M,'data (1)'!$J:$J,"="&amp;$A43,'data (1)'!$A:$A,"="&amp;вариация!F$2)</f>
        <v>0</v>
      </c>
      <c r="G43">
        <f>SUMIFS('data (1)'!$M:$M,'data (1)'!$J:$J,"="&amp;$A43,'data (1)'!$A:$A,"="&amp;вариация!G$2)</f>
        <v>0</v>
      </c>
      <c r="H43" t="str">
        <f t="shared" si="1"/>
        <v>No</v>
      </c>
    </row>
    <row r="44" spans="1:8" x14ac:dyDescent="0.25">
      <c r="A44" s="7" t="s">
        <v>444</v>
      </c>
      <c r="B44" s="25">
        <f t="shared" si="0"/>
        <v>2.2360679774997894</v>
      </c>
      <c r="C44">
        <f>SUMIFS('data (1)'!$M:$M,'data (1)'!$J:$J,"="&amp;$A44,'data (1)'!$A:$A,"="&amp;вариация!C$2)</f>
        <v>1</v>
      </c>
      <c r="D44">
        <f>SUMIFS('data (1)'!$M:$M,'data (1)'!$J:$J,"="&amp;$A44,'data (1)'!$A:$A,"="&amp;вариация!D$2)</f>
        <v>0</v>
      </c>
      <c r="E44">
        <f>SUMIFS('data (1)'!$M:$M,'data (1)'!$J:$J,"="&amp;$A44,'data (1)'!$A:$A,"="&amp;вариация!E$2)</f>
        <v>0</v>
      </c>
      <c r="F44">
        <f>SUMIFS('data (1)'!$M:$M,'data (1)'!$J:$J,"="&amp;$A44,'data (1)'!$A:$A,"="&amp;вариация!F$2)</f>
        <v>0</v>
      </c>
      <c r="G44">
        <f>SUMIFS('data (1)'!$M:$M,'data (1)'!$J:$J,"="&amp;$A44,'data (1)'!$A:$A,"="&amp;вариация!G$2)</f>
        <v>0</v>
      </c>
      <c r="H44" t="str">
        <f t="shared" si="1"/>
        <v>No</v>
      </c>
    </row>
    <row r="45" spans="1:8" x14ac:dyDescent="0.25">
      <c r="A45" s="7" t="s">
        <v>1170</v>
      </c>
      <c r="B45" s="25">
        <f t="shared" si="0"/>
        <v>2.2360679774997894</v>
      </c>
      <c r="C45">
        <f>SUMIFS('data (1)'!$M:$M,'data (1)'!$J:$J,"="&amp;$A45,'data (1)'!$A:$A,"="&amp;вариация!C$2)</f>
        <v>0</v>
      </c>
      <c r="D45">
        <f>SUMIFS('data (1)'!$M:$M,'data (1)'!$J:$J,"="&amp;$A45,'data (1)'!$A:$A,"="&amp;вариация!D$2)</f>
        <v>0</v>
      </c>
      <c r="E45">
        <f>SUMIFS('data (1)'!$M:$M,'data (1)'!$J:$J,"="&amp;$A45,'data (1)'!$A:$A,"="&amp;вариация!E$2)</f>
        <v>0</v>
      </c>
      <c r="F45">
        <f>SUMIFS('data (1)'!$M:$M,'data (1)'!$J:$J,"="&amp;$A45,'data (1)'!$A:$A,"="&amp;вариация!F$2)</f>
        <v>0</v>
      </c>
      <c r="G45">
        <f>SUMIFS('data (1)'!$M:$M,'data (1)'!$J:$J,"="&amp;$A45,'data (1)'!$A:$A,"="&amp;вариация!G$2)</f>
        <v>1</v>
      </c>
      <c r="H45" t="str">
        <f t="shared" si="1"/>
        <v>No</v>
      </c>
    </row>
    <row r="46" spans="1:8" x14ac:dyDescent="0.25">
      <c r="A46" s="7" t="s">
        <v>730</v>
      </c>
      <c r="B46" s="25">
        <f t="shared" si="0"/>
        <v>2.2360679774997894</v>
      </c>
      <c r="C46">
        <f>SUMIFS('data (1)'!$M:$M,'data (1)'!$J:$J,"="&amp;$A46,'data (1)'!$A:$A,"="&amp;вариация!C$2)</f>
        <v>0</v>
      </c>
      <c r="D46">
        <f>SUMIFS('data (1)'!$M:$M,'data (1)'!$J:$J,"="&amp;$A46,'data (1)'!$A:$A,"="&amp;вариация!D$2)</f>
        <v>0</v>
      </c>
      <c r="E46">
        <f>SUMIFS('data (1)'!$M:$M,'data (1)'!$J:$J,"="&amp;$A46,'data (1)'!$A:$A,"="&amp;вариация!E$2)</f>
        <v>1</v>
      </c>
      <c r="F46">
        <f>SUMIFS('data (1)'!$M:$M,'data (1)'!$J:$J,"="&amp;$A46,'data (1)'!$A:$A,"="&amp;вариация!F$2)</f>
        <v>0</v>
      </c>
      <c r="G46">
        <f>SUMIFS('data (1)'!$M:$M,'data (1)'!$J:$J,"="&amp;$A46,'data (1)'!$A:$A,"="&amp;вариация!G$2)</f>
        <v>0</v>
      </c>
      <c r="H46" t="str">
        <f t="shared" si="1"/>
        <v>No</v>
      </c>
    </row>
    <row r="47" spans="1:8" x14ac:dyDescent="0.25">
      <c r="A47" s="7" t="s">
        <v>507</v>
      </c>
      <c r="B47" s="25">
        <f t="shared" si="0"/>
        <v>2.2360679774997894</v>
      </c>
      <c r="C47">
        <f>SUMIFS('data (1)'!$M:$M,'data (1)'!$J:$J,"="&amp;$A47,'data (1)'!$A:$A,"="&amp;вариация!C$2)</f>
        <v>0</v>
      </c>
      <c r="D47">
        <f>SUMIFS('data (1)'!$M:$M,'data (1)'!$J:$J,"="&amp;$A47,'data (1)'!$A:$A,"="&amp;вариация!D$2)</f>
        <v>1</v>
      </c>
      <c r="E47">
        <f>SUMIFS('data (1)'!$M:$M,'data (1)'!$J:$J,"="&amp;$A47,'data (1)'!$A:$A,"="&amp;вариация!E$2)</f>
        <v>0</v>
      </c>
      <c r="F47">
        <f>SUMIFS('data (1)'!$M:$M,'data (1)'!$J:$J,"="&amp;$A47,'data (1)'!$A:$A,"="&amp;вариация!F$2)</f>
        <v>0</v>
      </c>
      <c r="G47">
        <f>SUMIFS('data (1)'!$M:$M,'data (1)'!$J:$J,"="&amp;$A47,'data (1)'!$A:$A,"="&amp;вариация!G$2)</f>
        <v>0</v>
      </c>
      <c r="H47" t="str">
        <f t="shared" si="1"/>
        <v>No</v>
      </c>
    </row>
    <row r="48" spans="1:8" x14ac:dyDescent="0.25">
      <c r="A48" s="7" t="s">
        <v>599</v>
      </c>
      <c r="B48" s="25">
        <f t="shared" si="0"/>
        <v>2.2360679774997894</v>
      </c>
      <c r="C48">
        <f>SUMIFS('data (1)'!$M:$M,'data (1)'!$J:$J,"="&amp;$A48,'data (1)'!$A:$A,"="&amp;вариация!C$2)</f>
        <v>0</v>
      </c>
      <c r="D48">
        <f>SUMIFS('data (1)'!$M:$M,'data (1)'!$J:$J,"="&amp;$A48,'data (1)'!$A:$A,"="&amp;вариация!D$2)</f>
        <v>1</v>
      </c>
      <c r="E48">
        <f>SUMIFS('data (1)'!$M:$M,'data (1)'!$J:$J,"="&amp;$A48,'data (1)'!$A:$A,"="&amp;вариация!E$2)</f>
        <v>0</v>
      </c>
      <c r="F48">
        <f>SUMIFS('data (1)'!$M:$M,'data (1)'!$J:$J,"="&amp;$A48,'data (1)'!$A:$A,"="&amp;вариация!F$2)</f>
        <v>0</v>
      </c>
      <c r="G48">
        <f>SUMIFS('data (1)'!$M:$M,'data (1)'!$J:$J,"="&amp;$A48,'data (1)'!$A:$A,"="&amp;вариация!G$2)</f>
        <v>0</v>
      </c>
      <c r="H48" t="str">
        <f t="shared" si="1"/>
        <v>No</v>
      </c>
    </row>
    <row r="49" spans="1:8" x14ac:dyDescent="0.25">
      <c r="A49" s="7" t="s">
        <v>677</v>
      </c>
      <c r="B49" s="25">
        <f t="shared" si="0"/>
        <v>2.2360679774997894</v>
      </c>
      <c r="C49">
        <f>SUMIFS('data (1)'!$M:$M,'data (1)'!$J:$J,"="&amp;$A49,'data (1)'!$A:$A,"="&amp;вариация!C$2)</f>
        <v>0</v>
      </c>
      <c r="D49">
        <f>SUMIFS('data (1)'!$M:$M,'data (1)'!$J:$J,"="&amp;$A49,'data (1)'!$A:$A,"="&amp;вариация!D$2)</f>
        <v>1</v>
      </c>
      <c r="E49">
        <f>SUMIFS('data (1)'!$M:$M,'data (1)'!$J:$J,"="&amp;$A49,'data (1)'!$A:$A,"="&amp;вариация!E$2)</f>
        <v>0</v>
      </c>
      <c r="F49">
        <f>SUMIFS('data (1)'!$M:$M,'data (1)'!$J:$J,"="&amp;$A49,'data (1)'!$A:$A,"="&amp;вариация!F$2)</f>
        <v>0</v>
      </c>
      <c r="G49">
        <f>SUMIFS('data (1)'!$M:$M,'data (1)'!$J:$J,"="&amp;$A49,'data (1)'!$A:$A,"="&amp;вариация!G$2)</f>
        <v>0</v>
      </c>
      <c r="H49" t="str">
        <f t="shared" si="1"/>
        <v>No</v>
      </c>
    </row>
    <row r="50" spans="1:8" x14ac:dyDescent="0.25">
      <c r="A50" s="7" t="s">
        <v>610</v>
      </c>
      <c r="B50" s="25">
        <f t="shared" si="0"/>
        <v>1.4907119849998598</v>
      </c>
      <c r="C50">
        <f>SUMIFS('data (1)'!$M:$M,'data (1)'!$J:$J,"="&amp;$A50,'data (1)'!$A:$A,"="&amp;вариация!C$2)</f>
        <v>0</v>
      </c>
      <c r="D50">
        <f>SUMIFS('data (1)'!$M:$M,'data (1)'!$J:$J,"="&amp;$A50,'data (1)'!$A:$A,"="&amp;вариация!D$2)</f>
        <v>1</v>
      </c>
      <c r="E50">
        <f>SUMIFS('data (1)'!$M:$M,'data (1)'!$J:$J,"="&amp;$A50,'data (1)'!$A:$A,"="&amp;вариация!E$2)</f>
        <v>0</v>
      </c>
      <c r="F50">
        <f>SUMIFS('data (1)'!$M:$M,'data (1)'!$J:$J,"="&amp;$A50,'data (1)'!$A:$A,"="&amp;вариация!F$2)</f>
        <v>2</v>
      </c>
      <c r="G50">
        <f>SUMIFS('data (1)'!$M:$M,'data (1)'!$J:$J,"="&amp;$A50,'data (1)'!$A:$A,"="&amp;вариация!G$2)</f>
        <v>0</v>
      </c>
      <c r="H50" t="str">
        <f t="shared" si="1"/>
        <v>No</v>
      </c>
    </row>
    <row r="51" spans="1:8" x14ac:dyDescent="0.25">
      <c r="A51" s="7" t="s">
        <v>689</v>
      </c>
      <c r="B51" s="25">
        <f t="shared" si="0"/>
        <v>2.2360679774997894</v>
      </c>
      <c r="C51">
        <f>SUMIFS('data (1)'!$M:$M,'data (1)'!$J:$J,"="&amp;$A51,'data (1)'!$A:$A,"="&amp;вариация!C$2)</f>
        <v>0</v>
      </c>
      <c r="D51">
        <f>SUMIFS('data (1)'!$M:$M,'data (1)'!$J:$J,"="&amp;$A51,'data (1)'!$A:$A,"="&amp;вариация!D$2)</f>
        <v>2</v>
      </c>
      <c r="E51">
        <f>SUMIFS('data (1)'!$M:$M,'data (1)'!$J:$J,"="&amp;$A51,'data (1)'!$A:$A,"="&amp;вариация!E$2)</f>
        <v>0</v>
      </c>
      <c r="F51">
        <f>SUMIFS('data (1)'!$M:$M,'data (1)'!$J:$J,"="&amp;$A51,'data (1)'!$A:$A,"="&amp;вариация!F$2)</f>
        <v>0</v>
      </c>
      <c r="G51">
        <f>SUMIFS('data (1)'!$M:$M,'data (1)'!$J:$J,"="&amp;$A51,'data (1)'!$A:$A,"="&amp;вариация!G$2)</f>
        <v>0</v>
      </c>
      <c r="H51" t="str">
        <f t="shared" si="1"/>
        <v>No</v>
      </c>
    </row>
    <row r="52" spans="1:8" x14ac:dyDescent="0.25">
      <c r="A52" s="7" t="s">
        <v>941</v>
      </c>
      <c r="B52" s="25">
        <f t="shared" si="0"/>
        <v>2.2360679774997894</v>
      </c>
      <c r="C52">
        <f>SUMIFS('data (1)'!$M:$M,'data (1)'!$J:$J,"="&amp;$A52,'data (1)'!$A:$A,"="&amp;вариация!C$2)</f>
        <v>0</v>
      </c>
      <c r="D52">
        <f>SUMIFS('data (1)'!$M:$M,'data (1)'!$J:$J,"="&amp;$A52,'data (1)'!$A:$A,"="&amp;вариация!D$2)</f>
        <v>0</v>
      </c>
      <c r="E52">
        <f>SUMIFS('data (1)'!$M:$M,'data (1)'!$J:$J,"="&amp;$A52,'data (1)'!$A:$A,"="&amp;вариация!E$2)</f>
        <v>0</v>
      </c>
      <c r="F52">
        <f>SUMIFS('data (1)'!$M:$M,'data (1)'!$J:$J,"="&amp;$A52,'data (1)'!$A:$A,"="&amp;вариация!F$2)</f>
        <v>1</v>
      </c>
      <c r="G52">
        <f>SUMIFS('data (1)'!$M:$M,'data (1)'!$J:$J,"="&amp;$A52,'data (1)'!$A:$A,"="&amp;вариация!G$2)</f>
        <v>0</v>
      </c>
      <c r="H52" t="str">
        <f t="shared" si="1"/>
        <v>No</v>
      </c>
    </row>
    <row r="53" spans="1:8" x14ac:dyDescent="0.25">
      <c r="A53" s="7" t="s">
        <v>257</v>
      </c>
      <c r="B53" s="25">
        <f t="shared" si="0"/>
        <v>2.2360679774997898</v>
      </c>
      <c r="C53">
        <f>SUMIFS('data (1)'!$M:$M,'data (1)'!$J:$J,"="&amp;$A53,'data (1)'!$A:$A,"="&amp;вариация!C$2)</f>
        <v>3</v>
      </c>
      <c r="D53">
        <f>SUMIFS('data (1)'!$M:$M,'data (1)'!$J:$J,"="&amp;$A53,'data (1)'!$A:$A,"="&amp;вариация!D$2)</f>
        <v>0</v>
      </c>
      <c r="E53">
        <f>SUMIFS('data (1)'!$M:$M,'data (1)'!$J:$J,"="&amp;$A53,'data (1)'!$A:$A,"="&amp;вариация!E$2)</f>
        <v>0</v>
      </c>
      <c r="F53">
        <f>SUMIFS('data (1)'!$M:$M,'data (1)'!$J:$J,"="&amp;$A53,'data (1)'!$A:$A,"="&amp;вариация!F$2)</f>
        <v>0</v>
      </c>
      <c r="G53">
        <f>SUMIFS('data (1)'!$M:$M,'data (1)'!$J:$J,"="&amp;$A53,'data (1)'!$A:$A,"="&amp;вариация!G$2)</f>
        <v>0</v>
      </c>
      <c r="H53" t="str">
        <f t="shared" si="1"/>
        <v>No</v>
      </c>
    </row>
    <row r="54" spans="1:8" x14ac:dyDescent="0.25">
      <c r="A54" s="7" t="s">
        <v>422</v>
      </c>
      <c r="B54" s="25">
        <f t="shared" si="0"/>
        <v>2.2360679774997894</v>
      </c>
      <c r="C54">
        <f>SUMIFS('data (1)'!$M:$M,'data (1)'!$J:$J,"="&amp;$A54,'data (1)'!$A:$A,"="&amp;вариация!C$2)</f>
        <v>1</v>
      </c>
      <c r="D54">
        <f>SUMIFS('data (1)'!$M:$M,'data (1)'!$J:$J,"="&amp;$A54,'data (1)'!$A:$A,"="&amp;вариация!D$2)</f>
        <v>0</v>
      </c>
      <c r="E54">
        <f>SUMIFS('data (1)'!$M:$M,'data (1)'!$J:$J,"="&amp;$A54,'data (1)'!$A:$A,"="&amp;вариация!E$2)</f>
        <v>0</v>
      </c>
      <c r="F54">
        <f>SUMIFS('data (1)'!$M:$M,'data (1)'!$J:$J,"="&amp;$A54,'data (1)'!$A:$A,"="&amp;вариация!F$2)</f>
        <v>0</v>
      </c>
      <c r="G54">
        <f>SUMIFS('data (1)'!$M:$M,'data (1)'!$J:$J,"="&amp;$A54,'data (1)'!$A:$A,"="&amp;вариация!G$2)</f>
        <v>0</v>
      </c>
      <c r="H54" t="str">
        <f t="shared" si="1"/>
        <v>No</v>
      </c>
    </row>
    <row r="55" spans="1:8" x14ac:dyDescent="0.25">
      <c r="A55" s="7" t="s">
        <v>372</v>
      </c>
      <c r="B55" s="25">
        <f t="shared" si="0"/>
        <v>2.2360679774997894</v>
      </c>
      <c r="C55">
        <f>SUMIFS('data (1)'!$M:$M,'data (1)'!$J:$J,"="&amp;$A55,'data (1)'!$A:$A,"="&amp;вариация!C$2)</f>
        <v>1</v>
      </c>
      <c r="D55">
        <f>SUMIFS('data (1)'!$M:$M,'data (1)'!$J:$J,"="&amp;$A55,'data (1)'!$A:$A,"="&amp;вариация!D$2)</f>
        <v>0</v>
      </c>
      <c r="E55">
        <f>SUMIFS('data (1)'!$M:$M,'data (1)'!$J:$J,"="&amp;$A55,'data (1)'!$A:$A,"="&amp;вариация!E$2)</f>
        <v>0</v>
      </c>
      <c r="F55">
        <f>SUMIFS('data (1)'!$M:$M,'data (1)'!$J:$J,"="&amp;$A55,'data (1)'!$A:$A,"="&amp;вариация!F$2)</f>
        <v>0</v>
      </c>
      <c r="G55">
        <f>SUMIFS('data (1)'!$M:$M,'data (1)'!$J:$J,"="&amp;$A55,'data (1)'!$A:$A,"="&amp;вариация!G$2)</f>
        <v>0</v>
      </c>
      <c r="H55" t="str">
        <f t="shared" si="1"/>
        <v>No</v>
      </c>
    </row>
    <row r="56" spans="1:8" x14ac:dyDescent="0.25">
      <c r="A56" s="7" t="s">
        <v>516</v>
      </c>
      <c r="B56" s="25">
        <f t="shared" si="0"/>
        <v>2.2360679774997894</v>
      </c>
      <c r="C56">
        <f>SUMIFS('data (1)'!$M:$M,'data (1)'!$J:$J,"="&amp;$A56,'data (1)'!$A:$A,"="&amp;вариация!C$2)</f>
        <v>0</v>
      </c>
      <c r="D56">
        <f>SUMIFS('data (1)'!$M:$M,'data (1)'!$J:$J,"="&amp;$A56,'data (1)'!$A:$A,"="&amp;вариация!D$2)</f>
        <v>1</v>
      </c>
      <c r="E56">
        <f>SUMIFS('data (1)'!$M:$M,'data (1)'!$J:$J,"="&amp;$A56,'data (1)'!$A:$A,"="&amp;вариация!E$2)</f>
        <v>0</v>
      </c>
      <c r="F56">
        <f>SUMIFS('data (1)'!$M:$M,'data (1)'!$J:$J,"="&amp;$A56,'data (1)'!$A:$A,"="&amp;вариация!F$2)</f>
        <v>0</v>
      </c>
      <c r="G56">
        <f>SUMIFS('data (1)'!$M:$M,'data (1)'!$J:$J,"="&amp;$A56,'data (1)'!$A:$A,"="&amp;вариация!G$2)</f>
        <v>0</v>
      </c>
      <c r="H56" t="str">
        <f t="shared" si="1"/>
        <v>No</v>
      </c>
    </row>
    <row r="57" spans="1:8" x14ac:dyDescent="0.25">
      <c r="A57" s="7" t="s">
        <v>459</v>
      </c>
      <c r="B57" s="25">
        <f t="shared" si="0"/>
        <v>2.2360679774997894</v>
      </c>
      <c r="C57">
        <f>SUMIFS('data (1)'!$M:$M,'data (1)'!$J:$J,"="&amp;$A57,'data (1)'!$A:$A,"="&amp;вариация!C$2)</f>
        <v>1</v>
      </c>
      <c r="D57">
        <f>SUMIFS('data (1)'!$M:$M,'data (1)'!$J:$J,"="&amp;$A57,'data (1)'!$A:$A,"="&amp;вариация!D$2)</f>
        <v>0</v>
      </c>
      <c r="E57">
        <f>SUMIFS('data (1)'!$M:$M,'data (1)'!$J:$J,"="&amp;$A57,'data (1)'!$A:$A,"="&amp;вариация!E$2)</f>
        <v>0</v>
      </c>
      <c r="F57">
        <f>SUMIFS('data (1)'!$M:$M,'data (1)'!$J:$J,"="&amp;$A57,'data (1)'!$A:$A,"="&amp;вариация!F$2)</f>
        <v>0</v>
      </c>
      <c r="G57">
        <f>SUMIFS('data (1)'!$M:$M,'data (1)'!$J:$J,"="&amp;$A57,'data (1)'!$A:$A,"="&amp;вариация!G$2)</f>
        <v>0</v>
      </c>
      <c r="H57" t="str">
        <f t="shared" si="1"/>
        <v>No</v>
      </c>
    </row>
    <row r="58" spans="1:8" x14ac:dyDescent="0.25">
      <c r="A58" s="7" t="s">
        <v>835</v>
      </c>
      <c r="B58" s="25">
        <f t="shared" si="0"/>
        <v>2.2360679774997894</v>
      </c>
      <c r="C58">
        <f>SUMIFS('data (1)'!$M:$M,'data (1)'!$J:$J,"="&amp;$A58,'data (1)'!$A:$A,"="&amp;вариация!C$2)</f>
        <v>0</v>
      </c>
      <c r="D58">
        <f>SUMIFS('data (1)'!$M:$M,'data (1)'!$J:$J,"="&amp;$A58,'data (1)'!$A:$A,"="&amp;вариация!D$2)</f>
        <v>0</v>
      </c>
      <c r="E58">
        <f>SUMIFS('data (1)'!$M:$M,'data (1)'!$J:$J,"="&amp;$A58,'data (1)'!$A:$A,"="&amp;вариация!E$2)</f>
        <v>1</v>
      </c>
      <c r="F58">
        <f>SUMIFS('data (1)'!$M:$M,'data (1)'!$J:$J,"="&amp;$A58,'data (1)'!$A:$A,"="&amp;вариация!F$2)</f>
        <v>0</v>
      </c>
      <c r="G58">
        <f>SUMIFS('data (1)'!$M:$M,'data (1)'!$J:$J,"="&amp;$A58,'data (1)'!$A:$A,"="&amp;вариация!G$2)</f>
        <v>0</v>
      </c>
      <c r="H58" t="str">
        <f t="shared" si="1"/>
        <v>No</v>
      </c>
    </row>
    <row r="59" spans="1:8" x14ac:dyDescent="0.25">
      <c r="A59" s="7" t="s">
        <v>548</v>
      </c>
      <c r="B59" s="25">
        <f t="shared" si="0"/>
        <v>2.2360679774997894</v>
      </c>
      <c r="C59">
        <f>SUMIFS('data (1)'!$M:$M,'data (1)'!$J:$J,"="&amp;$A59,'data (1)'!$A:$A,"="&amp;вариация!C$2)</f>
        <v>0</v>
      </c>
      <c r="D59">
        <f>SUMIFS('data (1)'!$M:$M,'data (1)'!$J:$J,"="&amp;$A59,'data (1)'!$A:$A,"="&amp;вариация!D$2)</f>
        <v>1</v>
      </c>
      <c r="E59">
        <f>SUMIFS('data (1)'!$M:$M,'data (1)'!$J:$J,"="&amp;$A59,'data (1)'!$A:$A,"="&amp;вариация!E$2)</f>
        <v>0</v>
      </c>
      <c r="F59">
        <f>SUMIFS('data (1)'!$M:$M,'data (1)'!$J:$J,"="&amp;$A59,'data (1)'!$A:$A,"="&amp;вариация!F$2)</f>
        <v>0</v>
      </c>
      <c r="G59">
        <f>SUMIFS('data (1)'!$M:$M,'data (1)'!$J:$J,"="&amp;$A59,'data (1)'!$A:$A,"="&amp;вариация!G$2)</f>
        <v>0</v>
      </c>
      <c r="H59" t="str">
        <f t="shared" si="1"/>
        <v>No</v>
      </c>
    </row>
    <row r="60" spans="1:8" x14ac:dyDescent="0.25">
      <c r="A60" s="7" t="s">
        <v>527</v>
      </c>
      <c r="B60" s="25">
        <f t="shared" si="0"/>
        <v>2.2360679774997894</v>
      </c>
      <c r="C60">
        <f>SUMIFS('data (1)'!$M:$M,'data (1)'!$J:$J,"="&amp;$A60,'data (1)'!$A:$A,"="&amp;вариация!C$2)</f>
        <v>0</v>
      </c>
      <c r="D60">
        <f>SUMIFS('data (1)'!$M:$M,'data (1)'!$J:$J,"="&amp;$A60,'data (1)'!$A:$A,"="&amp;вариация!D$2)</f>
        <v>1</v>
      </c>
      <c r="E60">
        <f>SUMIFS('data (1)'!$M:$M,'data (1)'!$J:$J,"="&amp;$A60,'data (1)'!$A:$A,"="&amp;вариация!E$2)</f>
        <v>0</v>
      </c>
      <c r="F60">
        <f>SUMIFS('data (1)'!$M:$M,'data (1)'!$J:$J,"="&amp;$A60,'data (1)'!$A:$A,"="&amp;вариация!F$2)</f>
        <v>0</v>
      </c>
      <c r="G60">
        <f>SUMIFS('data (1)'!$M:$M,'data (1)'!$J:$J,"="&amp;$A60,'data (1)'!$A:$A,"="&amp;вариация!G$2)</f>
        <v>0</v>
      </c>
      <c r="H60" t="str">
        <f t="shared" si="1"/>
        <v>No</v>
      </c>
    </row>
    <row r="61" spans="1:8" x14ac:dyDescent="0.25">
      <c r="A61" s="7" t="s">
        <v>31</v>
      </c>
      <c r="B61" s="25">
        <f t="shared" si="0"/>
        <v>1.0458250331675945</v>
      </c>
      <c r="C61">
        <f>SUMIFS('data (1)'!$M:$M,'data (1)'!$J:$J,"="&amp;$A61,'data (1)'!$A:$A,"="&amp;вариация!C$2)</f>
        <v>1</v>
      </c>
      <c r="D61">
        <f>SUMIFS('data (1)'!$M:$M,'data (1)'!$J:$J,"="&amp;$A61,'data (1)'!$A:$A,"="&amp;вариация!D$2)</f>
        <v>2</v>
      </c>
      <c r="E61">
        <f>SUMIFS('data (1)'!$M:$M,'data (1)'!$J:$J,"="&amp;$A61,'data (1)'!$A:$A,"="&amp;вариация!E$2)</f>
        <v>0</v>
      </c>
      <c r="F61">
        <f>SUMIFS('data (1)'!$M:$M,'data (1)'!$J:$J,"="&amp;$A61,'data (1)'!$A:$A,"="&amp;вариация!F$2)</f>
        <v>0</v>
      </c>
      <c r="G61">
        <f>SUMIFS('data (1)'!$M:$M,'data (1)'!$J:$J,"="&amp;$A61,'data (1)'!$A:$A,"="&amp;вариация!G$2)</f>
        <v>1</v>
      </c>
      <c r="H61" t="str">
        <f t="shared" si="1"/>
        <v>Yes</v>
      </c>
    </row>
    <row r="62" spans="1:8" x14ac:dyDescent="0.25">
      <c r="A62" s="7" t="s">
        <v>170</v>
      </c>
      <c r="B62" s="25">
        <f t="shared" si="0"/>
        <v>2.2360679774997894</v>
      </c>
      <c r="C62">
        <f>SUMIFS('data (1)'!$M:$M,'data (1)'!$J:$J,"="&amp;$A62,'data (1)'!$A:$A,"="&amp;вариация!C$2)</f>
        <v>1</v>
      </c>
      <c r="D62">
        <f>SUMIFS('data (1)'!$M:$M,'data (1)'!$J:$J,"="&amp;$A62,'data (1)'!$A:$A,"="&amp;вариация!D$2)</f>
        <v>0</v>
      </c>
      <c r="E62">
        <f>SUMIFS('data (1)'!$M:$M,'data (1)'!$J:$J,"="&amp;$A62,'data (1)'!$A:$A,"="&amp;вариация!E$2)</f>
        <v>0</v>
      </c>
      <c r="F62">
        <f>SUMIFS('data (1)'!$M:$M,'data (1)'!$J:$J,"="&amp;$A62,'data (1)'!$A:$A,"="&amp;вариация!F$2)</f>
        <v>0</v>
      </c>
      <c r="G62">
        <f>SUMIFS('data (1)'!$M:$M,'data (1)'!$J:$J,"="&amp;$A62,'data (1)'!$A:$A,"="&amp;вариация!G$2)</f>
        <v>0</v>
      </c>
      <c r="H62" t="str">
        <f t="shared" si="1"/>
        <v>No</v>
      </c>
    </row>
    <row r="63" spans="1:8" x14ac:dyDescent="0.25">
      <c r="A63" s="7" t="s">
        <v>770</v>
      </c>
      <c r="B63" s="25">
        <f t="shared" si="0"/>
        <v>2.2360679774997894</v>
      </c>
      <c r="C63">
        <f>SUMIFS('data (1)'!$M:$M,'data (1)'!$J:$J,"="&amp;$A63,'data (1)'!$A:$A,"="&amp;вариация!C$2)</f>
        <v>0</v>
      </c>
      <c r="D63">
        <f>SUMIFS('data (1)'!$M:$M,'data (1)'!$J:$J,"="&amp;$A63,'data (1)'!$A:$A,"="&amp;вариация!D$2)</f>
        <v>0</v>
      </c>
      <c r="E63">
        <f>SUMIFS('data (1)'!$M:$M,'data (1)'!$J:$J,"="&amp;$A63,'data (1)'!$A:$A,"="&amp;вариация!E$2)</f>
        <v>1</v>
      </c>
      <c r="F63">
        <f>SUMIFS('data (1)'!$M:$M,'data (1)'!$J:$J,"="&amp;$A63,'data (1)'!$A:$A,"="&amp;вариация!F$2)</f>
        <v>0</v>
      </c>
      <c r="G63">
        <f>SUMIFS('data (1)'!$M:$M,'data (1)'!$J:$J,"="&amp;$A63,'data (1)'!$A:$A,"="&amp;вариация!G$2)</f>
        <v>0</v>
      </c>
      <c r="H63" t="str">
        <f t="shared" si="1"/>
        <v>No</v>
      </c>
    </row>
    <row r="64" spans="1:8" x14ac:dyDescent="0.25">
      <c r="A64" s="7" t="s">
        <v>287</v>
      </c>
      <c r="B64" s="25">
        <f t="shared" si="0"/>
        <v>2.2360679774997894</v>
      </c>
      <c r="C64">
        <f>SUMIFS('data (1)'!$M:$M,'data (1)'!$J:$J,"="&amp;$A64,'data (1)'!$A:$A,"="&amp;вариация!C$2)</f>
        <v>1</v>
      </c>
      <c r="D64">
        <f>SUMIFS('data (1)'!$M:$M,'data (1)'!$J:$J,"="&amp;$A64,'data (1)'!$A:$A,"="&amp;вариация!D$2)</f>
        <v>0</v>
      </c>
      <c r="E64">
        <f>SUMIFS('data (1)'!$M:$M,'data (1)'!$J:$J,"="&amp;$A64,'data (1)'!$A:$A,"="&amp;вариация!E$2)</f>
        <v>0</v>
      </c>
      <c r="F64">
        <f>SUMIFS('data (1)'!$M:$M,'data (1)'!$J:$J,"="&amp;$A64,'data (1)'!$A:$A,"="&amp;вариация!F$2)</f>
        <v>0</v>
      </c>
      <c r="G64">
        <f>SUMIFS('data (1)'!$M:$M,'data (1)'!$J:$J,"="&amp;$A64,'data (1)'!$A:$A,"="&amp;вариация!G$2)</f>
        <v>0</v>
      </c>
      <c r="H64" t="str">
        <f t="shared" si="1"/>
        <v>No</v>
      </c>
    </row>
    <row r="65" spans="1:8" x14ac:dyDescent="0.25">
      <c r="A65" s="7" t="s">
        <v>119</v>
      </c>
      <c r="B65" s="25">
        <f t="shared" si="0"/>
        <v>1.2960275845829823</v>
      </c>
      <c r="C65">
        <f>SUMIFS('data (1)'!$M:$M,'data (1)'!$J:$J,"="&amp;$A65,'data (1)'!$A:$A,"="&amp;вариация!C$2)</f>
        <v>2</v>
      </c>
      <c r="D65">
        <f>SUMIFS('data (1)'!$M:$M,'data (1)'!$J:$J,"="&amp;$A65,'data (1)'!$A:$A,"="&amp;вариация!D$2)</f>
        <v>0</v>
      </c>
      <c r="E65">
        <f>SUMIFS('data (1)'!$M:$M,'data (1)'!$J:$J,"="&amp;$A65,'data (1)'!$A:$A,"="&amp;вариация!E$2)</f>
        <v>5</v>
      </c>
      <c r="F65">
        <f>SUMIFS('data (1)'!$M:$M,'data (1)'!$J:$J,"="&amp;$A65,'data (1)'!$A:$A,"="&amp;вариация!F$2)</f>
        <v>1</v>
      </c>
      <c r="G65">
        <f>SUMIFS('data (1)'!$M:$M,'data (1)'!$J:$J,"="&amp;$A65,'data (1)'!$A:$A,"="&amp;вариация!G$2)</f>
        <v>0</v>
      </c>
      <c r="H65" t="str">
        <f t="shared" si="1"/>
        <v>Yes</v>
      </c>
    </row>
    <row r="66" spans="1:8" x14ac:dyDescent="0.25">
      <c r="A66" s="7" t="s">
        <v>358</v>
      </c>
      <c r="B66" s="25">
        <f t="shared" si="0"/>
        <v>0.37267799624996489</v>
      </c>
      <c r="C66">
        <f>SUMIFS('data (1)'!$M:$M,'data (1)'!$J:$J,"="&amp;$A66,'data (1)'!$A:$A,"="&amp;вариация!C$2)</f>
        <v>1</v>
      </c>
      <c r="D66">
        <f>SUMIFS('data (1)'!$M:$M,'data (1)'!$J:$J,"="&amp;$A66,'data (1)'!$A:$A,"="&amp;вариация!D$2)</f>
        <v>1</v>
      </c>
      <c r="E66">
        <f>SUMIFS('data (1)'!$M:$M,'data (1)'!$J:$J,"="&amp;$A66,'data (1)'!$A:$A,"="&amp;вариация!E$2)</f>
        <v>1</v>
      </c>
      <c r="F66">
        <f>SUMIFS('data (1)'!$M:$M,'data (1)'!$J:$J,"="&amp;$A66,'data (1)'!$A:$A,"="&amp;вариация!F$2)</f>
        <v>2</v>
      </c>
      <c r="G66">
        <f>SUMIFS('data (1)'!$M:$M,'data (1)'!$J:$J,"="&amp;$A66,'data (1)'!$A:$A,"="&amp;вариация!G$2)</f>
        <v>1</v>
      </c>
      <c r="H66" t="str">
        <f t="shared" si="1"/>
        <v>Yes</v>
      </c>
    </row>
    <row r="67" spans="1:8" x14ac:dyDescent="0.25">
      <c r="A67" s="7" t="s">
        <v>986</v>
      </c>
      <c r="B67" s="25">
        <f t="shared" si="0"/>
        <v>1.6298006013006621</v>
      </c>
      <c r="C67">
        <f>SUMIFS('data (1)'!$M:$M,'data (1)'!$J:$J,"="&amp;$A67,'data (1)'!$A:$A,"="&amp;вариация!C$2)</f>
        <v>0</v>
      </c>
      <c r="D67">
        <f>SUMIFS('data (1)'!$M:$M,'data (1)'!$J:$J,"="&amp;$A67,'data (1)'!$A:$A,"="&amp;вариация!D$2)</f>
        <v>0</v>
      </c>
      <c r="E67">
        <f>SUMIFS('data (1)'!$M:$M,'data (1)'!$J:$J,"="&amp;$A67,'data (1)'!$A:$A,"="&amp;вариация!E$2)</f>
        <v>0</v>
      </c>
      <c r="F67">
        <f>SUMIFS('data (1)'!$M:$M,'data (1)'!$J:$J,"="&amp;$A67,'data (1)'!$A:$A,"="&amp;вариация!F$2)</f>
        <v>3</v>
      </c>
      <c r="G67">
        <f>SUMIFS('data (1)'!$M:$M,'data (1)'!$J:$J,"="&amp;$A67,'data (1)'!$A:$A,"="&amp;вариация!G$2)</f>
        <v>1</v>
      </c>
      <c r="H67" t="str">
        <f t="shared" si="1"/>
        <v>No</v>
      </c>
    </row>
    <row r="68" spans="1:8" x14ac:dyDescent="0.25">
      <c r="A68" s="7" t="s">
        <v>310</v>
      </c>
      <c r="B68" s="25">
        <f t="shared" ref="B68:B131" si="2">_xlfn.STDEV.S(C68:G68)/AVERAGE(C68:G68)</f>
        <v>2.2360679774997894</v>
      </c>
      <c r="C68">
        <f>SUMIFS('data (1)'!$M:$M,'data (1)'!$J:$J,"="&amp;$A68,'data (1)'!$A:$A,"="&amp;вариация!C$2)</f>
        <v>2</v>
      </c>
      <c r="D68">
        <f>SUMIFS('data (1)'!$M:$M,'data (1)'!$J:$J,"="&amp;$A68,'data (1)'!$A:$A,"="&amp;вариация!D$2)</f>
        <v>0</v>
      </c>
      <c r="E68">
        <f>SUMIFS('data (1)'!$M:$M,'data (1)'!$J:$J,"="&amp;$A68,'data (1)'!$A:$A,"="&amp;вариация!E$2)</f>
        <v>0</v>
      </c>
      <c r="F68">
        <f>SUMIFS('data (1)'!$M:$M,'data (1)'!$J:$J,"="&amp;$A68,'data (1)'!$A:$A,"="&amp;вариация!F$2)</f>
        <v>0</v>
      </c>
      <c r="G68">
        <f>SUMIFS('data (1)'!$M:$M,'data (1)'!$J:$J,"="&amp;$A68,'data (1)'!$A:$A,"="&amp;вариация!G$2)</f>
        <v>0</v>
      </c>
      <c r="H68" t="str">
        <f t="shared" ref="H68:H131" si="3">IF(COUNTIF(C68:G68,"&gt;0") &gt;=3, "Yes", "No")</f>
        <v>No</v>
      </c>
    </row>
    <row r="69" spans="1:8" x14ac:dyDescent="0.25">
      <c r="A69" s="7" t="s">
        <v>1150</v>
      </c>
      <c r="B69" s="25">
        <f t="shared" si="2"/>
        <v>2.2360679774997894</v>
      </c>
      <c r="C69">
        <f>SUMIFS('data (1)'!$M:$M,'data (1)'!$J:$J,"="&amp;$A69,'data (1)'!$A:$A,"="&amp;вариация!C$2)</f>
        <v>0</v>
      </c>
      <c r="D69">
        <f>SUMIFS('data (1)'!$M:$M,'data (1)'!$J:$J,"="&amp;$A69,'data (1)'!$A:$A,"="&amp;вариация!D$2)</f>
        <v>0</v>
      </c>
      <c r="E69">
        <f>SUMIFS('data (1)'!$M:$M,'data (1)'!$J:$J,"="&amp;$A69,'data (1)'!$A:$A,"="&amp;вариация!E$2)</f>
        <v>0</v>
      </c>
      <c r="F69">
        <f>SUMIFS('data (1)'!$M:$M,'data (1)'!$J:$J,"="&amp;$A69,'data (1)'!$A:$A,"="&amp;вариация!F$2)</f>
        <v>0</v>
      </c>
      <c r="G69">
        <f>SUMIFS('data (1)'!$M:$M,'data (1)'!$J:$J,"="&amp;$A69,'data (1)'!$A:$A,"="&amp;вариация!G$2)</f>
        <v>1</v>
      </c>
      <c r="H69" t="str">
        <f t="shared" si="3"/>
        <v>No</v>
      </c>
    </row>
    <row r="70" spans="1:8" x14ac:dyDescent="0.25">
      <c r="A70" s="7" t="s">
        <v>834</v>
      </c>
      <c r="B70" s="25">
        <f t="shared" si="2"/>
        <v>1.0458250331675945</v>
      </c>
      <c r="C70">
        <f>SUMIFS('data (1)'!$M:$M,'data (1)'!$J:$J,"="&amp;$A70,'data (1)'!$A:$A,"="&amp;вариация!C$2)</f>
        <v>0</v>
      </c>
      <c r="D70">
        <f>SUMIFS('data (1)'!$M:$M,'data (1)'!$J:$J,"="&amp;$A70,'data (1)'!$A:$A,"="&amp;вариация!D$2)</f>
        <v>0</v>
      </c>
      <c r="E70">
        <f>SUMIFS('data (1)'!$M:$M,'data (1)'!$J:$J,"="&amp;$A70,'data (1)'!$A:$A,"="&amp;вариация!E$2)</f>
        <v>1</v>
      </c>
      <c r="F70">
        <f>SUMIFS('data (1)'!$M:$M,'data (1)'!$J:$J,"="&amp;$A70,'data (1)'!$A:$A,"="&amp;вариация!F$2)</f>
        <v>2</v>
      </c>
      <c r="G70">
        <f>SUMIFS('data (1)'!$M:$M,'data (1)'!$J:$J,"="&amp;$A70,'data (1)'!$A:$A,"="&amp;вариация!G$2)</f>
        <v>1</v>
      </c>
      <c r="H70" t="str">
        <f t="shared" si="3"/>
        <v>Yes</v>
      </c>
    </row>
    <row r="71" spans="1:8" x14ac:dyDescent="0.25">
      <c r="A71" s="7" t="s">
        <v>508</v>
      </c>
      <c r="B71" s="25">
        <f t="shared" si="2"/>
        <v>0.91287092917527679</v>
      </c>
      <c r="C71">
        <f>SUMIFS('data (1)'!$M:$M,'data (1)'!$J:$J,"="&amp;$A71,'data (1)'!$A:$A,"="&amp;вариация!C$2)</f>
        <v>0</v>
      </c>
      <c r="D71">
        <f>SUMIFS('data (1)'!$M:$M,'data (1)'!$J:$J,"="&amp;$A71,'data (1)'!$A:$A,"="&amp;вариация!D$2)</f>
        <v>1</v>
      </c>
      <c r="E71">
        <f>SUMIFS('data (1)'!$M:$M,'data (1)'!$J:$J,"="&amp;$A71,'data (1)'!$A:$A,"="&amp;вариация!E$2)</f>
        <v>1</v>
      </c>
      <c r="F71">
        <f>SUMIFS('data (1)'!$M:$M,'data (1)'!$J:$J,"="&amp;$A71,'data (1)'!$A:$A,"="&amp;вариация!F$2)</f>
        <v>0</v>
      </c>
      <c r="G71">
        <f>SUMIFS('data (1)'!$M:$M,'data (1)'!$J:$J,"="&amp;$A71,'data (1)'!$A:$A,"="&amp;вариация!G$2)</f>
        <v>1</v>
      </c>
      <c r="H71" t="str">
        <f t="shared" si="3"/>
        <v>Yes</v>
      </c>
    </row>
    <row r="72" spans="1:8" x14ac:dyDescent="0.25">
      <c r="A72" s="7" t="s">
        <v>918</v>
      </c>
      <c r="B72" s="25">
        <f t="shared" si="2"/>
        <v>2.2360679774997894</v>
      </c>
      <c r="C72">
        <f>SUMIFS('data (1)'!$M:$M,'data (1)'!$J:$J,"="&amp;$A72,'data (1)'!$A:$A,"="&amp;вариация!C$2)</f>
        <v>0</v>
      </c>
      <c r="D72">
        <f>SUMIFS('data (1)'!$M:$M,'data (1)'!$J:$J,"="&amp;$A72,'data (1)'!$A:$A,"="&amp;вариация!D$2)</f>
        <v>0</v>
      </c>
      <c r="E72">
        <f>SUMIFS('data (1)'!$M:$M,'data (1)'!$J:$J,"="&amp;$A72,'data (1)'!$A:$A,"="&amp;вариация!E$2)</f>
        <v>1</v>
      </c>
      <c r="F72">
        <f>SUMIFS('data (1)'!$M:$M,'data (1)'!$J:$J,"="&amp;$A72,'data (1)'!$A:$A,"="&amp;вариация!F$2)</f>
        <v>0</v>
      </c>
      <c r="G72">
        <f>SUMIFS('data (1)'!$M:$M,'data (1)'!$J:$J,"="&amp;$A72,'data (1)'!$A:$A,"="&amp;вариация!G$2)</f>
        <v>0</v>
      </c>
      <c r="H72" t="str">
        <f t="shared" si="3"/>
        <v>No</v>
      </c>
    </row>
    <row r="73" spans="1:8" x14ac:dyDescent="0.25">
      <c r="A73" s="7" t="s">
        <v>262</v>
      </c>
      <c r="B73" s="25">
        <f t="shared" si="2"/>
        <v>1.0865337342004415</v>
      </c>
      <c r="C73">
        <f>SUMIFS('data (1)'!$M:$M,'data (1)'!$J:$J,"="&amp;$A73,'data (1)'!$A:$A,"="&amp;вариация!C$2)</f>
        <v>1</v>
      </c>
      <c r="D73">
        <f>SUMIFS('data (1)'!$M:$M,'data (1)'!$J:$J,"="&amp;$A73,'data (1)'!$A:$A,"="&amp;вариация!D$2)</f>
        <v>3</v>
      </c>
      <c r="E73">
        <f>SUMIFS('data (1)'!$M:$M,'data (1)'!$J:$J,"="&amp;$A73,'data (1)'!$A:$A,"="&amp;вариация!E$2)</f>
        <v>0</v>
      </c>
      <c r="F73">
        <f>SUMIFS('data (1)'!$M:$M,'data (1)'!$J:$J,"="&amp;$A73,'data (1)'!$A:$A,"="&amp;вариация!F$2)</f>
        <v>2</v>
      </c>
      <c r="G73">
        <f>SUMIFS('data (1)'!$M:$M,'data (1)'!$J:$J,"="&amp;$A73,'data (1)'!$A:$A,"="&amp;вариация!G$2)</f>
        <v>0</v>
      </c>
      <c r="H73" t="str">
        <f t="shared" si="3"/>
        <v>Yes</v>
      </c>
    </row>
    <row r="74" spans="1:8" x14ac:dyDescent="0.25">
      <c r="A74" s="7" t="s">
        <v>185</v>
      </c>
      <c r="B74" s="25">
        <f t="shared" si="2"/>
        <v>1.3693063937629151</v>
      </c>
      <c r="C74">
        <f>SUMIFS('data (1)'!$M:$M,'data (1)'!$J:$J,"="&amp;$A74,'data (1)'!$A:$A,"="&amp;вариация!C$2)</f>
        <v>1</v>
      </c>
      <c r="D74">
        <f>SUMIFS('data (1)'!$M:$M,'data (1)'!$J:$J,"="&amp;$A74,'data (1)'!$A:$A,"="&amp;вариация!D$2)</f>
        <v>0</v>
      </c>
      <c r="E74">
        <f>SUMIFS('data (1)'!$M:$M,'data (1)'!$J:$J,"="&amp;$A74,'data (1)'!$A:$A,"="&amp;вариация!E$2)</f>
        <v>1</v>
      </c>
      <c r="F74">
        <f>SUMIFS('data (1)'!$M:$M,'data (1)'!$J:$J,"="&amp;$A74,'data (1)'!$A:$A,"="&amp;вариация!F$2)</f>
        <v>0</v>
      </c>
      <c r="G74">
        <f>SUMIFS('data (1)'!$M:$M,'data (1)'!$J:$J,"="&amp;$A74,'data (1)'!$A:$A,"="&amp;вариация!G$2)</f>
        <v>0</v>
      </c>
      <c r="H74" t="str">
        <f t="shared" si="3"/>
        <v>No</v>
      </c>
    </row>
    <row r="75" spans="1:8" x14ac:dyDescent="0.25">
      <c r="A75" s="7" t="s">
        <v>1108</v>
      </c>
      <c r="B75" s="25">
        <f t="shared" si="2"/>
        <v>2.2360679774997894</v>
      </c>
      <c r="C75">
        <f>SUMIFS('data (1)'!$M:$M,'data (1)'!$J:$J,"="&amp;$A75,'data (1)'!$A:$A,"="&amp;вариация!C$2)</f>
        <v>0</v>
      </c>
      <c r="D75">
        <f>SUMIFS('data (1)'!$M:$M,'data (1)'!$J:$J,"="&amp;$A75,'data (1)'!$A:$A,"="&amp;вариация!D$2)</f>
        <v>0</v>
      </c>
      <c r="E75">
        <f>SUMIFS('data (1)'!$M:$M,'data (1)'!$J:$J,"="&amp;$A75,'data (1)'!$A:$A,"="&amp;вариация!E$2)</f>
        <v>0</v>
      </c>
      <c r="F75">
        <f>SUMIFS('data (1)'!$M:$M,'data (1)'!$J:$J,"="&amp;$A75,'data (1)'!$A:$A,"="&amp;вариация!F$2)</f>
        <v>0</v>
      </c>
      <c r="G75">
        <f>SUMIFS('data (1)'!$M:$M,'data (1)'!$J:$J,"="&amp;$A75,'data (1)'!$A:$A,"="&amp;вариация!G$2)</f>
        <v>1</v>
      </c>
      <c r="H75" t="str">
        <f t="shared" si="3"/>
        <v>No</v>
      </c>
    </row>
    <row r="76" spans="1:8" x14ac:dyDescent="0.25">
      <c r="A76" s="7" t="s">
        <v>480</v>
      </c>
      <c r="B76" s="25">
        <f t="shared" si="2"/>
        <v>2.2360679774997894</v>
      </c>
      <c r="C76">
        <f>SUMIFS('data (1)'!$M:$M,'data (1)'!$J:$J,"="&amp;$A76,'data (1)'!$A:$A,"="&amp;вариация!C$2)</f>
        <v>0</v>
      </c>
      <c r="D76">
        <f>SUMIFS('data (1)'!$M:$M,'data (1)'!$J:$J,"="&amp;$A76,'data (1)'!$A:$A,"="&amp;вариация!D$2)</f>
        <v>2</v>
      </c>
      <c r="E76">
        <f>SUMIFS('data (1)'!$M:$M,'data (1)'!$J:$J,"="&amp;$A76,'data (1)'!$A:$A,"="&amp;вариация!E$2)</f>
        <v>0</v>
      </c>
      <c r="F76">
        <f>SUMIFS('data (1)'!$M:$M,'data (1)'!$J:$J,"="&amp;$A76,'data (1)'!$A:$A,"="&amp;вариация!F$2)</f>
        <v>0</v>
      </c>
      <c r="G76">
        <f>SUMIFS('data (1)'!$M:$M,'data (1)'!$J:$J,"="&amp;$A76,'data (1)'!$A:$A,"="&amp;вариация!G$2)</f>
        <v>0</v>
      </c>
      <c r="H76" t="str">
        <f t="shared" si="3"/>
        <v>No</v>
      </c>
    </row>
    <row r="77" spans="1:8" x14ac:dyDescent="0.25">
      <c r="A77" s="7" t="s">
        <v>460</v>
      </c>
      <c r="B77" s="25">
        <f t="shared" si="2"/>
        <v>1.3693063937629151</v>
      </c>
      <c r="C77">
        <f>SUMIFS('data (1)'!$M:$M,'data (1)'!$J:$J,"="&amp;$A77,'data (1)'!$A:$A,"="&amp;вариация!C$2)</f>
        <v>1</v>
      </c>
      <c r="D77">
        <f>SUMIFS('data (1)'!$M:$M,'data (1)'!$J:$J,"="&amp;$A77,'data (1)'!$A:$A,"="&amp;вариация!D$2)</f>
        <v>0</v>
      </c>
      <c r="E77">
        <f>SUMIFS('data (1)'!$M:$M,'data (1)'!$J:$J,"="&amp;$A77,'data (1)'!$A:$A,"="&amp;вариация!E$2)</f>
        <v>0</v>
      </c>
      <c r="F77">
        <f>SUMIFS('data (1)'!$M:$M,'data (1)'!$J:$J,"="&amp;$A77,'data (1)'!$A:$A,"="&amp;вариация!F$2)</f>
        <v>1</v>
      </c>
      <c r="G77">
        <f>SUMIFS('data (1)'!$M:$M,'data (1)'!$J:$J,"="&amp;$A77,'data (1)'!$A:$A,"="&amp;вариация!G$2)</f>
        <v>0</v>
      </c>
      <c r="H77" t="str">
        <f t="shared" si="3"/>
        <v>No</v>
      </c>
    </row>
    <row r="78" spans="1:8" x14ac:dyDescent="0.25">
      <c r="A78" s="7" t="s">
        <v>837</v>
      </c>
      <c r="B78" s="25">
        <f t="shared" si="2"/>
        <v>2.2360679774997894</v>
      </c>
      <c r="C78">
        <f>SUMIFS('data (1)'!$M:$M,'data (1)'!$J:$J,"="&amp;$A78,'data (1)'!$A:$A,"="&amp;вариация!C$2)</f>
        <v>0</v>
      </c>
      <c r="D78">
        <f>SUMIFS('data (1)'!$M:$M,'data (1)'!$J:$J,"="&amp;$A78,'data (1)'!$A:$A,"="&amp;вариация!D$2)</f>
        <v>0</v>
      </c>
      <c r="E78">
        <f>SUMIFS('data (1)'!$M:$M,'data (1)'!$J:$J,"="&amp;$A78,'data (1)'!$A:$A,"="&amp;вариация!E$2)</f>
        <v>1</v>
      </c>
      <c r="F78">
        <f>SUMIFS('data (1)'!$M:$M,'data (1)'!$J:$J,"="&amp;$A78,'data (1)'!$A:$A,"="&amp;вариация!F$2)</f>
        <v>0</v>
      </c>
      <c r="G78">
        <f>SUMIFS('data (1)'!$M:$M,'data (1)'!$J:$J,"="&amp;$A78,'data (1)'!$A:$A,"="&amp;вариация!G$2)</f>
        <v>0</v>
      </c>
      <c r="H78" t="str">
        <f t="shared" si="3"/>
        <v>No</v>
      </c>
    </row>
    <row r="79" spans="1:8" x14ac:dyDescent="0.25">
      <c r="A79" s="7" t="s">
        <v>838</v>
      </c>
      <c r="B79" s="25">
        <f t="shared" si="2"/>
        <v>2.2360679774997894</v>
      </c>
      <c r="C79">
        <f>SUMIFS('data (1)'!$M:$M,'data (1)'!$J:$J,"="&amp;$A79,'data (1)'!$A:$A,"="&amp;вариация!C$2)</f>
        <v>0</v>
      </c>
      <c r="D79">
        <f>SUMIFS('data (1)'!$M:$M,'data (1)'!$J:$J,"="&amp;$A79,'data (1)'!$A:$A,"="&amp;вариация!D$2)</f>
        <v>0</v>
      </c>
      <c r="E79">
        <f>SUMIFS('data (1)'!$M:$M,'data (1)'!$J:$J,"="&amp;$A79,'data (1)'!$A:$A,"="&amp;вариация!E$2)</f>
        <v>1</v>
      </c>
      <c r="F79">
        <f>SUMIFS('data (1)'!$M:$M,'data (1)'!$J:$J,"="&amp;$A79,'data (1)'!$A:$A,"="&amp;вариация!F$2)</f>
        <v>0</v>
      </c>
      <c r="G79">
        <f>SUMIFS('data (1)'!$M:$M,'data (1)'!$J:$J,"="&amp;$A79,'data (1)'!$A:$A,"="&amp;вариация!G$2)</f>
        <v>0</v>
      </c>
      <c r="H79" t="str">
        <f t="shared" si="3"/>
        <v>No</v>
      </c>
    </row>
    <row r="80" spans="1:8" x14ac:dyDescent="0.25">
      <c r="A80" s="7" t="s">
        <v>805</v>
      </c>
      <c r="B80" s="25">
        <f t="shared" si="2"/>
        <v>1.3693063937629151</v>
      </c>
      <c r="C80">
        <f>SUMIFS('data (1)'!$M:$M,'data (1)'!$J:$J,"="&amp;$A80,'data (1)'!$A:$A,"="&amp;вариация!C$2)</f>
        <v>0</v>
      </c>
      <c r="D80">
        <f>SUMIFS('data (1)'!$M:$M,'data (1)'!$J:$J,"="&amp;$A80,'data (1)'!$A:$A,"="&amp;вариация!D$2)</f>
        <v>0</v>
      </c>
      <c r="E80">
        <f>SUMIFS('data (1)'!$M:$M,'data (1)'!$J:$J,"="&amp;$A80,'data (1)'!$A:$A,"="&amp;вариация!E$2)</f>
        <v>1</v>
      </c>
      <c r="F80">
        <f>SUMIFS('data (1)'!$M:$M,'data (1)'!$J:$J,"="&amp;$A80,'data (1)'!$A:$A,"="&amp;вариация!F$2)</f>
        <v>0</v>
      </c>
      <c r="G80">
        <f>SUMIFS('data (1)'!$M:$M,'data (1)'!$J:$J,"="&amp;$A80,'data (1)'!$A:$A,"="&amp;вариация!G$2)</f>
        <v>1</v>
      </c>
      <c r="H80" t="str">
        <f t="shared" si="3"/>
        <v>No</v>
      </c>
    </row>
    <row r="81" spans="1:8" x14ac:dyDescent="0.25">
      <c r="A81" s="7" t="s">
        <v>787</v>
      </c>
      <c r="B81" s="25">
        <f t="shared" si="2"/>
        <v>2.2360679774997894</v>
      </c>
      <c r="C81">
        <f>SUMIFS('data (1)'!$M:$M,'data (1)'!$J:$J,"="&amp;$A81,'data (1)'!$A:$A,"="&amp;вариация!C$2)</f>
        <v>0</v>
      </c>
      <c r="D81">
        <f>SUMIFS('data (1)'!$M:$M,'data (1)'!$J:$J,"="&amp;$A81,'data (1)'!$A:$A,"="&amp;вариация!D$2)</f>
        <v>0</v>
      </c>
      <c r="E81">
        <f>SUMIFS('data (1)'!$M:$M,'data (1)'!$J:$J,"="&amp;$A81,'data (1)'!$A:$A,"="&amp;вариация!E$2)</f>
        <v>1</v>
      </c>
      <c r="F81">
        <f>SUMIFS('data (1)'!$M:$M,'data (1)'!$J:$J,"="&amp;$A81,'data (1)'!$A:$A,"="&amp;вариация!F$2)</f>
        <v>0</v>
      </c>
      <c r="G81">
        <f>SUMIFS('data (1)'!$M:$M,'data (1)'!$J:$J,"="&amp;$A81,'data (1)'!$A:$A,"="&amp;вариация!G$2)</f>
        <v>0</v>
      </c>
      <c r="H81" t="str">
        <f t="shared" si="3"/>
        <v>No</v>
      </c>
    </row>
    <row r="82" spans="1:8" x14ac:dyDescent="0.25">
      <c r="A82" s="7" t="s">
        <v>704</v>
      </c>
      <c r="B82" s="25">
        <f t="shared" si="2"/>
        <v>2.2360679774997894</v>
      </c>
      <c r="C82">
        <f>SUMIFS('data (1)'!$M:$M,'data (1)'!$J:$J,"="&amp;$A82,'data (1)'!$A:$A,"="&amp;вариация!C$2)</f>
        <v>0</v>
      </c>
      <c r="D82">
        <f>SUMIFS('data (1)'!$M:$M,'data (1)'!$J:$J,"="&amp;$A82,'data (1)'!$A:$A,"="&amp;вариация!D$2)</f>
        <v>1</v>
      </c>
      <c r="E82">
        <f>SUMIFS('data (1)'!$M:$M,'data (1)'!$J:$J,"="&amp;$A82,'data (1)'!$A:$A,"="&amp;вариация!E$2)</f>
        <v>0</v>
      </c>
      <c r="F82">
        <f>SUMIFS('data (1)'!$M:$M,'data (1)'!$J:$J,"="&amp;$A82,'data (1)'!$A:$A,"="&amp;вариация!F$2)</f>
        <v>0</v>
      </c>
      <c r="G82">
        <f>SUMIFS('data (1)'!$M:$M,'data (1)'!$J:$J,"="&amp;$A82,'data (1)'!$A:$A,"="&amp;вариация!G$2)</f>
        <v>0</v>
      </c>
      <c r="H82" t="str">
        <f t="shared" si="3"/>
        <v>No</v>
      </c>
    </row>
    <row r="83" spans="1:8" x14ac:dyDescent="0.25">
      <c r="A83" s="7" t="s">
        <v>40</v>
      </c>
      <c r="B83" s="25">
        <f t="shared" si="2"/>
        <v>1.3693063937629151</v>
      </c>
      <c r="C83">
        <f>SUMIFS('data (1)'!$M:$M,'data (1)'!$J:$J,"="&amp;$A83,'data (1)'!$A:$A,"="&amp;вариация!C$2)</f>
        <v>1</v>
      </c>
      <c r="D83">
        <f>SUMIFS('data (1)'!$M:$M,'data (1)'!$J:$J,"="&amp;$A83,'data (1)'!$A:$A,"="&amp;вариация!D$2)</f>
        <v>1</v>
      </c>
      <c r="E83">
        <f>SUMIFS('data (1)'!$M:$M,'data (1)'!$J:$J,"="&amp;$A83,'data (1)'!$A:$A,"="&amp;вариация!E$2)</f>
        <v>0</v>
      </c>
      <c r="F83">
        <f>SUMIFS('data (1)'!$M:$M,'data (1)'!$J:$J,"="&amp;$A83,'data (1)'!$A:$A,"="&amp;вариация!F$2)</f>
        <v>0</v>
      </c>
      <c r="G83">
        <f>SUMIFS('data (1)'!$M:$M,'data (1)'!$J:$J,"="&amp;$A83,'data (1)'!$A:$A,"="&amp;вариация!G$2)</f>
        <v>0</v>
      </c>
      <c r="H83" t="str">
        <f t="shared" si="3"/>
        <v>No</v>
      </c>
    </row>
    <row r="84" spans="1:8" x14ac:dyDescent="0.25">
      <c r="A84" s="7" t="s">
        <v>41</v>
      </c>
      <c r="B84" s="25">
        <f t="shared" si="2"/>
        <v>2.2360679774997894</v>
      </c>
      <c r="C84">
        <f>SUMIFS('data (1)'!$M:$M,'data (1)'!$J:$J,"="&amp;$A84,'data (1)'!$A:$A,"="&amp;вариация!C$2)</f>
        <v>1</v>
      </c>
      <c r="D84">
        <f>SUMIFS('data (1)'!$M:$M,'data (1)'!$J:$J,"="&amp;$A84,'data (1)'!$A:$A,"="&amp;вариация!D$2)</f>
        <v>0</v>
      </c>
      <c r="E84">
        <f>SUMIFS('data (1)'!$M:$M,'data (1)'!$J:$J,"="&amp;$A84,'data (1)'!$A:$A,"="&amp;вариация!E$2)</f>
        <v>0</v>
      </c>
      <c r="F84">
        <f>SUMIFS('data (1)'!$M:$M,'data (1)'!$J:$J,"="&amp;$A84,'data (1)'!$A:$A,"="&amp;вариация!F$2)</f>
        <v>0</v>
      </c>
      <c r="G84">
        <f>SUMIFS('data (1)'!$M:$M,'data (1)'!$J:$J,"="&amp;$A84,'data (1)'!$A:$A,"="&amp;вариация!G$2)</f>
        <v>0</v>
      </c>
      <c r="H84" t="str">
        <f t="shared" si="3"/>
        <v>No</v>
      </c>
    </row>
    <row r="85" spans="1:8" x14ac:dyDescent="0.25">
      <c r="A85" s="7" t="s">
        <v>565</v>
      </c>
      <c r="B85" s="25">
        <f t="shared" si="2"/>
        <v>2.2360679774997894</v>
      </c>
      <c r="C85">
        <f>SUMIFS('data (1)'!$M:$M,'data (1)'!$J:$J,"="&amp;$A85,'data (1)'!$A:$A,"="&amp;вариация!C$2)</f>
        <v>0</v>
      </c>
      <c r="D85">
        <f>SUMIFS('data (1)'!$M:$M,'data (1)'!$J:$J,"="&amp;$A85,'data (1)'!$A:$A,"="&amp;вариация!D$2)</f>
        <v>1</v>
      </c>
      <c r="E85">
        <f>SUMIFS('data (1)'!$M:$M,'data (1)'!$J:$J,"="&amp;$A85,'data (1)'!$A:$A,"="&amp;вариация!E$2)</f>
        <v>0</v>
      </c>
      <c r="F85">
        <f>SUMIFS('data (1)'!$M:$M,'data (1)'!$J:$J,"="&amp;$A85,'data (1)'!$A:$A,"="&amp;вариация!F$2)</f>
        <v>0</v>
      </c>
      <c r="G85">
        <f>SUMIFS('data (1)'!$M:$M,'data (1)'!$J:$J,"="&amp;$A85,'data (1)'!$A:$A,"="&amp;вариация!G$2)</f>
        <v>0</v>
      </c>
      <c r="H85" t="str">
        <f t="shared" si="3"/>
        <v>No</v>
      </c>
    </row>
    <row r="86" spans="1:8" x14ac:dyDescent="0.25">
      <c r="A86" s="7" t="s">
        <v>711</v>
      </c>
      <c r="B86" s="25">
        <f t="shared" si="2"/>
        <v>2.2360679774997894</v>
      </c>
      <c r="C86">
        <f>SUMIFS('data (1)'!$M:$M,'data (1)'!$J:$J,"="&amp;$A86,'data (1)'!$A:$A,"="&amp;вариация!C$2)</f>
        <v>0</v>
      </c>
      <c r="D86">
        <f>SUMIFS('data (1)'!$M:$M,'data (1)'!$J:$J,"="&amp;$A86,'data (1)'!$A:$A,"="&amp;вариация!D$2)</f>
        <v>0</v>
      </c>
      <c r="E86">
        <f>SUMIFS('data (1)'!$M:$M,'data (1)'!$J:$J,"="&amp;$A86,'data (1)'!$A:$A,"="&amp;вариация!E$2)</f>
        <v>1</v>
      </c>
      <c r="F86">
        <f>SUMIFS('data (1)'!$M:$M,'data (1)'!$J:$J,"="&amp;$A86,'data (1)'!$A:$A,"="&amp;вариация!F$2)</f>
        <v>0</v>
      </c>
      <c r="G86">
        <f>SUMIFS('data (1)'!$M:$M,'data (1)'!$J:$J,"="&amp;$A86,'data (1)'!$A:$A,"="&amp;вариация!G$2)</f>
        <v>0</v>
      </c>
      <c r="H86" t="str">
        <f t="shared" si="3"/>
        <v>No</v>
      </c>
    </row>
    <row r="87" spans="1:8" x14ac:dyDescent="0.25">
      <c r="A87" s="7" t="s">
        <v>145</v>
      </c>
      <c r="B87" s="25">
        <f t="shared" si="2"/>
        <v>2.2360679774997894</v>
      </c>
      <c r="C87">
        <f>SUMIFS('data (1)'!$M:$M,'data (1)'!$J:$J,"="&amp;$A87,'data (1)'!$A:$A,"="&amp;вариация!C$2)</f>
        <v>1</v>
      </c>
      <c r="D87">
        <f>SUMIFS('data (1)'!$M:$M,'data (1)'!$J:$J,"="&amp;$A87,'data (1)'!$A:$A,"="&amp;вариация!D$2)</f>
        <v>0</v>
      </c>
      <c r="E87">
        <f>SUMIFS('data (1)'!$M:$M,'data (1)'!$J:$J,"="&amp;$A87,'data (1)'!$A:$A,"="&amp;вариация!E$2)</f>
        <v>0</v>
      </c>
      <c r="F87">
        <f>SUMIFS('data (1)'!$M:$M,'data (1)'!$J:$J,"="&amp;$A87,'data (1)'!$A:$A,"="&amp;вариация!F$2)</f>
        <v>0</v>
      </c>
      <c r="G87">
        <f>SUMIFS('data (1)'!$M:$M,'data (1)'!$J:$J,"="&amp;$A87,'data (1)'!$A:$A,"="&amp;вариация!G$2)</f>
        <v>0</v>
      </c>
      <c r="H87" t="str">
        <f t="shared" si="3"/>
        <v>No</v>
      </c>
    </row>
    <row r="88" spans="1:8" x14ac:dyDescent="0.25">
      <c r="A88" s="7" t="s">
        <v>349</v>
      </c>
      <c r="B88" s="25">
        <f t="shared" si="2"/>
        <v>2.2360679774997898</v>
      </c>
      <c r="C88">
        <f>SUMIFS('data (1)'!$M:$M,'data (1)'!$J:$J,"="&amp;$A88,'data (1)'!$A:$A,"="&amp;вариация!C$2)</f>
        <v>3</v>
      </c>
      <c r="D88">
        <f>SUMIFS('data (1)'!$M:$M,'data (1)'!$J:$J,"="&amp;$A88,'data (1)'!$A:$A,"="&amp;вариация!D$2)</f>
        <v>0</v>
      </c>
      <c r="E88">
        <f>SUMIFS('data (1)'!$M:$M,'data (1)'!$J:$J,"="&amp;$A88,'data (1)'!$A:$A,"="&amp;вариация!E$2)</f>
        <v>0</v>
      </c>
      <c r="F88">
        <f>SUMIFS('data (1)'!$M:$M,'data (1)'!$J:$J,"="&amp;$A88,'data (1)'!$A:$A,"="&amp;вариация!F$2)</f>
        <v>0</v>
      </c>
      <c r="G88">
        <f>SUMIFS('data (1)'!$M:$M,'data (1)'!$J:$J,"="&amp;$A88,'data (1)'!$A:$A,"="&amp;вариация!G$2)</f>
        <v>0</v>
      </c>
      <c r="H88" t="str">
        <f t="shared" si="3"/>
        <v>No</v>
      </c>
    </row>
    <row r="89" spans="1:8" x14ac:dyDescent="0.25">
      <c r="A89" s="7" t="s">
        <v>455</v>
      </c>
      <c r="B89" s="25">
        <f t="shared" si="2"/>
        <v>2.2360679774997894</v>
      </c>
      <c r="C89">
        <f>SUMIFS('data (1)'!$M:$M,'data (1)'!$J:$J,"="&amp;$A89,'data (1)'!$A:$A,"="&amp;вариация!C$2)</f>
        <v>2</v>
      </c>
      <c r="D89">
        <f>SUMIFS('data (1)'!$M:$M,'data (1)'!$J:$J,"="&amp;$A89,'data (1)'!$A:$A,"="&amp;вариация!D$2)</f>
        <v>0</v>
      </c>
      <c r="E89">
        <f>SUMIFS('data (1)'!$M:$M,'data (1)'!$J:$J,"="&amp;$A89,'data (1)'!$A:$A,"="&amp;вариация!E$2)</f>
        <v>0</v>
      </c>
      <c r="F89">
        <f>SUMIFS('data (1)'!$M:$M,'data (1)'!$J:$J,"="&amp;$A89,'data (1)'!$A:$A,"="&amp;вариация!F$2)</f>
        <v>0</v>
      </c>
      <c r="G89">
        <f>SUMIFS('data (1)'!$M:$M,'data (1)'!$J:$J,"="&amp;$A89,'data (1)'!$A:$A,"="&amp;вариация!G$2)</f>
        <v>0</v>
      </c>
      <c r="H89" t="str">
        <f t="shared" si="3"/>
        <v>No</v>
      </c>
    </row>
    <row r="90" spans="1:8" x14ac:dyDescent="0.25">
      <c r="A90" s="7" t="s">
        <v>737</v>
      </c>
      <c r="B90" s="25">
        <f t="shared" si="2"/>
        <v>2.2360679774997894</v>
      </c>
      <c r="C90">
        <f>SUMIFS('data (1)'!$M:$M,'data (1)'!$J:$J,"="&amp;$A90,'data (1)'!$A:$A,"="&amp;вариация!C$2)</f>
        <v>0</v>
      </c>
      <c r="D90">
        <f>SUMIFS('data (1)'!$M:$M,'data (1)'!$J:$J,"="&amp;$A90,'data (1)'!$A:$A,"="&amp;вариация!D$2)</f>
        <v>0</v>
      </c>
      <c r="E90">
        <f>SUMIFS('data (1)'!$M:$M,'data (1)'!$J:$J,"="&amp;$A90,'data (1)'!$A:$A,"="&amp;вариация!E$2)</f>
        <v>1</v>
      </c>
      <c r="F90">
        <f>SUMIFS('data (1)'!$M:$M,'data (1)'!$J:$J,"="&amp;$A90,'data (1)'!$A:$A,"="&amp;вариация!F$2)</f>
        <v>0</v>
      </c>
      <c r="G90">
        <f>SUMIFS('data (1)'!$M:$M,'data (1)'!$J:$J,"="&amp;$A90,'data (1)'!$A:$A,"="&amp;вариация!G$2)</f>
        <v>0</v>
      </c>
      <c r="H90" t="str">
        <f t="shared" si="3"/>
        <v>No</v>
      </c>
    </row>
    <row r="91" spans="1:8" x14ac:dyDescent="0.25">
      <c r="A91" s="7" t="s">
        <v>1131</v>
      </c>
      <c r="B91" s="25">
        <f t="shared" si="2"/>
        <v>2.2360679774997894</v>
      </c>
      <c r="C91">
        <f>SUMIFS('data (1)'!$M:$M,'data (1)'!$J:$J,"="&amp;$A91,'data (1)'!$A:$A,"="&amp;вариация!C$2)</f>
        <v>0</v>
      </c>
      <c r="D91">
        <f>SUMIFS('data (1)'!$M:$M,'data (1)'!$J:$J,"="&amp;$A91,'data (1)'!$A:$A,"="&amp;вариация!D$2)</f>
        <v>0</v>
      </c>
      <c r="E91">
        <f>SUMIFS('data (1)'!$M:$M,'data (1)'!$J:$J,"="&amp;$A91,'data (1)'!$A:$A,"="&amp;вариация!E$2)</f>
        <v>0</v>
      </c>
      <c r="F91">
        <f>SUMIFS('data (1)'!$M:$M,'data (1)'!$J:$J,"="&amp;$A91,'data (1)'!$A:$A,"="&amp;вариация!F$2)</f>
        <v>0</v>
      </c>
      <c r="G91">
        <f>SUMIFS('data (1)'!$M:$M,'data (1)'!$J:$J,"="&amp;$A91,'data (1)'!$A:$A,"="&amp;вариация!G$2)</f>
        <v>1</v>
      </c>
      <c r="H91" t="str">
        <f t="shared" si="3"/>
        <v>No</v>
      </c>
    </row>
    <row r="92" spans="1:8" x14ac:dyDescent="0.25">
      <c r="A92" s="7" t="s">
        <v>198</v>
      </c>
      <c r="B92" s="25">
        <f t="shared" si="2"/>
        <v>0.70710678118654757</v>
      </c>
      <c r="C92">
        <f>SUMIFS('data (1)'!$M:$M,'data (1)'!$J:$J,"="&amp;$A92,'data (1)'!$A:$A,"="&amp;вариация!C$2)</f>
        <v>1</v>
      </c>
      <c r="D92">
        <f>SUMIFS('data (1)'!$M:$M,'data (1)'!$J:$J,"="&amp;$A92,'data (1)'!$A:$A,"="&amp;вариация!D$2)</f>
        <v>1</v>
      </c>
      <c r="E92">
        <f>SUMIFS('data (1)'!$M:$M,'data (1)'!$J:$J,"="&amp;$A92,'data (1)'!$A:$A,"="&amp;вариация!E$2)</f>
        <v>0</v>
      </c>
      <c r="F92">
        <f>SUMIFS('data (1)'!$M:$M,'data (1)'!$J:$J,"="&amp;$A92,'data (1)'!$A:$A,"="&amp;вариация!F$2)</f>
        <v>2</v>
      </c>
      <c r="G92">
        <f>SUMIFS('data (1)'!$M:$M,'data (1)'!$J:$J,"="&amp;$A92,'data (1)'!$A:$A,"="&amp;вариация!G$2)</f>
        <v>1</v>
      </c>
      <c r="H92" t="str">
        <f t="shared" si="3"/>
        <v>Yes</v>
      </c>
    </row>
    <row r="93" spans="1:8" x14ac:dyDescent="0.25">
      <c r="A93" s="7" t="s">
        <v>1048</v>
      </c>
      <c r="B93" s="25">
        <f t="shared" si="2"/>
        <v>2.2360679774997894</v>
      </c>
      <c r="C93">
        <f>SUMIFS('data (1)'!$M:$M,'data (1)'!$J:$J,"="&amp;$A93,'data (1)'!$A:$A,"="&amp;вариация!C$2)</f>
        <v>0</v>
      </c>
      <c r="D93">
        <f>SUMIFS('data (1)'!$M:$M,'data (1)'!$J:$J,"="&amp;$A93,'data (1)'!$A:$A,"="&amp;вариация!D$2)</f>
        <v>0</v>
      </c>
      <c r="E93">
        <f>SUMIFS('data (1)'!$M:$M,'data (1)'!$J:$J,"="&amp;$A93,'data (1)'!$A:$A,"="&amp;вариация!E$2)</f>
        <v>0</v>
      </c>
      <c r="F93">
        <f>SUMIFS('data (1)'!$M:$M,'data (1)'!$J:$J,"="&amp;$A93,'data (1)'!$A:$A,"="&amp;вариация!F$2)</f>
        <v>1</v>
      </c>
      <c r="G93">
        <f>SUMIFS('data (1)'!$M:$M,'data (1)'!$J:$J,"="&amp;$A93,'data (1)'!$A:$A,"="&amp;вариация!G$2)</f>
        <v>0</v>
      </c>
      <c r="H93" t="str">
        <f t="shared" si="3"/>
        <v>No</v>
      </c>
    </row>
    <row r="94" spans="1:8" x14ac:dyDescent="0.25">
      <c r="A94" s="7" t="s">
        <v>384</v>
      </c>
      <c r="B94" s="25">
        <f t="shared" si="2"/>
        <v>0.55901699437494734</v>
      </c>
      <c r="C94">
        <f>SUMIFS('data (1)'!$M:$M,'data (1)'!$J:$J,"="&amp;$A94,'data (1)'!$A:$A,"="&amp;вариация!C$2)</f>
        <v>1</v>
      </c>
      <c r="D94">
        <f>SUMIFS('data (1)'!$M:$M,'data (1)'!$J:$J,"="&amp;$A94,'data (1)'!$A:$A,"="&amp;вариация!D$2)</f>
        <v>1</v>
      </c>
      <c r="E94">
        <f>SUMIFS('data (1)'!$M:$M,'data (1)'!$J:$J,"="&amp;$A94,'data (1)'!$A:$A,"="&amp;вариация!E$2)</f>
        <v>1</v>
      </c>
      <c r="F94">
        <f>SUMIFS('data (1)'!$M:$M,'data (1)'!$J:$J,"="&amp;$A94,'data (1)'!$A:$A,"="&amp;вариация!F$2)</f>
        <v>0</v>
      </c>
      <c r="G94">
        <f>SUMIFS('data (1)'!$M:$M,'data (1)'!$J:$J,"="&amp;$A94,'data (1)'!$A:$A,"="&amp;вариация!G$2)</f>
        <v>1</v>
      </c>
      <c r="H94" t="str">
        <f t="shared" si="3"/>
        <v>Yes</v>
      </c>
    </row>
    <row r="95" spans="1:8" x14ac:dyDescent="0.25">
      <c r="A95" s="7" t="s">
        <v>659</v>
      </c>
      <c r="B95" s="25">
        <f t="shared" si="2"/>
        <v>2.2360679774997894</v>
      </c>
      <c r="C95">
        <f>SUMIFS('data (1)'!$M:$M,'data (1)'!$J:$J,"="&amp;$A95,'data (1)'!$A:$A,"="&amp;вариация!C$2)</f>
        <v>0</v>
      </c>
      <c r="D95">
        <f>SUMIFS('data (1)'!$M:$M,'data (1)'!$J:$J,"="&amp;$A95,'data (1)'!$A:$A,"="&amp;вариация!D$2)</f>
        <v>2</v>
      </c>
      <c r="E95">
        <f>SUMIFS('data (1)'!$M:$M,'data (1)'!$J:$J,"="&amp;$A95,'data (1)'!$A:$A,"="&amp;вариация!E$2)</f>
        <v>0</v>
      </c>
      <c r="F95">
        <f>SUMIFS('data (1)'!$M:$M,'data (1)'!$J:$J,"="&amp;$A95,'data (1)'!$A:$A,"="&amp;вариация!F$2)</f>
        <v>0</v>
      </c>
      <c r="G95">
        <f>SUMIFS('data (1)'!$M:$M,'data (1)'!$J:$J,"="&amp;$A95,'data (1)'!$A:$A,"="&amp;вариация!G$2)</f>
        <v>0</v>
      </c>
      <c r="H95" t="str">
        <f t="shared" si="3"/>
        <v>No</v>
      </c>
    </row>
    <row r="96" spans="1:8" x14ac:dyDescent="0.25">
      <c r="A96" s="7" t="s">
        <v>993</v>
      </c>
      <c r="B96" s="25">
        <f t="shared" si="2"/>
        <v>2.2360679774997894</v>
      </c>
      <c r="C96">
        <f>SUMIFS('data (1)'!$M:$M,'data (1)'!$J:$J,"="&amp;$A96,'data (1)'!$A:$A,"="&amp;вариация!C$2)</f>
        <v>0</v>
      </c>
      <c r="D96">
        <f>SUMIFS('data (1)'!$M:$M,'data (1)'!$J:$J,"="&amp;$A96,'data (1)'!$A:$A,"="&amp;вариация!D$2)</f>
        <v>0</v>
      </c>
      <c r="E96">
        <f>SUMIFS('data (1)'!$M:$M,'data (1)'!$J:$J,"="&amp;$A96,'data (1)'!$A:$A,"="&amp;вариация!E$2)</f>
        <v>0</v>
      </c>
      <c r="F96">
        <f>SUMIFS('data (1)'!$M:$M,'data (1)'!$J:$J,"="&amp;$A96,'data (1)'!$A:$A,"="&amp;вариация!F$2)</f>
        <v>2</v>
      </c>
      <c r="G96">
        <f>SUMIFS('data (1)'!$M:$M,'data (1)'!$J:$J,"="&amp;$A96,'data (1)'!$A:$A,"="&amp;вариация!G$2)</f>
        <v>0</v>
      </c>
      <c r="H96" t="str">
        <f t="shared" si="3"/>
        <v>No</v>
      </c>
    </row>
    <row r="97" spans="1:8" x14ac:dyDescent="0.25">
      <c r="A97" s="7" t="s">
        <v>722</v>
      </c>
      <c r="B97" s="25">
        <f t="shared" si="2"/>
        <v>1</v>
      </c>
      <c r="C97">
        <f>SUMIFS('data (1)'!$M:$M,'data (1)'!$J:$J,"="&amp;$A97,'data (1)'!$A:$A,"="&amp;вариация!C$2)</f>
        <v>0</v>
      </c>
      <c r="D97">
        <f>SUMIFS('data (1)'!$M:$M,'data (1)'!$J:$J,"="&amp;$A97,'data (1)'!$A:$A,"="&amp;вариация!D$2)</f>
        <v>0</v>
      </c>
      <c r="E97">
        <f>SUMIFS('data (1)'!$M:$M,'data (1)'!$J:$J,"="&amp;$A97,'data (1)'!$A:$A,"="&amp;вариация!E$2)</f>
        <v>2</v>
      </c>
      <c r="F97">
        <f>SUMIFS('data (1)'!$M:$M,'data (1)'!$J:$J,"="&amp;$A97,'data (1)'!$A:$A,"="&amp;вариация!F$2)</f>
        <v>2</v>
      </c>
      <c r="G97">
        <f>SUMIFS('data (1)'!$M:$M,'data (1)'!$J:$J,"="&amp;$A97,'data (1)'!$A:$A,"="&amp;вариация!G$2)</f>
        <v>1</v>
      </c>
      <c r="H97" t="str">
        <f t="shared" si="3"/>
        <v>Yes</v>
      </c>
    </row>
    <row r="98" spans="1:8" x14ac:dyDescent="0.25">
      <c r="A98" s="7" t="s">
        <v>962</v>
      </c>
      <c r="B98" s="25">
        <f t="shared" si="2"/>
        <v>2.2360679774997894</v>
      </c>
      <c r="C98">
        <f>SUMIFS('data (1)'!$M:$M,'data (1)'!$J:$J,"="&amp;$A98,'data (1)'!$A:$A,"="&amp;вариация!C$2)</f>
        <v>0</v>
      </c>
      <c r="D98">
        <f>SUMIFS('data (1)'!$M:$M,'data (1)'!$J:$J,"="&amp;$A98,'data (1)'!$A:$A,"="&amp;вариация!D$2)</f>
        <v>0</v>
      </c>
      <c r="E98">
        <f>SUMIFS('data (1)'!$M:$M,'data (1)'!$J:$J,"="&amp;$A98,'data (1)'!$A:$A,"="&amp;вариация!E$2)</f>
        <v>0</v>
      </c>
      <c r="F98">
        <f>SUMIFS('data (1)'!$M:$M,'data (1)'!$J:$J,"="&amp;$A98,'data (1)'!$A:$A,"="&amp;вариация!F$2)</f>
        <v>1</v>
      </c>
      <c r="G98">
        <f>SUMIFS('data (1)'!$M:$M,'data (1)'!$J:$J,"="&amp;$A98,'data (1)'!$A:$A,"="&amp;вариация!G$2)</f>
        <v>0</v>
      </c>
      <c r="H98" t="str">
        <f t="shared" si="3"/>
        <v>No</v>
      </c>
    </row>
    <row r="99" spans="1:8" x14ac:dyDescent="0.25">
      <c r="A99" s="7" t="s">
        <v>718</v>
      </c>
      <c r="B99" s="25">
        <f t="shared" si="2"/>
        <v>2.2360679774997898</v>
      </c>
      <c r="C99">
        <f>SUMIFS('data (1)'!$M:$M,'data (1)'!$J:$J,"="&amp;$A99,'data (1)'!$A:$A,"="&amp;вариация!C$2)</f>
        <v>0</v>
      </c>
      <c r="D99">
        <f>SUMIFS('data (1)'!$M:$M,'data (1)'!$J:$J,"="&amp;$A99,'data (1)'!$A:$A,"="&amp;вариация!D$2)</f>
        <v>0</v>
      </c>
      <c r="E99">
        <f>SUMIFS('data (1)'!$M:$M,'data (1)'!$J:$J,"="&amp;$A99,'data (1)'!$A:$A,"="&amp;вариация!E$2)</f>
        <v>0.66666665999999997</v>
      </c>
      <c r="F99">
        <f>SUMIFS('data (1)'!$M:$M,'data (1)'!$J:$J,"="&amp;$A99,'data (1)'!$A:$A,"="&amp;вариация!F$2)</f>
        <v>0</v>
      </c>
      <c r="G99">
        <f>SUMIFS('data (1)'!$M:$M,'data (1)'!$J:$J,"="&amp;$A99,'data (1)'!$A:$A,"="&amp;вариация!G$2)</f>
        <v>0</v>
      </c>
      <c r="H99" t="str">
        <f t="shared" si="3"/>
        <v>No</v>
      </c>
    </row>
    <row r="100" spans="1:8" x14ac:dyDescent="0.25">
      <c r="A100" s="7" t="s">
        <v>1155</v>
      </c>
      <c r="B100" s="25">
        <f t="shared" si="2"/>
        <v>2.2360679774997894</v>
      </c>
      <c r="C100">
        <f>SUMIFS('data (1)'!$M:$M,'data (1)'!$J:$J,"="&amp;$A100,'data (1)'!$A:$A,"="&amp;вариация!C$2)</f>
        <v>0</v>
      </c>
      <c r="D100">
        <f>SUMIFS('data (1)'!$M:$M,'data (1)'!$J:$J,"="&amp;$A100,'data (1)'!$A:$A,"="&amp;вариация!D$2)</f>
        <v>0</v>
      </c>
      <c r="E100">
        <f>SUMIFS('data (1)'!$M:$M,'data (1)'!$J:$J,"="&amp;$A100,'data (1)'!$A:$A,"="&amp;вариация!E$2)</f>
        <v>0</v>
      </c>
      <c r="F100">
        <f>SUMIFS('data (1)'!$M:$M,'data (1)'!$J:$J,"="&amp;$A100,'data (1)'!$A:$A,"="&amp;вариация!F$2)</f>
        <v>0</v>
      </c>
      <c r="G100">
        <f>SUMIFS('data (1)'!$M:$M,'data (1)'!$J:$J,"="&amp;$A100,'data (1)'!$A:$A,"="&amp;вариация!G$2)</f>
        <v>1</v>
      </c>
      <c r="H100" t="str">
        <f t="shared" si="3"/>
        <v>No</v>
      </c>
    </row>
    <row r="101" spans="1:8" x14ac:dyDescent="0.25">
      <c r="A101" s="7" t="s">
        <v>758</v>
      </c>
      <c r="B101" s="25">
        <f t="shared" si="2"/>
        <v>2.2360679774997894</v>
      </c>
      <c r="C101">
        <f>SUMIFS('data (1)'!$M:$M,'data (1)'!$J:$J,"="&amp;$A101,'data (1)'!$A:$A,"="&amp;вариация!C$2)</f>
        <v>0</v>
      </c>
      <c r="D101">
        <f>SUMIFS('data (1)'!$M:$M,'data (1)'!$J:$J,"="&amp;$A101,'data (1)'!$A:$A,"="&amp;вариация!D$2)</f>
        <v>0</v>
      </c>
      <c r="E101">
        <f>SUMIFS('data (1)'!$M:$M,'data (1)'!$J:$J,"="&amp;$A101,'data (1)'!$A:$A,"="&amp;вариация!E$2)</f>
        <v>1</v>
      </c>
      <c r="F101">
        <f>SUMIFS('data (1)'!$M:$M,'data (1)'!$J:$J,"="&amp;$A101,'data (1)'!$A:$A,"="&amp;вариация!F$2)</f>
        <v>0</v>
      </c>
      <c r="G101">
        <f>SUMIFS('data (1)'!$M:$M,'data (1)'!$J:$J,"="&amp;$A101,'data (1)'!$A:$A,"="&amp;вариация!G$2)</f>
        <v>0</v>
      </c>
      <c r="H101" t="str">
        <f t="shared" si="3"/>
        <v>No</v>
      </c>
    </row>
    <row r="102" spans="1:8" x14ac:dyDescent="0.25">
      <c r="A102" s="7" t="s">
        <v>804</v>
      </c>
      <c r="B102" s="25">
        <f t="shared" si="2"/>
        <v>2.2360679774997898</v>
      </c>
      <c r="C102">
        <f>SUMIFS('data (1)'!$M:$M,'data (1)'!$J:$J,"="&amp;$A102,'data (1)'!$A:$A,"="&amp;вариация!C$2)</f>
        <v>0</v>
      </c>
      <c r="D102">
        <f>SUMIFS('data (1)'!$M:$M,'data (1)'!$J:$J,"="&amp;$A102,'data (1)'!$A:$A,"="&amp;вариация!D$2)</f>
        <v>0</v>
      </c>
      <c r="E102">
        <f>SUMIFS('data (1)'!$M:$M,'data (1)'!$J:$J,"="&amp;$A102,'data (1)'!$A:$A,"="&amp;вариация!E$2)</f>
        <v>0.1</v>
      </c>
      <c r="F102">
        <f>SUMIFS('data (1)'!$M:$M,'data (1)'!$J:$J,"="&amp;$A102,'data (1)'!$A:$A,"="&amp;вариация!F$2)</f>
        <v>0</v>
      </c>
      <c r="G102">
        <f>SUMIFS('data (1)'!$M:$M,'data (1)'!$J:$J,"="&amp;$A102,'data (1)'!$A:$A,"="&amp;вариация!G$2)</f>
        <v>0</v>
      </c>
      <c r="H102" t="str">
        <f t="shared" si="3"/>
        <v>No</v>
      </c>
    </row>
    <row r="103" spans="1:8" x14ac:dyDescent="0.25">
      <c r="A103" s="7" t="s">
        <v>637</v>
      </c>
      <c r="B103" s="25">
        <f t="shared" si="2"/>
        <v>2.2360679774997894</v>
      </c>
      <c r="C103">
        <f>SUMIFS('data (1)'!$M:$M,'data (1)'!$J:$J,"="&amp;$A103,'data (1)'!$A:$A,"="&amp;вариация!C$2)</f>
        <v>0</v>
      </c>
      <c r="D103">
        <f>SUMIFS('data (1)'!$M:$M,'data (1)'!$J:$J,"="&amp;$A103,'data (1)'!$A:$A,"="&amp;вариация!D$2)</f>
        <v>1</v>
      </c>
      <c r="E103">
        <f>SUMIFS('data (1)'!$M:$M,'data (1)'!$J:$J,"="&amp;$A103,'data (1)'!$A:$A,"="&amp;вариация!E$2)</f>
        <v>0</v>
      </c>
      <c r="F103">
        <f>SUMIFS('data (1)'!$M:$M,'data (1)'!$J:$J,"="&amp;$A103,'data (1)'!$A:$A,"="&amp;вариация!F$2)</f>
        <v>0</v>
      </c>
      <c r="G103">
        <f>SUMIFS('data (1)'!$M:$M,'data (1)'!$J:$J,"="&amp;$A103,'data (1)'!$A:$A,"="&amp;вариация!G$2)</f>
        <v>0</v>
      </c>
      <c r="H103" t="str">
        <f t="shared" si="3"/>
        <v>No</v>
      </c>
    </row>
    <row r="104" spans="1:8" x14ac:dyDescent="0.25">
      <c r="A104" s="7" t="s">
        <v>911</v>
      </c>
      <c r="B104" s="25">
        <f t="shared" si="2"/>
        <v>2.2360679774997894</v>
      </c>
      <c r="C104">
        <f>SUMIFS('data (1)'!$M:$M,'data (1)'!$J:$J,"="&amp;$A104,'data (1)'!$A:$A,"="&amp;вариация!C$2)</f>
        <v>0</v>
      </c>
      <c r="D104">
        <f>SUMIFS('data (1)'!$M:$M,'data (1)'!$J:$J,"="&amp;$A104,'data (1)'!$A:$A,"="&amp;вариация!D$2)</f>
        <v>0</v>
      </c>
      <c r="E104">
        <f>SUMIFS('data (1)'!$M:$M,'data (1)'!$J:$J,"="&amp;$A104,'data (1)'!$A:$A,"="&amp;вариация!E$2)</f>
        <v>1</v>
      </c>
      <c r="F104">
        <f>SUMIFS('data (1)'!$M:$M,'data (1)'!$J:$J,"="&amp;$A104,'data (1)'!$A:$A,"="&amp;вариация!F$2)</f>
        <v>0</v>
      </c>
      <c r="G104">
        <f>SUMIFS('data (1)'!$M:$M,'data (1)'!$J:$J,"="&amp;$A104,'data (1)'!$A:$A,"="&amp;вариация!G$2)</f>
        <v>0</v>
      </c>
      <c r="H104" t="str">
        <f t="shared" si="3"/>
        <v>No</v>
      </c>
    </row>
    <row r="105" spans="1:8" x14ac:dyDescent="0.25">
      <c r="A105" s="7" t="s">
        <v>1129</v>
      </c>
      <c r="B105" s="25">
        <f t="shared" si="2"/>
        <v>2.2360679774997894</v>
      </c>
      <c r="C105">
        <f>SUMIFS('data (1)'!$M:$M,'data (1)'!$J:$J,"="&amp;$A105,'data (1)'!$A:$A,"="&amp;вариация!C$2)</f>
        <v>0</v>
      </c>
      <c r="D105">
        <f>SUMIFS('data (1)'!$M:$M,'data (1)'!$J:$J,"="&amp;$A105,'data (1)'!$A:$A,"="&amp;вариация!D$2)</f>
        <v>0</v>
      </c>
      <c r="E105">
        <f>SUMIFS('data (1)'!$M:$M,'data (1)'!$J:$J,"="&amp;$A105,'data (1)'!$A:$A,"="&amp;вариация!E$2)</f>
        <v>0</v>
      </c>
      <c r="F105">
        <f>SUMIFS('data (1)'!$M:$M,'data (1)'!$J:$J,"="&amp;$A105,'data (1)'!$A:$A,"="&amp;вариация!F$2)</f>
        <v>0</v>
      </c>
      <c r="G105">
        <f>SUMIFS('data (1)'!$M:$M,'data (1)'!$J:$J,"="&amp;$A105,'data (1)'!$A:$A,"="&amp;вариация!G$2)</f>
        <v>1</v>
      </c>
      <c r="H105" t="str">
        <f t="shared" si="3"/>
        <v>No</v>
      </c>
    </row>
    <row r="106" spans="1:8" x14ac:dyDescent="0.25">
      <c r="A106" s="7" t="s">
        <v>264</v>
      </c>
      <c r="B106" s="25">
        <f t="shared" si="2"/>
        <v>1.3693063937629151</v>
      </c>
      <c r="C106">
        <f>SUMIFS('data (1)'!$M:$M,'data (1)'!$J:$J,"="&amp;$A106,'data (1)'!$A:$A,"="&amp;вариация!C$2)</f>
        <v>1</v>
      </c>
      <c r="D106">
        <f>SUMIFS('data (1)'!$M:$M,'data (1)'!$J:$J,"="&amp;$A106,'data (1)'!$A:$A,"="&amp;вариация!D$2)</f>
        <v>1</v>
      </c>
      <c r="E106">
        <f>SUMIFS('data (1)'!$M:$M,'data (1)'!$J:$J,"="&amp;$A106,'data (1)'!$A:$A,"="&amp;вариация!E$2)</f>
        <v>0</v>
      </c>
      <c r="F106">
        <f>SUMIFS('data (1)'!$M:$M,'data (1)'!$J:$J,"="&amp;$A106,'data (1)'!$A:$A,"="&amp;вариация!F$2)</f>
        <v>0</v>
      </c>
      <c r="G106">
        <f>SUMIFS('data (1)'!$M:$M,'data (1)'!$J:$J,"="&amp;$A106,'data (1)'!$A:$A,"="&amp;вариация!G$2)</f>
        <v>0</v>
      </c>
      <c r="H106" t="str">
        <f t="shared" si="3"/>
        <v>No</v>
      </c>
    </row>
    <row r="107" spans="1:8" x14ac:dyDescent="0.25">
      <c r="A107" s="7" t="s">
        <v>733</v>
      </c>
      <c r="B107" s="25">
        <f t="shared" si="2"/>
        <v>2.2360679774997894</v>
      </c>
      <c r="C107">
        <f>SUMIFS('data (1)'!$M:$M,'data (1)'!$J:$J,"="&amp;$A107,'data (1)'!$A:$A,"="&amp;вариация!C$2)</f>
        <v>0</v>
      </c>
      <c r="D107">
        <f>SUMIFS('data (1)'!$M:$M,'data (1)'!$J:$J,"="&amp;$A107,'data (1)'!$A:$A,"="&amp;вариация!D$2)</f>
        <v>0</v>
      </c>
      <c r="E107">
        <f>SUMIFS('data (1)'!$M:$M,'data (1)'!$J:$J,"="&amp;$A107,'data (1)'!$A:$A,"="&amp;вариация!E$2)</f>
        <v>1</v>
      </c>
      <c r="F107">
        <f>SUMIFS('data (1)'!$M:$M,'data (1)'!$J:$J,"="&amp;$A107,'data (1)'!$A:$A,"="&amp;вариация!F$2)</f>
        <v>0</v>
      </c>
      <c r="G107">
        <f>SUMIFS('data (1)'!$M:$M,'data (1)'!$J:$J,"="&amp;$A107,'data (1)'!$A:$A,"="&amp;вариация!G$2)</f>
        <v>0</v>
      </c>
      <c r="H107" t="str">
        <f t="shared" si="3"/>
        <v>No</v>
      </c>
    </row>
    <row r="108" spans="1:8" x14ac:dyDescent="0.25">
      <c r="A108" s="7" t="s">
        <v>1013</v>
      </c>
      <c r="B108" s="25">
        <f t="shared" si="2"/>
        <v>1.4907119849998598</v>
      </c>
      <c r="C108">
        <f>SUMIFS('data (1)'!$M:$M,'data (1)'!$J:$J,"="&amp;$A108,'data (1)'!$A:$A,"="&amp;вариация!C$2)</f>
        <v>0</v>
      </c>
      <c r="D108">
        <f>SUMIFS('data (1)'!$M:$M,'data (1)'!$J:$J,"="&amp;$A108,'data (1)'!$A:$A,"="&amp;вариация!D$2)</f>
        <v>0</v>
      </c>
      <c r="E108">
        <f>SUMIFS('data (1)'!$M:$M,'data (1)'!$J:$J,"="&amp;$A108,'data (1)'!$A:$A,"="&amp;вариация!E$2)</f>
        <v>0</v>
      </c>
      <c r="F108">
        <f>SUMIFS('data (1)'!$M:$M,'data (1)'!$J:$J,"="&amp;$A108,'data (1)'!$A:$A,"="&amp;вариация!F$2)</f>
        <v>1</v>
      </c>
      <c r="G108">
        <f>SUMIFS('data (1)'!$M:$M,'data (1)'!$J:$J,"="&amp;$A108,'data (1)'!$A:$A,"="&amp;вариация!G$2)</f>
        <v>2</v>
      </c>
      <c r="H108" t="str">
        <f t="shared" si="3"/>
        <v>No</v>
      </c>
    </row>
    <row r="109" spans="1:8" x14ac:dyDescent="0.25">
      <c r="A109" s="7" t="s">
        <v>393</v>
      </c>
      <c r="B109" s="25">
        <f t="shared" si="2"/>
        <v>2.2360679774997894</v>
      </c>
      <c r="C109">
        <f>SUMIFS('data (1)'!$M:$M,'data (1)'!$J:$J,"="&amp;$A109,'data (1)'!$A:$A,"="&amp;вариация!C$2)</f>
        <v>1</v>
      </c>
      <c r="D109">
        <f>SUMIFS('data (1)'!$M:$M,'data (1)'!$J:$J,"="&amp;$A109,'data (1)'!$A:$A,"="&amp;вариация!D$2)</f>
        <v>0</v>
      </c>
      <c r="E109">
        <f>SUMIFS('data (1)'!$M:$M,'data (1)'!$J:$J,"="&amp;$A109,'data (1)'!$A:$A,"="&amp;вариация!E$2)</f>
        <v>0</v>
      </c>
      <c r="F109">
        <f>SUMIFS('data (1)'!$M:$M,'data (1)'!$J:$J,"="&amp;$A109,'data (1)'!$A:$A,"="&amp;вариация!F$2)</f>
        <v>0</v>
      </c>
      <c r="G109">
        <f>SUMIFS('data (1)'!$M:$M,'data (1)'!$J:$J,"="&amp;$A109,'data (1)'!$A:$A,"="&amp;вариация!G$2)</f>
        <v>0</v>
      </c>
      <c r="H109" t="str">
        <f t="shared" si="3"/>
        <v>No</v>
      </c>
    </row>
    <row r="110" spans="1:8" x14ac:dyDescent="0.25">
      <c r="A110" s="7" t="s">
        <v>982</v>
      </c>
      <c r="B110" s="25">
        <f t="shared" si="2"/>
        <v>2.2360679774997894</v>
      </c>
      <c r="C110">
        <f>SUMIFS('data (1)'!$M:$M,'data (1)'!$J:$J,"="&amp;$A110,'data (1)'!$A:$A,"="&amp;вариация!C$2)</f>
        <v>0</v>
      </c>
      <c r="D110">
        <f>SUMIFS('data (1)'!$M:$M,'data (1)'!$J:$J,"="&amp;$A110,'data (1)'!$A:$A,"="&amp;вариация!D$2)</f>
        <v>0</v>
      </c>
      <c r="E110">
        <f>SUMIFS('data (1)'!$M:$M,'data (1)'!$J:$J,"="&amp;$A110,'data (1)'!$A:$A,"="&amp;вариация!E$2)</f>
        <v>0</v>
      </c>
      <c r="F110">
        <f>SUMIFS('data (1)'!$M:$M,'data (1)'!$J:$J,"="&amp;$A110,'data (1)'!$A:$A,"="&amp;вариация!F$2)</f>
        <v>1</v>
      </c>
      <c r="G110">
        <f>SUMIFS('data (1)'!$M:$M,'data (1)'!$J:$J,"="&amp;$A110,'data (1)'!$A:$A,"="&amp;вариация!G$2)</f>
        <v>0</v>
      </c>
      <c r="H110" t="str">
        <f t="shared" si="3"/>
        <v>No</v>
      </c>
    </row>
    <row r="111" spans="1:8" x14ac:dyDescent="0.25">
      <c r="A111" s="7" t="s">
        <v>956</v>
      </c>
      <c r="B111" s="25">
        <f t="shared" si="2"/>
        <v>2.2360679774997894</v>
      </c>
      <c r="C111">
        <f>SUMIFS('data (1)'!$M:$M,'data (1)'!$J:$J,"="&amp;$A111,'data (1)'!$A:$A,"="&amp;вариация!C$2)</f>
        <v>0</v>
      </c>
      <c r="D111">
        <f>SUMIFS('data (1)'!$M:$M,'data (1)'!$J:$J,"="&amp;$A111,'data (1)'!$A:$A,"="&amp;вариация!D$2)</f>
        <v>0</v>
      </c>
      <c r="E111">
        <f>SUMIFS('data (1)'!$M:$M,'data (1)'!$J:$J,"="&amp;$A111,'data (1)'!$A:$A,"="&amp;вариация!E$2)</f>
        <v>0</v>
      </c>
      <c r="F111">
        <f>SUMIFS('data (1)'!$M:$M,'data (1)'!$J:$J,"="&amp;$A111,'data (1)'!$A:$A,"="&amp;вариация!F$2)</f>
        <v>1</v>
      </c>
      <c r="G111">
        <f>SUMIFS('data (1)'!$M:$M,'data (1)'!$J:$J,"="&amp;$A111,'data (1)'!$A:$A,"="&amp;вариация!G$2)</f>
        <v>0</v>
      </c>
      <c r="H111" t="str">
        <f t="shared" si="3"/>
        <v>No</v>
      </c>
    </row>
    <row r="112" spans="1:8" x14ac:dyDescent="0.25">
      <c r="A112" s="7" t="s">
        <v>856</v>
      </c>
      <c r="B112" s="25">
        <f t="shared" si="2"/>
        <v>2.2360679774997894</v>
      </c>
      <c r="C112">
        <f>SUMIFS('data (1)'!$M:$M,'data (1)'!$J:$J,"="&amp;$A112,'data (1)'!$A:$A,"="&amp;вариация!C$2)</f>
        <v>0</v>
      </c>
      <c r="D112">
        <f>SUMIFS('data (1)'!$M:$M,'data (1)'!$J:$J,"="&amp;$A112,'data (1)'!$A:$A,"="&amp;вариация!D$2)</f>
        <v>0</v>
      </c>
      <c r="E112">
        <f>SUMIFS('data (1)'!$M:$M,'data (1)'!$J:$J,"="&amp;$A112,'data (1)'!$A:$A,"="&amp;вариация!E$2)</f>
        <v>1</v>
      </c>
      <c r="F112">
        <f>SUMIFS('data (1)'!$M:$M,'data (1)'!$J:$J,"="&amp;$A112,'data (1)'!$A:$A,"="&amp;вариация!F$2)</f>
        <v>0</v>
      </c>
      <c r="G112">
        <f>SUMIFS('data (1)'!$M:$M,'data (1)'!$J:$J,"="&amp;$A112,'data (1)'!$A:$A,"="&amp;вариация!G$2)</f>
        <v>0</v>
      </c>
      <c r="H112" t="str">
        <f t="shared" si="3"/>
        <v>No</v>
      </c>
    </row>
    <row r="113" spans="1:8" x14ac:dyDescent="0.25">
      <c r="A113" s="7" t="s">
        <v>971</v>
      </c>
      <c r="B113" s="25">
        <f t="shared" si="2"/>
        <v>2.2360679774997894</v>
      </c>
      <c r="C113">
        <f>SUMIFS('data (1)'!$M:$M,'data (1)'!$J:$J,"="&amp;$A113,'data (1)'!$A:$A,"="&amp;вариация!C$2)</f>
        <v>0</v>
      </c>
      <c r="D113">
        <f>SUMIFS('data (1)'!$M:$M,'data (1)'!$J:$J,"="&amp;$A113,'data (1)'!$A:$A,"="&amp;вариация!D$2)</f>
        <v>0</v>
      </c>
      <c r="E113">
        <f>SUMIFS('data (1)'!$M:$M,'data (1)'!$J:$J,"="&amp;$A113,'data (1)'!$A:$A,"="&amp;вариация!E$2)</f>
        <v>0</v>
      </c>
      <c r="F113">
        <f>SUMIFS('data (1)'!$M:$M,'data (1)'!$J:$J,"="&amp;$A113,'data (1)'!$A:$A,"="&amp;вариация!F$2)</f>
        <v>1</v>
      </c>
      <c r="G113">
        <f>SUMIFS('data (1)'!$M:$M,'data (1)'!$J:$J,"="&amp;$A113,'data (1)'!$A:$A,"="&amp;вариация!G$2)</f>
        <v>0</v>
      </c>
      <c r="H113" t="str">
        <f t="shared" si="3"/>
        <v>No</v>
      </c>
    </row>
    <row r="114" spans="1:8" x14ac:dyDescent="0.25">
      <c r="A114" s="7" t="s">
        <v>278</v>
      </c>
      <c r="B114" s="25">
        <f t="shared" si="2"/>
        <v>2.2360679774997894</v>
      </c>
      <c r="C114">
        <f>SUMIFS('data (1)'!$M:$M,'data (1)'!$J:$J,"="&amp;$A114,'data (1)'!$A:$A,"="&amp;вариация!C$2)</f>
        <v>1</v>
      </c>
      <c r="D114">
        <f>SUMIFS('data (1)'!$M:$M,'data (1)'!$J:$J,"="&amp;$A114,'data (1)'!$A:$A,"="&amp;вариация!D$2)</f>
        <v>0</v>
      </c>
      <c r="E114">
        <f>SUMIFS('data (1)'!$M:$M,'data (1)'!$J:$J,"="&amp;$A114,'data (1)'!$A:$A,"="&amp;вариация!E$2)</f>
        <v>0</v>
      </c>
      <c r="F114">
        <f>SUMIFS('data (1)'!$M:$M,'data (1)'!$J:$J,"="&amp;$A114,'data (1)'!$A:$A,"="&amp;вариация!F$2)</f>
        <v>0</v>
      </c>
      <c r="G114">
        <f>SUMIFS('data (1)'!$M:$M,'data (1)'!$J:$J,"="&amp;$A114,'data (1)'!$A:$A,"="&amp;вариация!G$2)</f>
        <v>0</v>
      </c>
      <c r="H114" t="str">
        <f t="shared" si="3"/>
        <v>No</v>
      </c>
    </row>
    <row r="115" spans="1:8" x14ac:dyDescent="0.25">
      <c r="A115" s="7" t="s">
        <v>489</v>
      </c>
      <c r="B115" s="25">
        <f t="shared" si="2"/>
        <v>2.2360679774997894</v>
      </c>
      <c r="C115">
        <f>SUMIFS('data (1)'!$M:$M,'data (1)'!$J:$J,"="&amp;$A115,'data (1)'!$A:$A,"="&amp;вариация!C$2)</f>
        <v>0</v>
      </c>
      <c r="D115">
        <f>SUMIFS('data (1)'!$M:$M,'data (1)'!$J:$J,"="&amp;$A115,'data (1)'!$A:$A,"="&amp;вариация!D$2)</f>
        <v>1</v>
      </c>
      <c r="E115">
        <f>SUMIFS('data (1)'!$M:$M,'data (1)'!$J:$J,"="&amp;$A115,'data (1)'!$A:$A,"="&amp;вариация!E$2)</f>
        <v>0</v>
      </c>
      <c r="F115">
        <f>SUMIFS('data (1)'!$M:$M,'data (1)'!$J:$J,"="&amp;$A115,'data (1)'!$A:$A,"="&amp;вариация!F$2)</f>
        <v>0</v>
      </c>
      <c r="G115">
        <f>SUMIFS('data (1)'!$M:$M,'data (1)'!$J:$J,"="&amp;$A115,'data (1)'!$A:$A,"="&amp;вариация!G$2)</f>
        <v>0</v>
      </c>
      <c r="H115" t="str">
        <f t="shared" si="3"/>
        <v>No</v>
      </c>
    </row>
    <row r="116" spans="1:8" x14ac:dyDescent="0.25">
      <c r="A116" s="7" t="s">
        <v>100</v>
      </c>
      <c r="B116" s="25">
        <f t="shared" si="2"/>
        <v>2.2360679774997894</v>
      </c>
      <c r="C116">
        <f>SUMIFS('data (1)'!$M:$M,'data (1)'!$J:$J,"="&amp;$A116,'data (1)'!$A:$A,"="&amp;вариация!C$2)</f>
        <v>1</v>
      </c>
      <c r="D116">
        <f>SUMIFS('data (1)'!$M:$M,'data (1)'!$J:$J,"="&amp;$A116,'data (1)'!$A:$A,"="&amp;вариация!D$2)</f>
        <v>0</v>
      </c>
      <c r="E116">
        <f>SUMIFS('data (1)'!$M:$M,'data (1)'!$J:$J,"="&amp;$A116,'data (1)'!$A:$A,"="&amp;вариация!E$2)</f>
        <v>0</v>
      </c>
      <c r="F116">
        <f>SUMIFS('data (1)'!$M:$M,'data (1)'!$J:$J,"="&amp;$A116,'data (1)'!$A:$A,"="&amp;вариация!F$2)</f>
        <v>0</v>
      </c>
      <c r="G116">
        <f>SUMIFS('data (1)'!$M:$M,'data (1)'!$J:$J,"="&amp;$A116,'data (1)'!$A:$A,"="&amp;вариация!G$2)</f>
        <v>0</v>
      </c>
      <c r="H116" t="str">
        <f t="shared" si="3"/>
        <v>No</v>
      </c>
    </row>
    <row r="117" spans="1:8" x14ac:dyDescent="0.25">
      <c r="A117" s="7" t="s">
        <v>863</v>
      </c>
      <c r="B117" s="25">
        <f t="shared" si="2"/>
        <v>2.2360679774997894</v>
      </c>
      <c r="C117">
        <f>SUMIFS('data (1)'!$M:$M,'data (1)'!$J:$J,"="&amp;$A117,'data (1)'!$A:$A,"="&amp;вариация!C$2)</f>
        <v>0</v>
      </c>
      <c r="D117">
        <f>SUMIFS('data (1)'!$M:$M,'data (1)'!$J:$J,"="&amp;$A117,'data (1)'!$A:$A,"="&amp;вариация!D$2)</f>
        <v>0</v>
      </c>
      <c r="E117">
        <f>SUMIFS('data (1)'!$M:$M,'data (1)'!$J:$J,"="&amp;$A117,'data (1)'!$A:$A,"="&amp;вариация!E$2)</f>
        <v>1</v>
      </c>
      <c r="F117">
        <f>SUMIFS('data (1)'!$M:$M,'data (1)'!$J:$J,"="&amp;$A117,'data (1)'!$A:$A,"="&amp;вариация!F$2)</f>
        <v>0</v>
      </c>
      <c r="G117">
        <f>SUMIFS('data (1)'!$M:$M,'data (1)'!$J:$J,"="&amp;$A117,'data (1)'!$A:$A,"="&amp;вариация!G$2)</f>
        <v>0</v>
      </c>
      <c r="H117" t="str">
        <f t="shared" si="3"/>
        <v>No</v>
      </c>
    </row>
    <row r="118" spans="1:8" x14ac:dyDescent="0.25">
      <c r="A118" s="7" t="s">
        <v>707</v>
      </c>
      <c r="B118" s="25">
        <f t="shared" si="2"/>
        <v>1.4907119849998598</v>
      </c>
      <c r="C118">
        <f>SUMIFS('data (1)'!$M:$M,'data (1)'!$J:$J,"="&amp;$A118,'data (1)'!$A:$A,"="&amp;вариация!C$2)</f>
        <v>0</v>
      </c>
      <c r="D118">
        <f>SUMIFS('data (1)'!$M:$M,'data (1)'!$J:$J,"="&amp;$A118,'data (1)'!$A:$A,"="&amp;вариация!D$2)</f>
        <v>0</v>
      </c>
      <c r="E118">
        <f>SUMIFS('data (1)'!$M:$M,'data (1)'!$J:$J,"="&amp;$A118,'data (1)'!$A:$A,"="&amp;вариация!E$2)</f>
        <v>1</v>
      </c>
      <c r="F118">
        <f>SUMIFS('data (1)'!$M:$M,'data (1)'!$J:$J,"="&amp;$A118,'data (1)'!$A:$A,"="&amp;вариация!F$2)</f>
        <v>0</v>
      </c>
      <c r="G118">
        <f>SUMIFS('data (1)'!$M:$M,'data (1)'!$J:$J,"="&amp;$A118,'data (1)'!$A:$A,"="&amp;вариация!G$2)</f>
        <v>2</v>
      </c>
      <c r="H118" t="str">
        <f t="shared" si="3"/>
        <v>No</v>
      </c>
    </row>
    <row r="119" spans="1:8" x14ac:dyDescent="0.25">
      <c r="A119" s="7" t="s">
        <v>1063</v>
      </c>
      <c r="B119" s="25">
        <f t="shared" si="2"/>
        <v>2.2360679774997894</v>
      </c>
      <c r="C119">
        <f>SUMIFS('data (1)'!$M:$M,'data (1)'!$J:$J,"="&amp;$A119,'data (1)'!$A:$A,"="&amp;вариация!C$2)</f>
        <v>0</v>
      </c>
      <c r="D119">
        <f>SUMIFS('data (1)'!$M:$M,'data (1)'!$J:$J,"="&amp;$A119,'data (1)'!$A:$A,"="&amp;вариация!D$2)</f>
        <v>0</v>
      </c>
      <c r="E119">
        <f>SUMIFS('data (1)'!$M:$M,'data (1)'!$J:$J,"="&amp;$A119,'data (1)'!$A:$A,"="&amp;вариация!E$2)</f>
        <v>0</v>
      </c>
      <c r="F119">
        <f>SUMIFS('data (1)'!$M:$M,'data (1)'!$J:$J,"="&amp;$A119,'data (1)'!$A:$A,"="&amp;вариация!F$2)</f>
        <v>1</v>
      </c>
      <c r="G119">
        <f>SUMIFS('data (1)'!$M:$M,'data (1)'!$J:$J,"="&amp;$A119,'data (1)'!$A:$A,"="&amp;вариация!G$2)</f>
        <v>0</v>
      </c>
      <c r="H119" t="str">
        <f t="shared" si="3"/>
        <v>No</v>
      </c>
    </row>
    <row r="120" spans="1:8" x14ac:dyDescent="0.25">
      <c r="A120" s="7" t="s">
        <v>584</v>
      </c>
      <c r="B120" s="25">
        <f t="shared" si="2"/>
        <v>2.2360679774997894</v>
      </c>
      <c r="C120">
        <f>SUMIFS('data (1)'!$M:$M,'data (1)'!$J:$J,"="&amp;$A120,'data (1)'!$A:$A,"="&amp;вариация!C$2)</f>
        <v>0</v>
      </c>
      <c r="D120">
        <f>SUMIFS('data (1)'!$M:$M,'data (1)'!$J:$J,"="&amp;$A120,'data (1)'!$A:$A,"="&amp;вариация!D$2)</f>
        <v>1</v>
      </c>
      <c r="E120">
        <f>SUMIFS('data (1)'!$M:$M,'data (1)'!$J:$J,"="&amp;$A120,'data (1)'!$A:$A,"="&amp;вариация!E$2)</f>
        <v>0</v>
      </c>
      <c r="F120">
        <f>SUMIFS('data (1)'!$M:$M,'data (1)'!$J:$J,"="&amp;$A120,'data (1)'!$A:$A,"="&amp;вариация!F$2)</f>
        <v>0</v>
      </c>
      <c r="G120">
        <f>SUMIFS('data (1)'!$M:$M,'data (1)'!$J:$J,"="&amp;$A120,'data (1)'!$A:$A,"="&amp;вариация!G$2)</f>
        <v>0</v>
      </c>
      <c r="H120" t="str">
        <f t="shared" si="3"/>
        <v>No</v>
      </c>
    </row>
    <row r="121" spans="1:8" x14ac:dyDescent="0.25">
      <c r="A121" s="7" t="s">
        <v>329</v>
      </c>
      <c r="B121" s="25">
        <f t="shared" si="2"/>
        <v>2.2360679774997894</v>
      </c>
      <c r="C121">
        <f>SUMIFS('data (1)'!$M:$M,'data (1)'!$J:$J,"="&amp;$A121,'data (1)'!$A:$A,"="&amp;вариация!C$2)</f>
        <v>1</v>
      </c>
      <c r="D121">
        <f>SUMIFS('data (1)'!$M:$M,'data (1)'!$J:$J,"="&amp;$A121,'data (1)'!$A:$A,"="&amp;вариация!D$2)</f>
        <v>0</v>
      </c>
      <c r="E121">
        <f>SUMIFS('data (1)'!$M:$M,'data (1)'!$J:$J,"="&amp;$A121,'data (1)'!$A:$A,"="&amp;вариация!E$2)</f>
        <v>0</v>
      </c>
      <c r="F121">
        <f>SUMIFS('data (1)'!$M:$M,'data (1)'!$J:$J,"="&amp;$A121,'data (1)'!$A:$A,"="&amp;вариация!F$2)</f>
        <v>0</v>
      </c>
      <c r="G121">
        <f>SUMIFS('data (1)'!$M:$M,'data (1)'!$J:$J,"="&amp;$A121,'data (1)'!$A:$A,"="&amp;вариация!G$2)</f>
        <v>0</v>
      </c>
      <c r="H121" t="str">
        <f t="shared" si="3"/>
        <v>No</v>
      </c>
    </row>
    <row r="122" spans="1:8" x14ac:dyDescent="0.25">
      <c r="A122" s="7" t="s">
        <v>618</v>
      </c>
      <c r="B122" s="25">
        <f t="shared" si="2"/>
        <v>2.2360679774997898</v>
      </c>
      <c r="C122">
        <f>SUMIFS('data (1)'!$M:$M,'data (1)'!$J:$J,"="&amp;$A122,'data (1)'!$A:$A,"="&amp;вариация!C$2)</f>
        <v>0</v>
      </c>
      <c r="D122">
        <f>SUMIFS('data (1)'!$M:$M,'data (1)'!$J:$J,"="&amp;$A122,'data (1)'!$A:$A,"="&amp;вариация!D$2)</f>
        <v>3</v>
      </c>
      <c r="E122">
        <f>SUMIFS('data (1)'!$M:$M,'data (1)'!$J:$J,"="&amp;$A122,'data (1)'!$A:$A,"="&amp;вариация!E$2)</f>
        <v>0</v>
      </c>
      <c r="F122">
        <f>SUMIFS('data (1)'!$M:$M,'data (1)'!$J:$J,"="&amp;$A122,'data (1)'!$A:$A,"="&amp;вариация!F$2)</f>
        <v>0</v>
      </c>
      <c r="G122">
        <f>SUMIFS('data (1)'!$M:$M,'data (1)'!$J:$J,"="&amp;$A122,'data (1)'!$A:$A,"="&amp;вариация!G$2)</f>
        <v>0</v>
      </c>
      <c r="H122" t="str">
        <f t="shared" si="3"/>
        <v>No</v>
      </c>
    </row>
    <row r="123" spans="1:8" x14ac:dyDescent="0.25">
      <c r="A123" s="7" t="s">
        <v>645</v>
      </c>
      <c r="B123" s="25">
        <f t="shared" si="2"/>
        <v>2.2360679774997894</v>
      </c>
      <c r="C123">
        <f>SUMIFS('data (1)'!$M:$M,'data (1)'!$J:$J,"="&amp;$A123,'data (1)'!$A:$A,"="&amp;вариация!C$2)</f>
        <v>0</v>
      </c>
      <c r="D123">
        <f>SUMIFS('data (1)'!$M:$M,'data (1)'!$J:$J,"="&amp;$A123,'data (1)'!$A:$A,"="&amp;вариация!D$2)</f>
        <v>1</v>
      </c>
      <c r="E123">
        <f>SUMIFS('data (1)'!$M:$M,'data (1)'!$J:$J,"="&amp;$A123,'data (1)'!$A:$A,"="&amp;вариация!E$2)</f>
        <v>0</v>
      </c>
      <c r="F123">
        <f>SUMIFS('data (1)'!$M:$M,'data (1)'!$J:$J,"="&amp;$A123,'data (1)'!$A:$A,"="&amp;вариация!F$2)</f>
        <v>0</v>
      </c>
      <c r="G123">
        <f>SUMIFS('data (1)'!$M:$M,'data (1)'!$J:$J,"="&amp;$A123,'data (1)'!$A:$A,"="&amp;вариация!G$2)</f>
        <v>0</v>
      </c>
      <c r="H123" t="str">
        <f t="shared" si="3"/>
        <v>No</v>
      </c>
    </row>
    <row r="124" spans="1:8" x14ac:dyDescent="0.25">
      <c r="A124" s="7" t="s">
        <v>699</v>
      </c>
      <c r="B124" s="25">
        <f t="shared" si="2"/>
        <v>2.2360679774997894</v>
      </c>
      <c r="C124">
        <f>SUMIFS('data (1)'!$M:$M,'data (1)'!$J:$J,"="&amp;$A124,'data (1)'!$A:$A,"="&amp;вариация!C$2)</f>
        <v>0</v>
      </c>
      <c r="D124">
        <f>SUMIFS('data (1)'!$M:$M,'data (1)'!$J:$J,"="&amp;$A124,'data (1)'!$A:$A,"="&amp;вариация!D$2)</f>
        <v>1</v>
      </c>
      <c r="E124">
        <f>SUMIFS('data (1)'!$M:$M,'data (1)'!$J:$J,"="&amp;$A124,'data (1)'!$A:$A,"="&amp;вариация!E$2)</f>
        <v>0</v>
      </c>
      <c r="F124">
        <f>SUMIFS('data (1)'!$M:$M,'data (1)'!$J:$J,"="&amp;$A124,'data (1)'!$A:$A,"="&amp;вариация!F$2)</f>
        <v>0</v>
      </c>
      <c r="G124">
        <f>SUMIFS('data (1)'!$M:$M,'data (1)'!$J:$J,"="&amp;$A124,'data (1)'!$A:$A,"="&amp;вариация!G$2)</f>
        <v>0</v>
      </c>
      <c r="H124" t="str">
        <f t="shared" si="3"/>
        <v>No</v>
      </c>
    </row>
    <row r="125" spans="1:8" x14ac:dyDescent="0.25">
      <c r="A125" s="7" t="s">
        <v>944</v>
      </c>
      <c r="B125" s="25">
        <f t="shared" si="2"/>
        <v>1.4907119849998598</v>
      </c>
      <c r="C125">
        <f>SUMIFS('data (1)'!$M:$M,'data (1)'!$J:$J,"="&amp;$A125,'data (1)'!$A:$A,"="&amp;вариация!C$2)</f>
        <v>0</v>
      </c>
      <c r="D125">
        <f>SUMIFS('data (1)'!$M:$M,'data (1)'!$J:$J,"="&amp;$A125,'data (1)'!$A:$A,"="&amp;вариация!D$2)</f>
        <v>0</v>
      </c>
      <c r="E125">
        <f>SUMIFS('data (1)'!$M:$M,'data (1)'!$J:$J,"="&amp;$A125,'data (1)'!$A:$A,"="&amp;вариация!E$2)</f>
        <v>0</v>
      </c>
      <c r="F125">
        <f>SUMIFS('data (1)'!$M:$M,'data (1)'!$J:$J,"="&amp;$A125,'data (1)'!$A:$A,"="&amp;вариация!F$2)</f>
        <v>2</v>
      </c>
      <c r="G125">
        <f>SUMIFS('data (1)'!$M:$M,'data (1)'!$J:$J,"="&amp;$A125,'data (1)'!$A:$A,"="&amp;вариация!G$2)</f>
        <v>1</v>
      </c>
      <c r="H125" t="str">
        <f t="shared" si="3"/>
        <v>No</v>
      </c>
    </row>
    <row r="126" spans="1:8" x14ac:dyDescent="0.25">
      <c r="A126" s="7" t="s">
        <v>158</v>
      </c>
      <c r="B126" s="25">
        <f t="shared" si="2"/>
        <v>1.3693063937629151</v>
      </c>
      <c r="C126">
        <f>SUMIFS('data (1)'!$M:$M,'data (1)'!$J:$J,"="&amp;$A126,'data (1)'!$A:$A,"="&amp;вариация!C$2)</f>
        <v>1</v>
      </c>
      <c r="D126">
        <f>SUMIFS('data (1)'!$M:$M,'data (1)'!$J:$J,"="&amp;$A126,'data (1)'!$A:$A,"="&amp;вариация!D$2)</f>
        <v>0</v>
      </c>
      <c r="E126">
        <f>SUMIFS('data (1)'!$M:$M,'data (1)'!$J:$J,"="&amp;$A126,'data (1)'!$A:$A,"="&amp;вариация!E$2)</f>
        <v>0</v>
      </c>
      <c r="F126">
        <f>SUMIFS('data (1)'!$M:$M,'data (1)'!$J:$J,"="&amp;$A126,'data (1)'!$A:$A,"="&amp;вариация!F$2)</f>
        <v>0</v>
      </c>
      <c r="G126">
        <f>SUMIFS('data (1)'!$M:$M,'data (1)'!$J:$J,"="&amp;$A126,'data (1)'!$A:$A,"="&amp;вариация!G$2)</f>
        <v>1</v>
      </c>
      <c r="H126" t="str">
        <f t="shared" si="3"/>
        <v>No</v>
      </c>
    </row>
    <row r="127" spans="1:8" x14ac:dyDescent="0.25">
      <c r="A127" s="7" t="s">
        <v>445</v>
      </c>
      <c r="B127" s="25">
        <f t="shared" si="2"/>
        <v>1.3693063937629151</v>
      </c>
      <c r="C127">
        <f>SUMIFS('data (1)'!$M:$M,'data (1)'!$J:$J,"="&amp;$A127,'data (1)'!$A:$A,"="&amp;вариация!C$2)</f>
        <v>1</v>
      </c>
      <c r="D127">
        <f>SUMIFS('data (1)'!$M:$M,'data (1)'!$J:$J,"="&amp;$A127,'data (1)'!$A:$A,"="&amp;вариация!D$2)</f>
        <v>0</v>
      </c>
      <c r="E127">
        <f>SUMIFS('data (1)'!$M:$M,'data (1)'!$J:$J,"="&amp;$A127,'data (1)'!$A:$A,"="&amp;вариация!E$2)</f>
        <v>0</v>
      </c>
      <c r="F127">
        <f>SUMIFS('data (1)'!$M:$M,'data (1)'!$J:$J,"="&amp;$A127,'data (1)'!$A:$A,"="&amp;вариация!F$2)</f>
        <v>1</v>
      </c>
      <c r="G127">
        <f>SUMIFS('data (1)'!$M:$M,'data (1)'!$J:$J,"="&amp;$A127,'data (1)'!$A:$A,"="&amp;вариация!G$2)</f>
        <v>0</v>
      </c>
      <c r="H127" t="str">
        <f t="shared" si="3"/>
        <v>No</v>
      </c>
    </row>
    <row r="128" spans="1:8" x14ac:dyDescent="0.25">
      <c r="A128" s="7" t="s">
        <v>646</v>
      </c>
      <c r="B128" s="25">
        <f t="shared" si="2"/>
        <v>1.3693063937629151</v>
      </c>
      <c r="C128">
        <f>SUMIFS('data (1)'!$M:$M,'data (1)'!$J:$J,"="&amp;$A128,'data (1)'!$A:$A,"="&amp;вариация!C$2)</f>
        <v>0</v>
      </c>
      <c r="D128">
        <f>SUMIFS('data (1)'!$M:$M,'data (1)'!$J:$J,"="&amp;$A128,'data (1)'!$A:$A,"="&amp;вариация!D$2)</f>
        <v>1</v>
      </c>
      <c r="E128">
        <f>SUMIFS('data (1)'!$M:$M,'data (1)'!$J:$J,"="&amp;$A128,'data (1)'!$A:$A,"="&amp;вариация!E$2)</f>
        <v>0</v>
      </c>
      <c r="F128">
        <f>SUMIFS('data (1)'!$M:$M,'data (1)'!$J:$J,"="&amp;$A128,'data (1)'!$A:$A,"="&amp;вариация!F$2)</f>
        <v>0</v>
      </c>
      <c r="G128">
        <f>SUMIFS('data (1)'!$M:$M,'data (1)'!$J:$J,"="&amp;$A128,'data (1)'!$A:$A,"="&amp;вариация!G$2)</f>
        <v>1</v>
      </c>
      <c r="H128" t="str">
        <f t="shared" si="3"/>
        <v>No</v>
      </c>
    </row>
    <row r="129" spans="1:8" x14ac:dyDescent="0.25">
      <c r="A129" s="7" t="s">
        <v>1208</v>
      </c>
      <c r="B129" s="25">
        <f t="shared" si="2"/>
        <v>2.2360679774997894</v>
      </c>
      <c r="C129">
        <f>SUMIFS('data (1)'!$M:$M,'data (1)'!$J:$J,"="&amp;$A129,'data (1)'!$A:$A,"="&amp;вариация!C$2)</f>
        <v>0</v>
      </c>
      <c r="D129">
        <f>SUMIFS('data (1)'!$M:$M,'data (1)'!$J:$J,"="&amp;$A129,'data (1)'!$A:$A,"="&amp;вариация!D$2)</f>
        <v>0</v>
      </c>
      <c r="E129">
        <f>SUMIFS('data (1)'!$M:$M,'data (1)'!$J:$J,"="&amp;$A129,'data (1)'!$A:$A,"="&amp;вариация!E$2)</f>
        <v>0</v>
      </c>
      <c r="F129">
        <f>SUMIFS('data (1)'!$M:$M,'data (1)'!$J:$J,"="&amp;$A129,'data (1)'!$A:$A,"="&amp;вариация!F$2)</f>
        <v>0</v>
      </c>
      <c r="G129">
        <f>SUMIFS('data (1)'!$M:$M,'data (1)'!$J:$J,"="&amp;$A129,'data (1)'!$A:$A,"="&amp;вариация!G$2)</f>
        <v>1</v>
      </c>
      <c r="H129" t="str">
        <f t="shared" si="3"/>
        <v>No</v>
      </c>
    </row>
    <row r="130" spans="1:8" x14ac:dyDescent="0.25">
      <c r="A130" s="7" t="s">
        <v>794</v>
      </c>
      <c r="B130" s="25">
        <f t="shared" si="2"/>
        <v>2.2360679774997894</v>
      </c>
      <c r="C130">
        <f>SUMIFS('data (1)'!$M:$M,'data (1)'!$J:$J,"="&amp;$A130,'data (1)'!$A:$A,"="&amp;вариация!C$2)</f>
        <v>0</v>
      </c>
      <c r="D130">
        <f>SUMIFS('data (1)'!$M:$M,'data (1)'!$J:$J,"="&amp;$A130,'data (1)'!$A:$A,"="&amp;вариация!D$2)</f>
        <v>0</v>
      </c>
      <c r="E130">
        <f>SUMIFS('data (1)'!$M:$M,'data (1)'!$J:$J,"="&amp;$A130,'data (1)'!$A:$A,"="&amp;вариация!E$2)</f>
        <v>2</v>
      </c>
      <c r="F130">
        <f>SUMIFS('data (1)'!$M:$M,'data (1)'!$J:$J,"="&amp;$A130,'data (1)'!$A:$A,"="&amp;вариация!F$2)</f>
        <v>0</v>
      </c>
      <c r="G130">
        <f>SUMIFS('data (1)'!$M:$M,'data (1)'!$J:$J,"="&amp;$A130,'data (1)'!$A:$A,"="&amp;вариация!G$2)</f>
        <v>0</v>
      </c>
      <c r="H130" t="str">
        <f t="shared" si="3"/>
        <v>No</v>
      </c>
    </row>
    <row r="131" spans="1:8" x14ac:dyDescent="0.25">
      <c r="A131" s="7" t="s">
        <v>73</v>
      </c>
      <c r="B131" s="25">
        <f t="shared" si="2"/>
        <v>2.2360679774997894</v>
      </c>
      <c r="C131">
        <f>SUMIFS('data (1)'!$M:$M,'data (1)'!$J:$J,"="&amp;$A131,'data (1)'!$A:$A,"="&amp;вариация!C$2)</f>
        <v>1</v>
      </c>
      <c r="D131">
        <f>SUMIFS('data (1)'!$M:$M,'data (1)'!$J:$J,"="&amp;$A131,'data (1)'!$A:$A,"="&amp;вариация!D$2)</f>
        <v>0</v>
      </c>
      <c r="E131">
        <f>SUMIFS('data (1)'!$M:$M,'data (1)'!$J:$J,"="&amp;$A131,'data (1)'!$A:$A,"="&amp;вариация!E$2)</f>
        <v>0</v>
      </c>
      <c r="F131">
        <f>SUMIFS('data (1)'!$M:$M,'data (1)'!$J:$J,"="&amp;$A131,'data (1)'!$A:$A,"="&amp;вариация!F$2)</f>
        <v>0</v>
      </c>
      <c r="G131">
        <f>SUMIFS('data (1)'!$M:$M,'data (1)'!$J:$J,"="&amp;$A131,'data (1)'!$A:$A,"="&amp;вариация!G$2)</f>
        <v>0</v>
      </c>
      <c r="H131" t="str">
        <f t="shared" si="3"/>
        <v>No</v>
      </c>
    </row>
    <row r="132" spans="1:8" x14ac:dyDescent="0.25">
      <c r="A132" s="7" t="s">
        <v>777</v>
      </c>
      <c r="B132" s="25">
        <f t="shared" ref="B132:B195" si="4">_xlfn.STDEV.S(C132:G132)/AVERAGE(C132:G132)</f>
        <v>2.2360679774997894</v>
      </c>
      <c r="C132">
        <f>SUMIFS('data (1)'!$M:$M,'data (1)'!$J:$J,"="&amp;$A132,'data (1)'!$A:$A,"="&amp;вариация!C$2)</f>
        <v>0</v>
      </c>
      <c r="D132">
        <f>SUMIFS('data (1)'!$M:$M,'data (1)'!$J:$J,"="&amp;$A132,'data (1)'!$A:$A,"="&amp;вариация!D$2)</f>
        <v>0</v>
      </c>
      <c r="E132">
        <f>SUMIFS('data (1)'!$M:$M,'data (1)'!$J:$J,"="&amp;$A132,'data (1)'!$A:$A,"="&amp;вариация!E$2)</f>
        <v>1</v>
      </c>
      <c r="F132">
        <f>SUMIFS('data (1)'!$M:$M,'data (1)'!$J:$J,"="&amp;$A132,'data (1)'!$A:$A,"="&amp;вариация!F$2)</f>
        <v>0</v>
      </c>
      <c r="G132">
        <f>SUMIFS('data (1)'!$M:$M,'data (1)'!$J:$J,"="&amp;$A132,'data (1)'!$A:$A,"="&amp;вариация!G$2)</f>
        <v>0</v>
      </c>
      <c r="H132" t="str">
        <f t="shared" ref="H132:H195" si="5">IF(COUNTIF(C132:G132,"&gt;0") &gt;=3, "Yes", "No")</f>
        <v>No</v>
      </c>
    </row>
    <row r="133" spans="1:8" x14ac:dyDescent="0.25">
      <c r="A133" s="7" t="s">
        <v>616</v>
      </c>
      <c r="B133" s="25">
        <f t="shared" si="4"/>
        <v>2.2360679774997894</v>
      </c>
      <c r="C133">
        <f>SUMIFS('data (1)'!$M:$M,'data (1)'!$J:$J,"="&amp;$A133,'data (1)'!$A:$A,"="&amp;вариация!C$2)</f>
        <v>0</v>
      </c>
      <c r="D133">
        <f>SUMIFS('data (1)'!$M:$M,'data (1)'!$J:$J,"="&amp;$A133,'data (1)'!$A:$A,"="&amp;вариация!D$2)</f>
        <v>1</v>
      </c>
      <c r="E133">
        <f>SUMIFS('data (1)'!$M:$M,'data (1)'!$J:$J,"="&amp;$A133,'data (1)'!$A:$A,"="&amp;вариация!E$2)</f>
        <v>0</v>
      </c>
      <c r="F133">
        <f>SUMIFS('data (1)'!$M:$M,'data (1)'!$J:$J,"="&amp;$A133,'data (1)'!$A:$A,"="&amp;вариация!F$2)</f>
        <v>0</v>
      </c>
      <c r="G133">
        <f>SUMIFS('data (1)'!$M:$M,'data (1)'!$J:$J,"="&amp;$A133,'data (1)'!$A:$A,"="&amp;вариация!G$2)</f>
        <v>0</v>
      </c>
      <c r="H133" t="str">
        <f t="shared" si="5"/>
        <v>No</v>
      </c>
    </row>
    <row r="134" spans="1:8" x14ac:dyDescent="0.25">
      <c r="A134" s="7" t="s">
        <v>883</v>
      </c>
      <c r="B134" s="25">
        <f t="shared" si="4"/>
        <v>2.2360679774997894</v>
      </c>
      <c r="C134">
        <f>SUMIFS('data (1)'!$M:$M,'data (1)'!$J:$J,"="&amp;$A134,'data (1)'!$A:$A,"="&amp;вариация!C$2)</f>
        <v>0</v>
      </c>
      <c r="D134">
        <f>SUMIFS('data (1)'!$M:$M,'data (1)'!$J:$J,"="&amp;$A134,'data (1)'!$A:$A,"="&amp;вариация!D$2)</f>
        <v>0</v>
      </c>
      <c r="E134">
        <f>SUMIFS('data (1)'!$M:$M,'data (1)'!$J:$J,"="&amp;$A134,'data (1)'!$A:$A,"="&amp;вариация!E$2)</f>
        <v>1</v>
      </c>
      <c r="F134">
        <f>SUMIFS('data (1)'!$M:$M,'data (1)'!$J:$J,"="&amp;$A134,'data (1)'!$A:$A,"="&amp;вариация!F$2)</f>
        <v>0</v>
      </c>
      <c r="G134">
        <f>SUMIFS('data (1)'!$M:$M,'data (1)'!$J:$J,"="&amp;$A134,'data (1)'!$A:$A,"="&amp;вариация!G$2)</f>
        <v>0</v>
      </c>
      <c r="H134" t="str">
        <f t="shared" si="5"/>
        <v>No</v>
      </c>
    </row>
    <row r="135" spans="1:8" x14ac:dyDescent="0.25">
      <c r="A135" s="7" t="s">
        <v>586</v>
      </c>
      <c r="B135" s="25">
        <f t="shared" si="4"/>
        <v>2.2360679774997894</v>
      </c>
      <c r="C135">
        <f>SUMIFS('data (1)'!$M:$M,'data (1)'!$J:$J,"="&amp;$A135,'data (1)'!$A:$A,"="&amp;вариация!C$2)</f>
        <v>0</v>
      </c>
      <c r="D135">
        <f>SUMIFS('data (1)'!$M:$M,'data (1)'!$J:$J,"="&amp;$A135,'data (1)'!$A:$A,"="&amp;вариация!D$2)</f>
        <v>22</v>
      </c>
      <c r="E135">
        <f>SUMIFS('data (1)'!$M:$M,'data (1)'!$J:$J,"="&amp;$A135,'data (1)'!$A:$A,"="&amp;вариация!E$2)</f>
        <v>0</v>
      </c>
      <c r="F135">
        <f>SUMIFS('data (1)'!$M:$M,'data (1)'!$J:$J,"="&amp;$A135,'data (1)'!$A:$A,"="&amp;вариация!F$2)</f>
        <v>0</v>
      </c>
      <c r="G135">
        <f>SUMIFS('data (1)'!$M:$M,'data (1)'!$J:$J,"="&amp;$A135,'data (1)'!$A:$A,"="&amp;вариация!G$2)</f>
        <v>0</v>
      </c>
      <c r="H135" t="str">
        <f t="shared" si="5"/>
        <v>No</v>
      </c>
    </row>
    <row r="136" spans="1:8" x14ac:dyDescent="0.25">
      <c r="A136" s="7" t="s">
        <v>249</v>
      </c>
      <c r="B136" s="25">
        <f t="shared" si="4"/>
        <v>2.2360679774997894</v>
      </c>
      <c r="C136">
        <f>SUMIFS('data (1)'!$M:$M,'data (1)'!$J:$J,"="&amp;$A136,'data (1)'!$A:$A,"="&amp;вариация!C$2)</f>
        <v>2</v>
      </c>
      <c r="D136">
        <f>SUMIFS('data (1)'!$M:$M,'data (1)'!$J:$J,"="&amp;$A136,'data (1)'!$A:$A,"="&amp;вариация!D$2)</f>
        <v>0</v>
      </c>
      <c r="E136">
        <f>SUMIFS('data (1)'!$M:$M,'data (1)'!$J:$J,"="&amp;$A136,'data (1)'!$A:$A,"="&amp;вариация!E$2)</f>
        <v>0</v>
      </c>
      <c r="F136">
        <f>SUMIFS('data (1)'!$M:$M,'data (1)'!$J:$J,"="&amp;$A136,'data (1)'!$A:$A,"="&amp;вариация!F$2)</f>
        <v>0</v>
      </c>
      <c r="G136">
        <f>SUMIFS('data (1)'!$M:$M,'data (1)'!$J:$J,"="&amp;$A136,'data (1)'!$A:$A,"="&amp;вариация!G$2)</f>
        <v>0</v>
      </c>
      <c r="H136" t="str">
        <f t="shared" si="5"/>
        <v>No</v>
      </c>
    </row>
    <row r="137" spans="1:8" x14ac:dyDescent="0.25">
      <c r="A137" s="7" t="s">
        <v>984</v>
      </c>
      <c r="B137" s="25">
        <f t="shared" si="4"/>
        <v>1.3693063937629151</v>
      </c>
      <c r="C137">
        <f>SUMIFS('data (1)'!$M:$M,'data (1)'!$J:$J,"="&amp;$A137,'data (1)'!$A:$A,"="&amp;вариация!C$2)</f>
        <v>0</v>
      </c>
      <c r="D137">
        <f>SUMIFS('data (1)'!$M:$M,'data (1)'!$J:$J,"="&amp;$A137,'data (1)'!$A:$A,"="&amp;вариация!D$2)</f>
        <v>0</v>
      </c>
      <c r="E137">
        <f>SUMIFS('data (1)'!$M:$M,'data (1)'!$J:$J,"="&amp;$A137,'data (1)'!$A:$A,"="&amp;вариация!E$2)</f>
        <v>0</v>
      </c>
      <c r="F137">
        <f>SUMIFS('data (1)'!$M:$M,'data (1)'!$J:$J,"="&amp;$A137,'data (1)'!$A:$A,"="&amp;вариация!F$2)</f>
        <v>1</v>
      </c>
      <c r="G137">
        <f>SUMIFS('data (1)'!$M:$M,'data (1)'!$J:$J,"="&amp;$A137,'data (1)'!$A:$A,"="&amp;вариация!G$2)</f>
        <v>1</v>
      </c>
      <c r="H137" t="str">
        <f t="shared" si="5"/>
        <v>No</v>
      </c>
    </row>
    <row r="138" spans="1:8" x14ac:dyDescent="0.25">
      <c r="A138" s="7" t="s">
        <v>234</v>
      </c>
      <c r="B138" s="25">
        <f t="shared" si="4"/>
        <v>2.2360679774997894</v>
      </c>
      <c r="C138">
        <f>SUMIFS('data (1)'!$M:$M,'data (1)'!$J:$J,"="&amp;$A138,'data (1)'!$A:$A,"="&amp;вариация!C$2)</f>
        <v>1</v>
      </c>
      <c r="D138">
        <f>SUMIFS('data (1)'!$M:$M,'data (1)'!$J:$J,"="&amp;$A138,'data (1)'!$A:$A,"="&amp;вариация!D$2)</f>
        <v>0</v>
      </c>
      <c r="E138">
        <f>SUMIFS('data (1)'!$M:$M,'data (1)'!$J:$J,"="&amp;$A138,'data (1)'!$A:$A,"="&amp;вариация!E$2)</f>
        <v>0</v>
      </c>
      <c r="F138">
        <f>SUMIFS('data (1)'!$M:$M,'data (1)'!$J:$J,"="&amp;$A138,'data (1)'!$A:$A,"="&amp;вариация!F$2)</f>
        <v>0</v>
      </c>
      <c r="G138">
        <f>SUMIFS('data (1)'!$M:$M,'data (1)'!$J:$J,"="&amp;$A138,'data (1)'!$A:$A,"="&amp;вариация!G$2)</f>
        <v>0</v>
      </c>
      <c r="H138" t="str">
        <f t="shared" si="5"/>
        <v>No</v>
      </c>
    </row>
    <row r="139" spans="1:8" x14ac:dyDescent="0.25">
      <c r="A139" s="7" t="s">
        <v>674</v>
      </c>
      <c r="B139" s="25">
        <f t="shared" si="4"/>
        <v>1</v>
      </c>
      <c r="C139">
        <f>SUMIFS('data (1)'!$M:$M,'data (1)'!$J:$J,"="&amp;$A139,'data (1)'!$A:$A,"="&amp;вариация!C$2)</f>
        <v>0</v>
      </c>
      <c r="D139">
        <f>SUMIFS('data (1)'!$M:$M,'data (1)'!$J:$J,"="&amp;$A139,'data (1)'!$A:$A,"="&amp;вариация!D$2)</f>
        <v>1</v>
      </c>
      <c r="E139">
        <f>SUMIFS('data (1)'!$M:$M,'data (1)'!$J:$J,"="&amp;$A139,'data (1)'!$A:$A,"="&amp;вариация!E$2)</f>
        <v>2</v>
      </c>
      <c r="F139">
        <f>SUMIFS('data (1)'!$M:$M,'data (1)'!$J:$J,"="&amp;$A139,'data (1)'!$A:$A,"="&amp;вариация!F$2)</f>
        <v>0</v>
      </c>
      <c r="G139">
        <f>SUMIFS('data (1)'!$M:$M,'data (1)'!$J:$J,"="&amp;$A139,'data (1)'!$A:$A,"="&amp;вариация!G$2)</f>
        <v>2</v>
      </c>
      <c r="H139" t="str">
        <f t="shared" si="5"/>
        <v>Yes</v>
      </c>
    </row>
    <row r="140" spans="1:8" x14ac:dyDescent="0.25">
      <c r="A140" s="7" t="s">
        <v>1060</v>
      </c>
      <c r="B140" s="25">
        <f t="shared" si="4"/>
        <v>2.2360679774997894</v>
      </c>
      <c r="C140">
        <f>SUMIFS('data (1)'!$M:$M,'data (1)'!$J:$J,"="&amp;$A140,'data (1)'!$A:$A,"="&amp;вариация!C$2)</f>
        <v>0</v>
      </c>
      <c r="D140">
        <f>SUMIFS('data (1)'!$M:$M,'data (1)'!$J:$J,"="&amp;$A140,'data (1)'!$A:$A,"="&amp;вариация!D$2)</f>
        <v>0</v>
      </c>
      <c r="E140">
        <f>SUMIFS('data (1)'!$M:$M,'data (1)'!$J:$J,"="&amp;$A140,'data (1)'!$A:$A,"="&amp;вариация!E$2)</f>
        <v>0</v>
      </c>
      <c r="F140">
        <f>SUMIFS('data (1)'!$M:$M,'data (1)'!$J:$J,"="&amp;$A140,'data (1)'!$A:$A,"="&amp;вариация!F$2)</f>
        <v>1</v>
      </c>
      <c r="G140">
        <f>SUMIFS('data (1)'!$M:$M,'data (1)'!$J:$J,"="&amp;$A140,'data (1)'!$A:$A,"="&amp;вариация!G$2)</f>
        <v>0</v>
      </c>
      <c r="H140" t="str">
        <f t="shared" si="5"/>
        <v>No</v>
      </c>
    </row>
    <row r="141" spans="1:8" x14ac:dyDescent="0.25">
      <c r="A141" s="7" t="s">
        <v>938</v>
      </c>
      <c r="B141" s="25">
        <f t="shared" si="4"/>
        <v>2.2360679774997894</v>
      </c>
      <c r="C141">
        <f>SUMIFS('data (1)'!$M:$M,'data (1)'!$J:$J,"="&amp;$A141,'data (1)'!$A:$A,"="&amp;вариация!C$2)</f>
        <v>0</v>
      </c>
      <c r="D141">
        <f>SUMIFS('data (1)'!$M:$M,'data (1)'!$J:$J,"="&amp;$A141,'data (1)'!$A:$A,"="&amp;вариация!D$2)</f>
        <v>0</v>
      </c>
      <c r="E141">
        <f>SUMIFS('data (1)'!$M:$M,'data (1)'!$J:$J,"="&amp;$A141,'data (1)'!$A:$A,"="&amp;вариация!E$2)</f>
        <v>0</v>
      </c>
      <c r="F141">
        <f>SUMIFS('data (1)'!$M:$M,'data (1)'!$J:$J,"="&amp;$A141,'data (1)'!$A:$A,"="&amp;вариация!F$2)</f>
        <v>1</v>
      </c>
      <c r="G141">
        <f>SUMIFS('data (1)'!$M:$M,'data (1)'!$J:$J,"="&amp;$A141,'data (1)'!$A:$A,"="&amp;вариация!G$2)</f>
        <v>0</v>
      </c>
      <c r="H141" t="str">
        <f t="shared" si="5"/>
        <v>No</v>
      </c>
    </row>
    <row r="142" spans="1:8" x14ac:dyDescent="0.25">
      <c r="A142" s="7" t="s">
        <v>800</v>
      </c>
      <c r="B142" s="25">
        <f t="shared" si="4"/>
        <v>2.2360679774997894</v>
      </c>
      <c r="C142">
        <f>SUMIFS('data (1)'!$M:$M,'data (1)'!$J:$J,"="&amp;$A142,'data (1)'!$A:$A,"="&amp;вариация!C$2)</f>
        <v>0</v>
      </c>
      <c r="D142">
        <f>SUMIFS('data (1)'!$M:$M,'data (1)'!$J:$J,"="&amp;$A142,'data (1)'!$A:$A,"="&amp;вариация!D$2)</f>
        <v>0</v>
      </c>
      <c r="E142">
        <f>SUMIFS('data (1)'!$M:$M,'data (1)'!$J:$J,"="&amp;$A142,'data (1)'!$A:$A,"="&amp;вариация!E$2)</f>
        <v>2</v>
      </c>
      <c r="F142">
        <f>SUMIFS('data (1)'!$M:$M,'data (1)'!$J:$J,"="&amp;$A142,'data (1)'!$A:$A,"="&amp;вариация!F$2)</f>
        <v>0</v>
      </c>
      <c r="G142">
        <f>SUMIFS('data (1)'!$M:$M,'data (1)'!$J:$J,"="&amp;$A142,'data (1)'!$A:$A,"="&amp;вариация!G$2)</f>
        <v>0</v>
      </c>
      <c r="H142" t="str">
        <f t="shared" si="5"/>
        <v>No</v>
      </c>
    </row>
    <row r="143" spans="1:8" x14ac:dyDescent="0.25">
      <c r="A143" s="7" t="s">
        <v>1146</v>
      </c>
      <c r="B143" s="25">
        <f t="shared" si="4"/>
        <v>2.2360679774997894</v>
      </c>
      <c r="C143">
        <f>SUMIFS('data (1)'!$M:$M,'data (1)'!$J:$J,"="&amp;$A143,'data (1)'!$A:$A,"="&amp;вариация!C$2)</f>
        <v>0</v>
      </c>
      <c r="D143">
        <f>SUMIFS('data (1)'!$M:$M,'data (1)'!$J:$J,"="&amp;$A143,'data (1)'!$A:$A,"="&amp;вариация!D$2)</f>
        <v>0</v>
      </c>
      <c r="E143">
        <f>SUMIFS('data (1)'!$M:$M,'data (1)'!$J:$J,"="&amp;$A143,'data (1)'!$A:$A,"="&amp;вариация!E$2)</f>
        <v>0</v>
      </c>
      <c r="F143">
        <f>SUMIFS('data (1)'!$M:$M,'data (1)'!$J:$J,"="&amp;$A143,'data (1)'!$A:$A,"="&amp;вариация!F$2)</f>
        <v>0</v>
      </c>
      <c r="G143">
        <f>SUMIFS('data (1)'!$M:$M,'data (1)'!$J:$J,"="&amp;$A143,'data (1)'!$A:$A,"="&amp;вариация!G$2)</f>
        <v>1</v>
      </c>
      <c r="H143" t="str">
        <f t="shared" si="5"/>
        <v>No</v>
      </c>
    </row>
    <row r="144" spans="1:8" x14ac:dyDescent="0.25">
      <c r="A144" s="7" t="s">
        <v>796</v>
      </c>
      <c r="B144" s="25">
        <f t="shared" si="4"/>
        <v>2.2360679774997894</v>
      </c>
      <c r="C144">
        <f>SUMIFS('data (1)'!$M:$M,'data (1)'!$J:$J,"="&amp;$A144,'data (1)'!$A:$A,"="&amp;вариация!C$2)</f>
        <v>0</v>
      </c>
      <c r="D144">
        <f>SUMIFS('data (1)'!$M:$M,'data (1)'!$J:$J,"="&amp;$A144,'data (1)'!$A:$A,"="&amp;вариация!D$2)</f>
        <v>0</v>
      </c>
      <c r="E144">
        <f>SUMIFS('data (1)'!$M:$M,'data (1)'!$J:$J,"="&amp;$A144,'data (1)'!$A:$A,"="&amp;вариация!E$2)</f>
        <v>1</v>
      </c>
      <c r="F144">
        <f>SUMIFS('data (1)'!$M:$M,'data (1)'!$J:$J,"="&amp;$A144,'data (1)'!$A:$A,"="&amp;вариация!F$2)</f>
        <v>0</v>
      </c>
      <c r="G144">
        <f>SUMIFS('data (1)'!$M:$M,'data (1)'!$J:$J,"="&amp;$A144,'data (1)'!$A:$A,"="&amp;вариация!G$2)</f>
        <v>0</v>
      </c>
      <c r="H144" t="str">
        <f t="shared" si="5"/>
        <v>No</v>
      </c>
    </row>
    <row r="145" spans="1:8" x14ac:dyDescent="0.25">
      <c r="A145" s="7" t="s">
        <v>374</v>
      </c>
      <c r="B145" s="25">
        <f t="shared" si="4"/>
        <v>2.2360679774997894</v>
      </c>
      <c r="C145">
        <f>SUMIFS('data (1)'!$M:$M,'data (1)'!$J:$J,"="&amp;$A145,'data (1)'!$A:$A,"="&amp;вариация!C$2)</f>
        <v>1</v>
      </c>
      <c r="D145">
        <f>SUMIFS('data (1)'!$M:$M,'data (1)'!$J:$J,"="&amp;$A145,'data (1)'!$A:$A,"="&amp;вариация!D$2)</f>
        <v>0</v>
      </c>
      <c r="E145">
        <f>SUMIFS('data (1)'!$M:$M,'data (1)'!$J:$J,"="&amp;$A145,'data (1)'!$A:$A,"="&amp;вариация!E$2)</f>
        <v>0</v>
      </c>
      <c r="F145">
        <f>SUMIFS('data (1)'!$M:$M,'data (1)'!$J:$J,"="&amp;$A145,'data (1)'!$A:$A,"="&amp;вариация!F$2)</f>
        <v>0</v>
      </c>
      <c r="G145">
        <f>SUMIFS('data (1)'!$M:$M,'data (1)'!$J:$J,"="&amp;$A145,'data (1)'!$A:$A,"="&amp;вариация!G$2)</f>
        <v>0</v>
      </c>
      <c r="H145" t="str">
        <f t="shared" si="5"/>
        <v>No</v>
      </c>
    </row>
    <row r="146" spans="1:8" x14ac:dyDescent="0.25">
      <c r="A146" s="7" t="s">
        <v>966</v>
      </c>
      <c r="B146" s="25">
        <f t="shared" si="4"/>
        <v>1.3693063937629151</v>
      </c>
      <c r="C146">
        <f>SUMIFS('data (1)'!$M:$M,'data (1)'!$J:$J,"="&amp;$A146,'data (1)'!$A:$A,"="&amp;вариация!C$2)</f>
        <v>0</v>
      </c>
      <c r="D146">
        <f>SUMIFS('data (1)'!$M:$M,'data (1)'!$J:$J,"="&amp;$A146,'data (1)'!$A:$A,"="&amp;вариация!D$2)</f>
        <v>0</v>
      </c>
      <c r="E146">
        <f>SUMIFS('data (1)'!$M:$M,'data (1)'!$J:$J,"="&amp;$A146,'data (1)'!$A:$A,"="&amp;вариация!E$2)</f>
        <v>0</v>
      </c>
      <c r="F146">
        <f>SUMIFS('data (1)'!$M:$M,'data (1)'!$J:$J,"="&amp;$A146,'data (1)'!$A:$A,"="&amp;вариация!F$2)</f>
        <v>1</v>
      </c>
      <c r="G146">
        <f>SUMIFS('data (1)'!$M:$M,'data (1)'!$J:$J,"="&amp;$A146,'data (1)'!$A:$A,"="&amp;вариация!G$2)</f>
        <v>1</v>
      </c>
      <c r="H146" t="str">
        <f t="shared" si="5"/>
        <v>No</v>
      </c>
    </row>
    <row r="147" spans="1:8" x14ac:dyDescent="0.25">
      <c r="A147" s="7" t="s">
        <v>325</v>
      </c>
      <c r="B147" s="25">
        <f t="shared" si="4"/>
        <v>2.2360679774997894</v>
      </c>
      <c r="C147">
        <f>SUMIFS('data (1)'!$M:$M,'data (1)'!$J:$J,"="&amp;$A147,'data (1)'!$A:$A,"="&amp;вариация!C$2)</f>
        <v>2</v>
      </c>
      <c r="D147">
        <f>SUMIFS('data (1)'!$M:$M,'data (1)'!$J:$J,"="&amp;$A147,'data (1)'!$A:$A,"="&amp;вариация!D$2)</f>
        <v>0</v>
      </c>
      <c r="E147">
        <f>SUMIFS('data (1)'!$M:$M,'data (1)'!$J:$J,"="&amp;$A147,'data (1)'!$A:$A,"="&amp;вариация!E$2)</f>
        <v>0</v>
      </c>
      <c r="F147">
        <f>SUMIFS('data (1)'!$M:$M,'data (1)'!$J:$J,"="&amp;$A147,'data (1)'!$A:$A,"="&amp;вариация!F$2)</f>
        <v>0</v>
      </c>
      <c r="G147">
        <f>SUMIFS('data (1)'!$M:$M,'data (1)'!$J:$J,"="&amp;$A147,'data (1)'!$A:$A,"="&amp;вариация!G$2)</f>
        <v>0</v>
      </c>
      <c r="H147" t="str">
        <f t="shared" si="5"/>
        <v>No</v>
      </c>
    </row>
    <row r="148" spans="1:8" x14ac:dyDescent="0.25">
      <c r="A148" s="7" t="s">
        <v>1178</v>
      </c>
      <c r="B148" s="25">
        <f t="shared" si="4"/>
        <v>2.2360679774997894</v>
      </c>
      <c r="C148">
        <f>SUMIFS('data (1)'!$M:$M,'data (1)'!$J:$J,"="&amp;$A148,'data (1)'!$A:$A,"="&amp;вариация!C$2)</f>
        <v>0</v>
      </c>
      <c r="D148">
        <f>SUMIFS('data (1)'!$M:$M,'data (1)'!$J:$J,"="&amp;$A148,'data (1)'!$A:$A,"="&amp;вариация!D$2)</f>
        <v>0</v>
      </c>
      <c r="E148">
        <f>SUMIFS('data (1)'!$M:$M,'data (1)'!$J:$J,"="&amp;$A148,'data (1)'!$A:$A,"="&amp;вариация!E$2)</f>
        <v>0</v>
      </c>
      <c r="F148">
        <f>SUMIFS('data (1)'!$M:$M,'data (1)'!$J:$J,"="&amp;$A148,'data (1)'!$A:$A,"="&amp;вариация!F$2)</f>
        <v>0</v>
      </c>
      <c r="G148">
        <f>SUMIFS('data (1)'!$M:$M,'data (1)'!$J:$J,"="&amp;$A148,'data (1)'!$A:$A,"="&amp;вариация!G$2)</f>
        <v>1</v>
      </c>
      <c r="H148" t="str">
        <f t="shared" si="5"/>
        <v>No</v>
      </c>
    </row>
    <row r="149" spans="1:8" x14ac:dyDescent="0.25">
      <c r="A149" s="7" t="s">
        <v>199</v>
      </c>
      <c r="B149" s="25">
        <f t="shared" si="4"/>
        <v>2.2360679774997894</v>
      </c>
      <c r="C149">
        <f>SUMIFS('data (1)'!$M:$M,'data (1)'!$J:$J,"="&amp;$A149,'data (1)'!$A:$A,"="&amp;вариация!C$2)</f>
        <v>2</v>
      </c>
      <c r="D149">
        <f>SUMIFS('data (1)'!$M:$M,'data (1)'!$J:$J,"="&amp;$A149,'data (1)'!$A:$A,"="&amp;вариация!D$2)</f>
        <v>0</v>
      </c>
      <c r="E149">
        <f>SUMIFS('data (1)'!$M:$M,'data (1)'!$J:$J,"="&amp;$A149,'data (1)'!$A:$A,"="&amp;вариация!E$2)</f>
        <v>0</v>
      </c>
      <c r="F149">
        <f>SUMIFS('data (1)'!$M:$M,'data (1)'!$J:$J,"="&amp;$A149,'data (1)'!$A:$A,"="&amp;вариация!F$2)</f>
        <v>0</v>
      </c>
      <c r="G149">
        <f>SUMIFS('data (1)'!$M:$M,'data (1)'!$J:$J,"="&amp;$A149,'data (1)'!$A:$A,"="&amp;вариация!G$2)</f>
        <v>0</v>
      </c>
      <c r="H149" t="str">
        <f t="shared" si="5"/>
        <v>No</v>
      </c>
    </row>
    <row r="150" spans="1:8" x14ac:dyDescent="0.25">
      <c r="A150" s="24" t="s">
        <v>627</v>
      </c>
      <c r="B150" s="25">
        <f t="shared" si="4"/>
        <v>0.71260964068696109</v>
      </c>
      <c r="C150">
        <f>SUMIFS('data (1)'!$M:$M,'data (1)'!$J:$J,"="&amp;$A150,'data (1)'!$A:$A,"="&amp;вариация!C$2)</f>
        <v>0</v>
      </c>
      <c r="D150">
        <f>SUMIFS('data (1)'!$M:$M,'data (1)'!$J:$J,"="&amp;$A150,'data (1)'!$A:$A,"="&amp;вариация!D$2)</f>
        <v>2</v>
      </c>
      <c r="E150">
        <f>SUMIFS('data (1)'!$M:$M,'data (1)'!$J:$J,"="&amp;$A150,'data (1)'!$A:$A,"="&amp;вариация!E$2)</f>
        <v>1</v>
      </c>
      <c r="F150">
        <f>SUMIFS('data (1)'!$M:$M,'data (1)'!$J:$J,"="&amp;$A150,'data (1)'!$A:$A,"="&amp;вариация!F$2)</f>
        <v>2</v>
      </c>
      <c r="G150">
        <f>SUMIFS('data (1)'!$M:$M,'data (1)'!$J:$J,"="&amp;$A150,'data (1)'!$A:$A,"="&amp;вариация!G$2)</f>
        <v>3</v>
      </c>
      <c r="H150" t="str">
        <f t="shared" si="5"/>
        <v>Yes</v>
      </c>
    </row>
    <row r="151" spans="1:8" x14ac:dyDescent="0.25">
      <c r="A151" s="7" t="s">
        <v>1201</v>
      </c>
      <c r="B151" s="25">
        <f t="shared" si="4"/>
        <v>2.2360679774997894</v>
      </c>
      <c r="C151">
        <f>SUMIFS('data (1)'!$M:$M,'data (1)'!$J:$J,"="&amp;$A151,'data (1)'!$A:$A,"="&amp;вариация!C$2)</f>
        <v>0</v>
      </c>
      <c r="D151">
        <f>SUMIFS('data (1)'!$M:$M,'data (1)'!$J:$J,"="&amp;$A151,'data (1)'!$A:$A,"="&amp;вариация!D$2)</f>
        <v>0</v>
      </c>
      <c r="E151">
        <f>SUMIFS('data (1)'!$M:$M,'data (1)'!$J:$J,"="&amp;$A151,'data (1)'!$A:$A,"="&amp;вариация!E$2)</f>
        <v>0</v>
      </c>
      <c r="F151">
        <f>SUMIFS('data (1)'!$M:$M,'data (1)'!$J:$J,"="&amp;$A151,'data (1)'!$A:$A,"="&amp;вариация!F$2)</f>
        <v>0</v>
      </c>
      <c r="G151">
        <f>SUMIFS('data (1)'!$M:$M,'data (1)'!$J:$J,"="&amp;$A151,'data (1)'!$A:$A,"="&amp;вариация!G$2)</f>
        <v>1</v>
      </c>
      <c r="H151" t="str">
        <f t="shared" si="5"/>
        <v>No</v>
      </c>
    </row>
    <row r="152" spans="1:8" x14ac:dyDescent="0.25">
      <c r="A152" s="7" t="s">
        <v>670</v>
      </c>
      <c r="B152" s="25">
        <f t="shared" si="4"/>
        <v>2.2360679774997898</v>
      </c>
      <c r="C152">
        <f>SUMIFS('data (1)'!$M:$M,'data (1)'!$J:$J,"="&amp;$A152,'data (1)'!$A:$A,"="&amp;вариация!C$2)</f>
        <v>0</v>
      </c>
      <c r="D152">
        <f>SUMIFS('data (1)'!$M:$M,'data (1)'!$J:$J,"="&amp;$A152,'data (1)'!$A:$A,"="&amp;вариация!D$2)</f>
        <v>5</v>
      </c>
      <c r="E152">
        <f>SUMIFS('data (1)'!$M:$M,'data (1)'!$J:$J,"="&amp;$A152,'data (1)'!$A:$A,"="&amp;вариация!E$2)</f>
        <v>0</v>
      </c>
      <c r="F152">
        <f>SUMIFS('data (1)'!$M:$M,'data (1)'!$J:$J,"="&amp;$A152,'data (1)'!$A:$A,"="&amp;вариация!F$2)</f>
        <v>0</v>
      </c>
      <c r="G152">
        <f>SUMIFS('data (1)'!$M:$M,'data (1)'!$J:$J,"="&amp;$A152,'data (1)'!$A:$A,"="&amp;вариация!G$2)</f>
        <v>0</v>
      </c>
      <c r="H152" t="str">
        <f t="shared" si="5"/>
        <v>No</v>
      </c>
    </row>
    <row r="153" spans="1:8" x14ac:dyDescent="0.25">
      <c r="A153" s="7" t="s">
        <v>418</v>
      </c>
      <c r="B153" s="25">
        <f t="shared" si="4"/>
        <v>0.70710678118654757</v>
      </c>
      <c r="C153">
        <f>SUMIFS('data (1)'!$M:$M,'data (1)'!$J:$J,"="&amp;$A153,'data (1)'!$A:$A,"="&amp;вариация!C$2)</f>
        <v>2</v>
      </c>
      <c r="D153">
        <f>SUMIFS('data (1)'!$M:$M,'data (1)'!$J:$J,"="&amp;$A153,'data (1)'!$A:$A,"="&amp;вариация!D$2)</f>
        <v>5</v>
      </c>
      <c r="E153">
        <f>SUMIFS('data (1)'!$M:$M,'data (1)'!$J:$J,"="&amp;$A153,'data (1)'!$A:$A,"="&amp;вариация!E$2)</f>
        <v>4</v>
      </c>
      <c r="F153">
        <f>SUMIFS('data (1)'!$M:$M,'data (1)'!$J:$J,"="&amp;$A153,'data (1)'!$A:$A,"="&amp;вариация!F$2)</f>
        <v>11</v>
      </c>
      <c r="G153">
        <f>SUMIFS('data (1)'!$M:$M,'data (1)'!$J:$J,"="&amp;$A153,'data (1)'!$A:$A,"="&amp;вариация!G$2)</f>
        <v>3</v>
      </c>
      <c r="H153" t="str">
        <f t="shared" si="5"/>
        <v>Yes</v>
      </c>
    </row>
    <row r="154" spans="1:8" x14ac:dyDescent="0.25">
      <c r="A154" s="7" t="s">
        <v>107</v>
      </c>
      <c r="B154" s="25">
        <f t="shared" si="4"/>
        <v>1.4907119849998598</v>
      </c>
      <c r="C154">
        <f>SUMIFS('data (1)'!$M:$M,'data (1)'!$J:$J,"="&amp;$A154,'data (1)'!$A:$A,"="&amp;вариация!C$2)</f>
        <v>1</v>
      </c>
      <c r="D154">
        <f>SUMIFS('data (1)'!$M:$M,'data (1)'!$J:$J,"="&amp;$A154,'data (1)'!$A:$A,"="&amp;вариация!D$2)</f>
        <v>0</v>
      </c>
      <c r="E154">
        <f>SUMIFS('data (1)'!$M:$M,'data (1)'!$J:$J,"="&amp;$A154,'data (1)'!$A:$A,"="&amp;вариация!E$2)</f>
        <v>0</v>
      </c>
      <c r="F154">
        <f>SUMIFS('data (1)'!$M:$M,'data (1)'!$J:$J,"="&amp;$A154,'data (1)'!$A:$A,"="&amp;вариация!F$2)</f>
        <v>2</v>
      </c>
      <c r="G154">
        <f>SUMIFS('data (1)'!$M:$M,'data (1)'!$J:$J,"="&amp;$A154,'data (1)'!$A:$A,"="&amp;вариация!G$2)</f>
        <v>0</v>
      </c>
      <c r="H154" t="str">
        <f t="shared" si="5"/>
        <v>No</v>
      </c>
    </row>
    <row r="155" spans="1:8" x14ac:dyDescent="0.25">
      <c r="A155" s="7" t="s">
        <v>885</v>
      </c>
      <c r="B155" s="25">
        <f t="shared" si="4"/>
        <v>1.4907119849998598</v>
      </c>
      <c r="C155">
        <f>SUMIFS('data (1)'!$M:$M,'data (1)'!$J:$J,"="&amp;$A155,'data (1)'!$A:$A,"="&amp;вариация!C$2)</f>
        <v>0</v>
      </c>
      <c r="D155">
        <f>SUMIFS('data (1)'!$M:$M,'data (1)'!$J:$J,"="&amp;$A155,'data (1)'!$A:$A,"="&amp;вариация!D$2)</f>
        <v>0</v>
      </c>
      <c r="E155">
        <f>SUMIFS('data (1)'!$M:$M,'data (1)'!$J:$J,"="&amp;$A155,'data (1)'!$A:$A,"="&amp;вариация!E$2)</f>
        <v>1</v>
      </c>
      <c r="F155">
        <f>SUMIFS('data (1)'!$M:$M,'data (1)'!$J:$J,"="&amp;$A155,'data (1)'!$A:$A,"="&amp;вариация!F$2)</f>
        <v>0</v>
      </c>
      <c r="G155">
        <f>SUMIFS('data (1)'!$M:$M,'data (1)'!$J:$J,"="&amp;$A155,'data (1)'!$A:$A,"="&amp;вариация!G$2)</f>
        <v>2</v>
      </c>
      <c r="H155" t="str">
        <f t="shared" si="5"/>
        <v>No</v>
      </c>
    </row>
    <row r="156" spans="1:8" x14ac:dyDescent="0.25">
      <c r="A156" s="7" t="s">
        <v>1128</v>
      </c>
      <c r="B156" s="25">
        <f t="shared" si="4"/>
        <v>2.2360679774997894</v>
      </c>
      <c r="C156">
        <f>SUMIFS('data (1)'!$M:$M,'data (1)'!$J:$J,"="&amp;$A156,'data (1)'!$A:$A,"="&amp;вариация!C$2)</f>
        <v>0</v>
      </c>
      <c r="D156">
        <f>SUMIFS('data (1)'!$M:$M,'data (1)'!$J:$J,"="&amp;$A156,'data (1)'!$A:$A,"="&amp;вариация!D$2)</f>
        <v>0</v>
      </c>
      <c r="E156">
        <f>SUMIFS('data (1)'!$M:$M,'data (1)'!$J:$J,"="&amp;$A156,'data (1)'!$A:$A,"="&amp;вариация!E$2)</f>
        <v>0</v>
      </c>
      <c r="F156">
        <f>SUMIFS('data (1)'!$M:$M,'data (1)'!$J:$J,"="&amp;$A156,'data (1)'!$A:$A,"="&amp;вариация!F$2)</f>
        <v>0</v>
      </c>
      <c r="G156">
        <f>SUMIFS('data (1)'!$M:$M,'data (1)'!$J:$J,"="&amp;$A156,'data (1)'!$A:$A,"="&amp;вариация!G$2)</f>
        <v>1</v>
      </c>
      <c r="H156" t="str">
        <f t="shared" si="5"/>
        <v>No</v>
      </c>
    </row>
    <row r="157" spans="1:8" x14ac:dyDescent="0.25">
      <c r="A157" s="7" t="s">
        <v>786</v>
      </c>
      <c r="B157" s="25">
        <f t="shared" si="4"/>
        <v>2.2360679774997894</v>
      </c>
      <c r="C157">
        <f>SUMIFS('data (1)'!$M:$M,'data (1)'!$J:$J,"="&amp;$A157,'data (1)'!$A:$A,"="&amp;вариация!C$2)</f>
        <v>0</v>
      </c>
      <c r="D157">
        <f>SUMIFS('data (1)'!$M:$M,'data (1)'!$J:$J,"="&amp;$A157,'data (1)'!$A:$A,"="&amp;вариация!D$2)</f>
        <v>0</v>
      </c>
      <c r="E157">
        <f>SUMIFS('data (1)'!$M:$M,'data (1)'!$J:$J,"="&amp;$A157,'data (1)'!$A:$A,"="&amp;вариация!E$2)</f>
        <v>1</v>
      </c>
      <c r="F157">
        <f>SUMIFS('data (1)'!$M:$M,'data (1)'!$J:$J,"="&amp;$A157,'data (1)'!$A:$A,"="&amp;вариация!F$2)</f>
        <v>0</v>
      </c>
      <c r="G157">
        <f>SUMIFS('data (1)'!$M:$M,'data (1)'!$J:$J,"="&amp;$A157,'data (1)'!$A:$A,"="&amp;вариация!G$2)</f>
        <v>0</v>
      </c>
      <c r="H157" t="str">
        <f t="shared" si="5"/>
        <v>No</v>
      </c>
    </row>
    <row r="158" spans="1:8" x14ac:dyDescent="0.25">
      <c r="A158" s="7" t="s">
        <v>1120</v>
      </c>
      <c r="B158" s="25">
        <f t="shared" si="4"/>
        <v>2.2360679774997894</v>
      </c>
      <c r="C158">
        <f>SUMIFS('data (1)'!$M:$M,'data (1)'!$J:$J,"="&amp;$A158,'data (1)'!$A:$A,"="&amp;вариация!C$2)</f>
        <v>0</v>
      </c>
      <c r="D158">
        <f>SUMIFS('data (1)'!$M:$M,'data (1)'!$J:$J,"="&amp;$A158,'data (1)'!$A:$A,"="&amp;вариация!D$2)</f>
        <v>0</v>
      </c>
      <c r="E158">
        <f>SUMIFS('data (1)'!$M:$M,'data (1)'!$J:$J,"="&amp;$A158,'data (1)'!$A:$A,"="&amp;вариация!E$2)</f>
        <v>0</v>
      </c>
      <c r="F158">
        <f>SUMIFS('data (1)'!$M:$M,'data (1)'!$J:$J,"="&amp;$A158,'data (1)'!$A:$A,"="&amp;вариация!F$2)</f>
        <v>0</v>
      </c>
      <c r="G158">
        <f>SUMIFS('data (1)'!$M:$M,'data (1)'!$J:$J,"="&amp;$A158,'data (1)'!$A:$A,"="&amp;вариация!G$2)</f>
        <v>1</v>
      </c>
      <c r="H158" t="str">
        <f t="shared" si="5"/>
        <v>No</v>
      </c>
    </row>
    <row r="159" spans="1:8" x14ac:dyDescent="0.25">
      <c r="A159" s="7" t="s">
        <v>1159</v>
      </c>
      <c r="B159" s="25">
        <f t="shared" si="4"/>
        <v>2.2360679774997894</v>
      </c>
      <c r="C159">
        <f>SUMIFS('data (1)'!$M:$M,'data (1)'!$J:$J,"="&amp;$A159,'data (1)'!$A:$A,"="&amp;вариация!C$2)</f>
        <v>0</v>
      </c>
      <c r="D159">
        <f>SUMIFS('data (1)'!$M:$M,'data (1)'!$J:$J,"="&amp;$A159,'data (1)'!$A:$A,"="&amp;вариация!D$2)</f>
        <v>0</v>
      </c>
      <c r="E159">
        <f>SUMIFS('data (1)'!$M:$M,'data (1)'!$J:$J,"="&amp;$A159,'data (1)'!$A:$A,"="&amp;вариация!E$2)</f>
        <v>0</v>
      </c>
      <c r="F159">
        <f>SUMIFS('data (1)'!$M:$M,'data (1)'!$J:$J,"="&amp;$A159,'data (1)'!$A:$A,"="&amp;вариация!F$2)</f>
        <v>0</v>
      </c>
      <c r="G159">
        <f>SUMIFS('data (1)'!$M:$M,'data (1)'!$J:$J,"="&amp;$A159,'data (1)'!$A:$A,"="&amp;вариация!G$2)</f>
        <v>1</v>
      </c>
      <c r="H159" t="str">
        <f t="shared" si="5"/>
        <v>No</v>
      </c>
    </row>
    <row r="160" spans="1:8" x14ac:dyDescent="0.25">
      <c r="A160" s="7" t="s">
        <v>1088</v>
      </c>
      <c r="B160" s="25">
        <f t="shared" si="4"/>
        <v>2.2360679774997894</v>
      </c>
      <c r="C160">
        <f>SUMIFS('data (1)'!$M:$M,'data (1)'!$J:$J,"="&amp;$A160,'data (1)'!$A:$A,"="&amp;вариация!C$2)</f>
        <v>0</v>
      </c>
      <c r="D160">
        <f>SUMIFS('data (1)'!$M:$M,'data (1)'!$J:$J,"="&amp;$A160,'data (1)'!$A:$A,"="&amp;вариация!D$2)</f>
        <v>0</v>
      </c>
      <c r="E160">
        <f>SUMIFS('data (1)'!$M:$M,'data (1)'!$J:$J,"="&amp;$A160,'data (1)'!$A:$A,"="&amp;вариация!E$2)</f>
        <v>0</v>
      </c>
      <c r="F160">
        <f>SUMIFS('data (1)'!$M:$M,'data (1)'!$J:$J,"="&amp;$A160,'data (1)'!$A:$A,"="&amp;вариация!F$2)</f>
        <v>0</v>
      </c>
      <c r="G160">
        <f>SUMIFS('data (1)'!$M:$M,'data (1)'!$J:$J,"="&amp;$A160,'data (1)'!$A:$A,"="&amp;вариация!G$2)</f>
        <v>1</v>
      </c>
      <c r="H160" t="str">
        <f t="shared" si="5"/>
        <v>No</v>
      </c>
    </row>
    <row r="161" spans="1:8" x14ac:dyDescent="0.25">
      <c r="A161" s="7" t="s">
        <v>194</v>
      </c>
      <c r="B161" s="25">
        <f t="shared" si="4"/>
        <v>2.2360679774997894</v>
      </c>
      <c r="C161">
        <f>SUMIFS('data (1)'!$M:$M,'data (1)'!$J:$J,"="&amp;$A161,'data (1)'!$A:$A,"="&amp;вариация!C$2)</f>
        <v>2</v>
      </c>
      <c r="D161">
        <f>SUMIFS('data (1)'!$M:$M,'data (1)'!$J:$J,"="&amp;$A161,'data (1)'!$A:$A,"="&amp;вариация!D$2)</f>
        <v>0</v>
      </c>
      <c r="E161">
        <f>SUMIFS('data (1)'!$M:$M,'data (1)'!$J:$J,"="&amp;$A161,'data (1)'!$A:$A,"="&amp;вариация!E$2)</f>
        <v>0</v>
      </c>
      <c r="F161">
        <f>SUMIFS('data (1)'!$M:$M,'data (1)'!$J:$J,"="&amp;$A161,'data (1)'!$A:$A,"="&amp;вариация!F$2)</f>
        <v>0</v>
      </c>
      <c r="G161">
        <f>SUMIFS('data (1)'!$M:$M,'data (1)'!$J:$J,"="&amp;$A161,'data (1)'!$A:$A,"="&amp;вариация!G$2)</f>
        <v>0</v>
      </c>
      <c r="H161" t="str">
        <f t="shared" si="5"/>
        <v>No</v>
      </c>
    </row>
    <row r="162" spans="1:8" x14ac:dyDescent="0.25">
      <c r="A162" s="7" t="s">
        <v>392</v>
      </c>
      <c r="B162" s="25">
        <f t="shared" si="4"/>
        <v>1.4907119849998598</v>
      </c>
      <c r="C162">
        <f>SUMIFS('data (1)'!$M:$M,'data (1)'!$J:$J,"="&amp;$A162,'data (1)'!$A:$A,"="&amp;вариация!C$2)</f>
        <v>1</v>
      </c>
      <c r="D162">
        <f>SUMIFS('data (1)'!$M:$M,'data (1)'!$J:$J,"="&amp;$A162,'data (1)'!$A:$A,"="&amp;вариация!D$2)</f>
        <v>0</v>
      </c>
      <c r="E162">
        <f>SUMIFS('data (1)'!$M:$M,'data (1)'!$J:$J,"="&amp;$A162,'data (1)'!$A:$A,"="&amp;вариация!E$2)</f>
        <v>0</v>
      </c>
      <c r="F162">
        <f>SUMIFS('data (1)'!$M:$M,'data (1)'!$J:$J,"="&amp;$A162,'data (1)'!$A:$A,"="&amp;вариация!F$2)</f>
        <v>0</v>
      </c>
      <c r="G162">
        <f>SUMIFS('data (1)'!$M:$M,'data (1)'!$J:$J,"="&amp;$A162,'data (1)'!$A:$A,"="&amp;вариация!G$2)</f>
        <v>2</v>
      </c>
      <c r="H162" t="str">
        <f t="shared" si="5"/>
        <v>No</v>
      </c>
    </row>
    <row r="163" spans="1:8" x14ac:dyDescent="0.25">
      <c r="A163" s="7" t="s">
        <v>788</v>
      </c>
      <c r="B163" s="25">
        <f t="shared" si="4"/>
        <v>2.2360679774997894</v>
      </c>
      <c r="C163">
        <f>SUMIFS('data (1)'!$M:$M,'data (1)'!$J:$J,"="&amp;$A163,'data (1)'!$A:$A,"="&amp;вариация!C$2)</f>
        <v>0</v>
      </c>
      <c r="D163">
        <f>SUMIFS('data (1)'!$M:$M,'data (1)'!$J:$J,"="&amp;$A163,'data (1)'!$A:$A,"="&amp;вариация!D$2)</f>
        <v>0</v>
      </c>
      <c r="E163">
        <f>SUMIFS('data (1)'!$M:$M,'data (1)'!$J:$J,"="&amp;$A163,'data (1)'!$A:$A,"="&amp;вариация!E$2)</f>
        <v>1</v>
      </c>
      <c r="F163">
        <f>SUMIFS('data (1)'!$M:$M,'data (1)'!$J:$J,"="&amp;$A163,'data (1)'!$A:$A,"="&amp;вариация!F$2)</f>
        <v>0</v>
      </c>
      <c r="G163">
        <f>SUMIFS('data (1)'!$M:$M,'data (1)'!$J:$J,"="&amp;$A163,'data (1)'!$A:$A,"="&amp;вариация!G$2)</f>
        <v>0</v>
      </c>
      <c r="H163" t="str">
        <f t="shared" si="5"/>
        <v>No</v>
      </c>
    </row>
    <row r="164" spans="1:8" x14ac:dyDescent="0.25">
      <c r="A164" s="7" t="s">
        <v>1005</v>
      </c>
      <c r="B164" s="25">
        <f t="shared" si="4"/>
        <v>2.2360679774997894</v>
      </c>
      <c r="C164">
        <f>SUMIFS('data (1)'!$M:$M,'data (1)'!$J:$J,"="&amp;$A164,'data (1)'!$A:$A,"="&amp;вариация!C$2)</f>
        <v>0</v>
      </c>
      <c r="D164">
        <f>SUMIFS('data (1)'!$M:$M,'data (1)'!$J:$J,"="&amp;$A164,'data (1)'!$A:$A,"="&amp;вариация!D$2)</f>
        <v>0</v>
      </c>
      <c r="E164">
        <f>SUMIFS('data (1)'!$M:$M,'data (1)'!$J:$J,"="&amp;$A164,'data (1)'!$A:$A,"="&amp;вариация!E$2)</f>
        <v>0</v>
      </c>
      <c r="F164">
        <f>SUMIFS('data (1)'!$M:$M,'data (1)'!$J:$J,"="&amp;$A164,'data (1)'!$A:$A,"="&amp;вариация!F$2)</f>
        <v>1</v>
      </c>
      <c r="G164">
        <f>SUMIFS('data (1)'!$M:$M,'data (1)'!$J:$J,"="&amp;$A164,'data (1)'!$A:$A,"="&amp;вариация!G$2)</f>
        <v>0</v>
      </c>
      <c r="H164" t="str">
        <f t="shared" si="5"/>
        <v>No</v>
      </c>
    </row>
    <row r="165" spans="1:8" x14ac:dyDescent="0.25">
      <c r="A165" s="7" t="s">
        <v>578</v>
      </c>
      <c r="B165" s="25">
        <f t="shared" si="4"/>
        <v>2.2360679774997894</v>
      </c>
      <c r="C165">
        <f>SUMIFS('data (1)'!$M:$M,'data (1)'!$J:$J,"="&amp;$A165,'data (1)'!$A:$A,"="&amp;вариация!C$2)</f>
        <v>0</v>
      </c>
      <c r="D165">
        <f>SUMIFS('data (1)'!$M:$M,'data (1)'!$J:$J,"="&amp;$A165,'data (1)'!$A:$A,"="&amp;вариация!D$2)</f>
        <v>1</v>
      </c>
      <c r="E165">
        <f>SUMIFS('data (1)'!$M:$M,'data (1)'!$J:$J,"="&amp;$A165,'data (1)'!$A:$A,"="&amp;вариация!E$2)</f>
        <v>0</v>
      </c>
      <c r="F165">
        <f>SUMIFS('data (1)'!$M:$M,'data (1)'!$J:$J,"="&amp;$A165,'data (1)'!$A:$A,"="&amp;вариация!F$2)</f>
        <v>0</v>
      </c>
      <c r="G165">
        <f>SUMIFS('data (1)'!$M:$M,'data (1)'!$J:$J,"="&amp;$A165,'data (1)'!$A:$A,"="&amp;вариация!G$2)</f>
        <v>0</v>
      </c>
      <c r="H165" t="str">
        <f t="shared" si="5"/>
        <v>No</v>
      </c>
    </row>
    <row r="166" spans="1:8" x14ac:dyDescent="0.25">
      <c r="A166" s="7" t="s">
        <v>1204</v>
      </c>
      <c r="B166" s="25">
        <f t="shared" si="4"/>
        <v>2.2360679774997894</v>
      </c>
      <c r="C166">
        <f>SUMIFS('data (1)'!$M:$M,'data (1)'!$J:$J,"="&amp;$A166,'data (1)'!$A:$A,"="&amp;вариация!C$2)</f>
        <v>0</v>
      </c>
      <c r="D166">
        <f>SUMIFS('data (1)'!$M:$M,'data (1)'!$J:$J,"="&amp;$A166,'data (1)'!$A:$A,"="&amp;вариация!D$2)</f>
        <v>0</v>
      </c>
      <c r="E166">
        <f>SUMIFS('data (1)'!$M:$M,'data (1)'!$J:$J,"="&amp;$A166,'data (1)'!$A:$A,"="&amp;вариация!E$2)</f>
        <v>0</v>
      </c>
      <c r="F166">
        <f>SUMIFS('data (1)'!$M:$M,'data (1)'!$J:$J,"="&amp;$A166,'data (1)'!$A:$A,"="&amp;вариация!F$2)</f>
        <v>0</v>
      </c>
      <c r="G166">
        <f>SUMIFS('data (1)'!$M:$M,'data (1)'!$J:$J,"="&amp;$A166,'data (1)'!$A:$A,"="&amp;вариация!G$2)</f>
        <v>1</v>
      </c>
      <c r="H166" t="str">
        <f t="shared" si="5"/>
        <v>No</v>
      </c>
    </row>
    <row r="167" spans="1:8" x14ac:dyDescent="0.25">
      <c r="A167" s="7" t="s">
        <v>1162</v>
      </c>
      <c r="B167" s="25">
        <f t="shared" si="4"/>
        <v>2.2360679774997894</v>
      </c>
      <c r="C167">
        <f>SUMIFS('data (1)'!$M:$M,'data (1)'!$J:$J,"="&amp;$A167,'data (1)'!$A:$A,"="&amp;вариация!C$2)</f>
        <v>0</v>
      </c>
      <c r="D167">
        <f>SUMIFS('data (1)'!$M:$M,'data (1)'!$J:$J,"="&amp;$A167,'data (1)'!$A:$A,"="&amp;вариация!D$2)</f>
        <v>0</v>
      </c>
      <c r="E167">
        <f>SUMIFS('data (1)'!$M:$M,'data (1)'!$J:$J,"="&amp;$A167,'data (1)'!$A:$A,"="&amp;вариация!E$2)</f>
        <v>0</v>
      </c>
      <c r="F167">
        <f>SUMIFS('data (1)'!$M:$M,'data (1)'!$J:$J,"="&amp;$A167,'data (1)'!$A:$A,"="&amp;вариация!F$2)</f>
        <v>0</v>
      </c>
      <c r="G167">
        <f>SUMIFS('data (1)'!$M:$M,'data (1)'!$J:$J,"="&amp;$A167,'data (1)'!$A:$A,"="&amp;вариация!G$2)</f>
        <v>1</v>
      </c>
      <c r="H167" t="str">
        <f t="shared" si="5"/>
        <v>No</v>
      </c>
    </row>
    <row r="168" spans="1:8" x14ac:dyDescent="0.25">
      <c r="A168" s="7" t="s">
        <v>308</v>
      </c>
      <c r="B168" s="25">
        <f t="shared" si="4"/>
        <v>2.2360679774997894</v>
      </c>
      <c r="C168">
        <f>SUMIFS('data (1)'!$M:$M,'data (1)'!$J:$J,"="&amp;$A168,'data (1)'!$A:$A,"="&amp;вариация!C$2)</f>
        <v>1</v>
      </c>
      <c r="D168">
        <f>SUMIFS('data (1)'!$M:$M,'data (1)'!$J:$J,"="&amp;$A168,'data (1)'!$A:$A,"="&amp;вариация!D$2)</f>
        <v>0</v>
      </c>
      <c r="E168">
        <f>SUMIFS('data (1)'!$M:$M,'data (1)'!$J:$J,"="&amp;$A168,'data (1)'!$A:$A,"="&amp;вариация!E$2)</f>
        <v>0</v>
      </c>
      <c r="F168">
        <f>SUMIFS('data (1)'!$M:$M,'data (1)'!$J:$J,"="&amp;$A168,'data (1)'!$A:$A,"="&amp;вариация!F$2)</f>
        <v>0</v>
      </c>
      <c r="G168">
        <f>SUMIFS('data (1)'!$M:$M,'data (1)'!$J:$J,"="&amp;$A168,'data (1)'!$A:$A,"="&amp;вариация!G$2)</f>
        <v>0</v>
      </c>
      <c r="H168" t="str">
        <f t="shared" si="5"/>
        <v>No</v>
      </c>
    </row>
    <row r="169" spans="1:8" x14ac:dyDescent="0.25">
      <c r="A169" s="7" t="s">
        <v>671</v>
      </c>
      <c r="B169" s="25">
        <f t="shared" si="4"/>
        <v>2.2360679774997894</v>
      </c>
      <c r="C169">
        <f>SUMIFS('data (1)'!$M:$M,'data (1)'!$J:$J,"="&amp;$A169,'data (1)'!$A:$A,"="&amp;вариация!C$2)</f>
        <v>0</v>
      </c>
      <c r="D169">
        <f>SUMIFS('data (1)'!$M:$M,'data (1)'!$J:$J,"="&amp;$A169,'data (1)'!$A:$A,"="&amp;вариация!D$2)</f>
        <v>1</v>
      </c>
      <c r="E169">
        <f>SUMIFS('data (1)'!$M:$M,'data (1)'!$J:$J,"="&amp;$A169,'data (1)'!$A:$A,"="&amp;вариация!E$2)</f>
        <v>0</v>
      </c>
      <c r="F169">
        <f>SUMIFS('data (1)'!$M:$M,'data (1)'!$J:$J,"="&amp;$A169,'data (1)'!$A:$A,"="&amp;вариация!F$2)</f>
        <v>0</v>
      </c>
      <c r="G169">
        <f>SUMIFS('data (1)'!$M:$M,'data (1)'!$J:$J,"="&amp;$A169,'data (1)'!$A:$A,"="&amp;вариация!G$2)</f>
        <v>0</v>
      </c>
      <c r="H169" t="str">
        <f t="shared" si="5"/>
        <v>No</v>
      </c>
    </row>
    <row r="170" spans="1:8" x14ac:dyDescent="0.25">
      <c r="A170" s="7" t="s">
        <v>465</v>
      </c>
      <c r="B170" s="25">
        <f t="shared" si="4"/>
        <v>1.3693063937629151</v>
      </c>
      <c r="C170">
        <f>SUMIFS('data (1)'!$M:$M,'data (1)'!$J:$J,"="&amp;$A170,'data (1)'!$A:$A,"="&amp;вариация!C$2)</f>
        <v>1</v>
      </c>
      <c r="D170">
        <f>SUMIFS('data (1)'!$M:$M,'data (1)'!$J:$J,"="&amp;$A170,'data (1)'!$A:$A,"="&amp;вариация!D$2)</f>
        <v>0</v>
      </c>
      <c r="E170">
        <f>SUMIFS('data (1)'!$M:$M,'data (1)'!$J:$J,"="&amp;$A170,'data (1)'!$A:$A,"="&amp;вариация!E$2)</f>
        <v>0</v>
      </c>
      <c r="F170">
        <f>SUMIFS('data (1)'!$M:$M,'data (1)'!$J:$J,"="&amp;$A170,'data (1)'!$A:$A,"="&amp;вариация!F$2)</f>
        <v>1</v>
      </c>
      <c r="G170">
        <f>SUMIFS('data (1)'!$M:$M,'data (1)'!$J:$J,"="&amp;$A170,'data (1)'!$A:$A,"="&amp;вариация!G$2)</f>
        <v>0</v>
      </c>
      <c r="H170" t="str">
        <f t="shared" si="5"/>
        <v>No</v>
      </c>
    </row>
    <row r="171" spans="1:8" x14ac:dyDescent="0.25">
      <c r="A171" s="7" t="s">
        <v>764</v>
      </c>
      <c r="B171" s="25">
        <f t="shared" si="4"/>
        <v>2.2360679774997894</v>
      </c>
      <c r="C171">
        <f>SUMIFS('data (1)'!$M:$M,'data (1)'!$J:$J,"="&amp;$A171,'data (1)'!$A:$A,"="&amp;вариация!C$2)</f>
        <v>0</v>
      </c>
      <c r="D171">
        <f>SUMIFS('data (1)'!$M:$M,'data (1)'!$J:$J,"="&amp;$A171,'data (1)'!$A:$A,"="&amp;вариация!D$2)</f>
        <v>0</v>
      </c>
      <c r="E171">
        <f>SUMIFS('data (1)'!$M:$M,'data (1)'!$J:$J,"="&amp;$A171,'data (1)'!$A:$A,"="&amp;вариация!E$2)</f>
        <v>1</v>
      </c>
      <c r="F171">
        <f>SUMIFS('data (1)'!$M:$M,'data (1)'!$J:$J,"="&amp;$A171,'data (1)'!$A:$A,"="&amp;вариация!F$2)</f>
        <v>0</v>
      </c>
      <c r="G171">
        <f>SUMIFS('data (1)'!$M:$M,'data (1)'!$J:$J,"="&amp;$A171,'data (1)'!$A:$A,"="&amp;вариация!G$2)</f>
        <v>0</v>
      </c>
      <c r="H171" t="str">
        <f t="shared" si="5"/>
        <v>No</v>
      </c>
    </row>
    <row r="172" spans="1:8" x14ac:dyDescent="0.25">
      <c r="A172" s="7" t="s">
        <v>713</v>
      </c>
      <c r="B172" s="25">
        <f t="shared" si="4"/>
        <v>2.2360679774997894</v>
      </c>
      <c r="C172">
        <f>SUMIFS('data (1)'!$M:$M,'data (1)'!$J:$J,"="&amp;$A172,'data (1)'!$A:$A,"="&amp;вариация!C$2)</f>
        <v>0</v>
      </c>
      <c r="D172">
        <f>SUMIFS('data (1)'!$M:$M,'data (1)'!$J:$J,"="&amp;$A172,'data (1)'!$A:$A,"="&amp;вариация!D$2)</f>
        <v>0</v>
      </c>
      <c r="E172">
        <f>SUMIFS('data (1)'!$M:$M,'data (1)'!$J:$J,"="&amp;$A172,'data (1)'!$A:$A,"="&amp;вариация!E$2)</f>
        <v>1</v>
      </c>
      <c r="F172">
        <f>SUMIFS('data (1)'!$M:$M,'data (1)'!$J:$J,"="&amp;$A172,'data (1)'!$A:$A,"="&amp;вариация!F$2)</f>
        <v>0</v>
      </c>
      <c r="G172">
        <f>SUMIFS('data (1)'!$M:$M,'data (1)'!$J:$J,"="&amp;$A172,'data (1)'!$A:$A,"="&amp;вариация!G$2)</f>
        <v>0</v>
      </c>
      <c r="H172" t="str">
        <f t="shared" si="5"/>
        <v>No</v>
      </c>
    </row>
    <row r="173" spans="1:8" x14ac:dyDescent="0.25">
      <c r="A173" s="7" t="s">
        <v>745</v>
      </c>
      <c r="B173" s="25">
        <f t="shared" si="4"/>
        <v>2.2360679774997894</v>
      </c>
      <c r="C173">
        <f>SUMIFS('data (1)'!$M:$M,'data (1)'!$J:$J,"="&amp;$A173,'data (1)'!$A:$A,"="&amp;вариация!C$2)</f>
        <v>0</v>
      </c>
      <c r="D173">
        <f>SUMIFS('data (1)'!$M:$M,'data (1)'!$J:$J,"="&amp;$A173,'data (1)'!$A:$A,"="&amp;вариация!D$2)</f>
        <v>0</v>
      </c>
      <c r="E173">
        <f>SUMIFS('data (1)'!$M:$M,'data (1)'!$J:$J,"="&amp;$A173,'data (1)'!$A:$A,"="&amp;вариация!E$2)</f>
        <v>4</v>
      </c>
      <c r="F173">
        <f>SUMIFS('data (1)'!$M:$M,'data (1)'!$J:$J,"="&amp;$A173,'data (1)'!$A:$A,"="&amp;вариация!F$2)</f>
        <v>0</v>
      </c>
      <c r="G173">
        <f>SUMIFS('data (1)'!$M:$M,'data (1)'!$J:$J,"="&amp;$A173,'data (1)'!$A:$A,"="&amp;вариация!G$2)</f>
        <v>0</v>
      </c>
      <c r="H173" t="str">
        <f t="shared" si="5"/>
        <v>No</v>
      </c>
    </row>
    <row r="174" spans="1:8" x14ac:dyDescent="0.25">
      <c r="A174" s="7" t="s">
        <v>113</v>
      </c>
      <c r="B174" s="25">
        <f t="shared" si="4"/>
        <v>1.3693063937629151</v>
      </c>
      <c r="C174">
        <f>SUMIFS('data (1)'!$M:$M,'data (1)'!$J:$J,"="&amp;$A174,'data (1)'!$A:$A,"="&amp;вариация!C$2)</f>
        <v>1</v>
      </c>
      <c r="D174">
        <f>SUMIFS('data (1)'!$M:$M,'data (1)'!$J:$J,"="&amp;$A174,'data (1)'!$A:$A,"="&amp;вариация!D$2)</f>
        <v>0</v>
      </c>
      <c r="E174">
        <f>SUMIFS('data (1)'!$M:$M,'data (1)'!$J:$J,"="&amp;$A174,'data (1)'!$A:$A,"="&amp;вариация!E$2)</f>
        <v>0</v>
      </c>
      <c r="F174">
        <f>SUMIFS('data (1)'!$M:$M,'data (1)'!$J:$J,"="&amp;$A174,'data (1)'!$A:$A,"="&amp;вариация!F$2)</f>
        <v>0</v>
      </c>
      <c r="G174">
        <f>SUMIFS('data (1)'!$M:$M,'data (1)'!$J:$J,"="&amp;$A174,'data (1)'!$A:$A,"="&amp;вариация!G$2)</f>
        <v>1</v>
      </c>
      <c r="H174" t="str">
        <f t="shared" si="5"/>
        <v>No</v>
      </c>
    </row>
    <row r="175" spans="1:8" x14ac:dyDescent="0.25">
      <c r="A175" s="7" t="s">
        <v>686</v>
      </c>
      <c r="B175" s="25">
        <f t="shared" si="4"/>
        <v>2.2360679774997894</v>
      </c>
      <c r="C175">
        <f>SUMIFS('data (1)'!$M:$M,'data (1)'!$J:$J,"="&amp;$A175,'data (1)'!$A:$A,"="&amp;вариация!C$2)</f>
        <v>0</v>
      </c>
      <c r="D175">
        <f>SUMIFS('data (1)'!$M:$M,'data (1)'!$J:$J,"="&amp;$A175,'data (1)'!$A:$A,"="&amp;вариация!D$2)</f>
        <v>1</v>
      </c>
      <c r="E175">
        <f>SUMIFS('data (1)'!$M:$M,'data (1)'!$J:$J,"="&amp;$A175,'data (1)'!$A:$A,"="&amp;вариация!E$2)</f>
        <v>0</v>
      </c>
      <c r="F175">
        <f>SUMIFS('data (1)'!$M:$M,'data (1)'!$J:$J,"="&amp;$A175,'data (1)'!$A:$A,"="&amp;вариация!F$2)</f>
        <v>0</v>
      </c>
      <c r="G175">
        <f>SUMIFS('data (1)'!$M:$M,'data (1)'!$J:$J,"="&amp;$A175,'data (1)'!$A:$A,"="&amp;вариация!G$2)</f>
        <v>0</v>
      </c>
      <c r="H175" t="str">
        <f t="shared" si="5"/>
        <v>No</v>
      </c>
    </row>
    <row r="176" spans="1:8" x14ac:dyDescent="0.25">
      <c r="A176" s="7" t="s">
        <v>294</v>
      </c>
      <c r="B176" s="25">
        <f t="shared" si="4"/>
        <v>2.2360679774997894</v>
      </c>
      <c r="C176">
        <f>SUMIFS('data (1)'!$M:$M,'data (1)'!$J:$J,"="&amp;$A176,'data (1)'!$A:$A,"="&amp;вариация!C$2)</f>
        <v>1</v>
      </c>
      <c r="D176">
        <f>SUMIFS('data (1)'!$M:$M,'data (1)'!$J:$J,"="&amp;$A176,'data (1)'!$A:$A,"="&amp;вариация!D$2)</f>
        <v>0</v>
      </c>
      <c r="E176">
        <f>SUMIFS('data (1)'!$M:$M,'data (1)'!$J:$J,"="&amp;$A176,'data (1)'!$A:$A,"="&amp;вариация!E$2)</f>
        <v>0</v>
      </c>
      <c r="F176">
        <f>SUMIFS('data (1)'!$M:$M,'data (1)'!$J:$J,"="&amp;$A176,'data (1)'!$A:$A,"="&amp;вариация!F$2)</f>
        <v>0</v>
      </c>
      <c r="G176">
        <f>SUMIFS('data (1)'!$M:$M,'data (1)'!$J:$J,"="&amp;$A176,'data (1)'!$A:$A,"="&amp;вариация!G$2)</f>
        <v>0</v>
      </c>
      <c r="H176" t="str">
        <f t="shared" si="5"/>
        <v>No</v>
      </c>
    </row>
    <row r="177" spans="1:8" x14ac:dyDescent="0.25">
      <c r="A177" s="7" t="s">
        <v>22</v>
      </c>
      <c r="B177" s="25">
        <f t="shared" si="4"/>
        <v>2.2360679774997894</v>
      </c>
      <c r="C177">
        <f>SUMIFS('data (1)'!$M:$M,'data (1)'!$J:$J,"="&amp;$A177,'data (1)'!$A:$A,"="&amp;вариация!C$2)</f>
        <v>1</v>
      </c>
      <c r="D177">
        <f>SUMIFS('data (1)'!$M:$M,'data (1)'!$J:$J,"="&amp;$A177,'data (1)'!$A:$A,"="&amp;вариация!D$2)</f>
        <v>0</v>
      </c>
      <c r="E177">
        <f>SUMIFS('data (1)'!$M:$M,'data (1)'!$J:$J,"="&amp;$A177,'data (1)'!$A:$A,"="&amp;вариация!E$2)</f>
        <v>0</v>
      </c>
      <c r="F177">
        <f>SUMIFS('data (1)'!$M:$M,'data (1)'!$J:$J,"="&amp;$A177,'data (1)'!$A:$A,"="&amp;вариация!F$2)</f>
        <v>0</v>
      </c>
      <c r="G177">
        <f>SUMIFS('data (1)'!$M:$M,'data (1)'!$J:$J,"="&amp;$A177,'data (1)'!$A:$A,"="&amp;вариация!G$2)</f>
        <v>0</v>
      </c>
      <c r="H177" t="str">
        <f t="shared" si="5"/>
        <v>No</v>
      </c>
    </row>
    <row r="178" spans="1:8" x14ac:dyDescent="0.25">
      <c r="A178" s="7" t="s">
        <v>824</v>
      </c>
      <c r="B178" s="25">
        <f t="shared" si="4"/>
        <v>2.2360679774997894</v>
      </c>
      <c r="C178">
        <f>SUMIFS('data (1)'!$M:$M,'data (1)'!$J:$J,"="&amp;$A178,'data (1)'!$A:$A,"="&amp;вариация!C$2)</f>
        <v>0</v>
      </c>
      <c r="D178">
        <f>SUMIFS('data (1)'!$M:$M,'data (1)'!$J:$J,"="&amp;$A178,'data (1)'!$A:$A,"="&amp;вариация!D$2)</f>
        <v>0</v>
      </c>
      <c r="E178">
        <f>SUMIFS('data (1)'!$M:$M,'data (1)'!$J:$J,"="&amp;$A178,'data (1)'!$A:$A,"="&amp;вариация!E$2)</f>
        <v>1</v>
      </c>
      <c r="F178">
        <f>SUMIFS('data (1)'!$M:$M,'data (1)'!$J:$J,"="&amp;$A178,'data (1)'!$A:$A,"="&amp;вариация!F$2)</f>
        <v>0</v>
      </c>
      <c r="G178">
        <f>SUMIFS('data (1)'!$M:$M,'data (1)'!$J:$J,"="&amp;$A178,'data (1)'!$A:$A,"="&amp;вариация!G$2)</f>
        <v>0</v>
      </c>
      <c r="H178" t="str">
        <f t="shared" si="5"/>
        <v>No</v>
      </c>
    </row>
    <row r="179" spans="1:8" x14ac:dyDescent="0.25">
      <c r="A179" s="7" t="s">
        <v>902</v>
      </c>
      <c r="B179" s="25">
        <f t="shared" si="4"/>
        <v>1.3693063937629151</v>
      </c>
      <c r="C179">
        <f>SUMIFS('data (1)'!$M:$M,'data (1)'!$J:$J,"="&amp;$A179,'data (1)'!$A:$A,"="&amp;вариация!C$2)</f>
        <v>0</v>
      </c>
      <c r="D179">
        <f>SUMIFS('data (1)'!$M:$M,'data (1)'!$J:$J,"="&amp;$A179,'data (1)'!$A:$A,"="&amp;вариация!D$2)</f>
        <v>0</v>
      </c>
      <c r="E179">
        <f>SUMIFS('data (1)'!$M:$M,'data (1)'!$J:$J,"="&amp;$A179,'data (1)'!$A:$A,"="&amp;вариация!E$2)</f>
        <v>1</v>
      </c>
      <c r="F179">
        <f>SUMIFS('data (1)'!$M:$M,'data (1)'!$J:$J,"="&amp;$A179,'data (1)'!$A:$A,"="&amp;вариация!F$2)</f>
        <v>0</v>
      </c>
      <c r="G179">
        <f>SUMIFS('data (1)'!$M:$M,'data (1)'!$J:$J,"="&amp;$A179,'data (1)'!$A:$A,"="&amp;вариация!G$2)</f>
        <v>1</v>
      </c>
      <c r="H179" t="str">
        <f t="shared" si="5"/>
        <v>No</v>
      </c>
    </row>
    <row r="180" spans="1:8" x14ac:dyDescent="0.25">
      <c r="A180" s="7" t="s">
        <v>147</v>
      </c>
      <c r="B180" s="25">
        <f t="shared" si="4"/>
        <v>2.2360679774997894</v>
      </c>
      <c r="C180">
        <f>SUMIFS('data (1)'!$M:$M,'data (1)'!$J:$J,"="&amp;$A180,'data (1)'!$A:$A,"="&amp;вариация!C$2)</f>
        <v>1</v>
      </c>
      <c r="D180">
        <f>SUMIFS('data (1)'!$M:$M,'data (1)'!$J:$J,"="&amp;$A180,'data (1)'!$A:$A,"="&amp;вариация!D$2)</f>
        <v>0</v>
      </c>
      <c r="E180">
        <f>SUMIFS('data (1)'!$M:$M,'data (1)'!$J:$J,"="&amp;$A180,'data (1)'!$A:$A,"="&amp;вариация!E$2)</f>
        <v>0</v>
      </c>
      <c r="F180">
        <f>SUMIFS('data (1)'!$M:$M,'data (1)'!$J:$J,"="&amp;$A180,'data (1)'!$A:$A,"="&amp;вариация!F$2)</f>
        <v>0</v>
      </c>
      <c r="G180">
        <f>SUMIFS('data (1)'!$M:$M,'data (1)'!$J:$J,"="&amp;$A180,'data (1)'!$A:$A,"="&amp;вариация!G$2)</f>
        <v>0</v>
      </c>
      <c r="H180" t="str">
        <f t="shared" si="5"/>
        <v>No</v>
      </c>
    </row>
    <row r="181" spans="1:8" x14ac:dyDescent="0.25">
      <c r="A181" s="7" t="s">
        <v>1169</v>
      </c>
      <c r="B181" s="25">
        <f t="shared" si="4"/>
        <v>2.2360679774997894</v>
      </c>
      <c r="C181">
        <f>SUMIFS('data (1)'!$M:$M,'data (1)'!$J:$J,"="&amp;$A181,'data (1)'!$A:$A,"="&amp;вариация!C$2)</f>
        <v>0</v>
      </c>
      <c r="D181">
        <f>SUMIFS('data (1)'!$M:$M,'data (1)'!$J:$J,"="&amp;$A181,'data (1)'!$A:$A,"="&amp;вариация!D$2)</f>
        <v>0</v>
      </c>
      <c r="E181">
        <f>SUMIFS('data (1)'!$M:$M,'data (1)'!$J:$J,"="&amp;$A181,'data (1)'!$A:$A,"="&amp;вариация!E$2)</f>
        <v>0</v>
      </c>
      <c r="F181">
        <f>SUMIFS('data (1)'!$M:$M,'data (1)'!$J:$J,"="&amp;$A181,'data (1)'!$A:$A,"="&amp;вариация!F$2)</f>
        <v>0</v>
      </c>
      <c r="G181">
        <f>SUMIFS('data (1)'!$M:$M,'data (1)'!$J:$J,"="&amp;$A181,'data (1)'!$A:$A,"="&amp;вариация!G$2)</f>
        <v>1</v>
      </c>
      <c r="H181" t="str">
        <f t="shared" si="5"/>
        <v>No</v>
      </c>
    </row>
    <row r="182" spans="1:8" x14ac:dyDescent="0.25">
      <c r="A182" s="7" t="s">
        <v>611</v>
      </c>
      <c r="B182" s="25">
        <f t="shared" si="4"/>
        <v>2.2360679774997894</v>
      </c>
      <c r="C182">
        <f>SUMIFS('data (1)'!$M:$M,'data (1)'!$J:$J,"="&amp;$A182,'data (1)'!$A:$A,"="&amp;вариация!C$2)</f>
        <v>0</v>
      </c>
      <c r="D182">
        <f>SUMIFS('data (1)'!$M:$M,'data (1)'!$J:$J,"="&amp;$A182,'data (1)'!$A:$A,"="&amp;вариация!D$2)</f>
        <v>1</v>
      </c>
      <c r="E182">
        <f>SUMIFS('data (1)'!$M:$M,'data (1)'!$J:$J,"="&amp;$A182,'data (1)'!$A:$A,"="&amp;вариация!E$2)</f>
        <v>0</v>
      </c>
      <c r="F182">
        <f>SUMIFS('data (1)'!$M:$M,'data (1)'!$J:$J,"="&amp;$A182,'data (1)'!$A:$A,"="&amp;вариация!F$2)</f>
        <v>0</v>
      </c>
      <c r="G182">
        <f>SUMIFS('data (1)'!$M:$M,'data (1)'!$J:$J,"="&amp;$A182,'data (1)'!$A:$A,"="&amp;вариация!G$2)</f>
        <v>0</v>
      </c>
      <c r="H182" t="str">
        <f t="shared" si="5"/>
        <v>No</v>
      </c>
    </row>
    <row r="183" spans="1:8" x14ac:dyDescent="0.25">
      <c r="A183" s="7" t="s">
        <v>60</v>
      </c>
      <c r="B183" s="25">
        <f t="shared" si="4"/>
        <v>2.2360679774997894</v>
      </c>
      <c r="C183">
        <f>SUMIFS('data (1)'!$M:$M,'data (1)'!$J:$J,"="&amp;$A183,'data (1)'!$A:$A,"="&amp;вариация!C$2)</f>
        <v>1</v>
      </c>
      <c r="D183">
        <f>SUMIFS('data (1)'!$M:$M,'data (1)'!$J:$J,"="&amp;$A183,'data (1)'!$A:$A,"="&amp;вариация!D$2)</f>
        <v>0</v>
      </c>
      <c r="E183">
        <f>SUMIFS('data (1)'!$M:$M,'data (1)'!$J:$J,"="&amp;$A183,'data (1)'!$A:$A,"="&amp;вариация!E$2)</f>
        <v>0</v>
      </c>
      <c r="F183">
        <f>SUMIFS('data (1)'!$M:$M,'data (1)'!$J:$J,"="&amp;$A183,'data (1)'!$A:$A,"="&amp;вариация!F$2)</f>
        <v>0</v>
      </c>
      <c r="G183">
        <f>SUMIFS('data (1)'!$M:$M,'data (1)'!$J:$J,"="&amp;$A183,'data (1)'!$A:$A,"="&amp;вариация!G$2)</f>
        <v>0</v>
      </c>
      <c r="H183" t="str">
        <f t="shared" si="5"/>
        <v>No</v>
      </c>
    </row>
    <row r="184" spans="1:8" x14ac:dyDescent="0.25">
      <c r="A184" s="7" t="s">
        <v>166</v>
      </c>
      <c r="B184" s="25">
        <f t="shared" si="4"/>
        <v>0.44605149670891486</v>
      </c>
      <c r="C184">
        <f>SUMIFS('data (1)'!$M:$M,'data (1)'!$J:$J,"="&amp;$A184,'data (1)'!$A:$A,"="&amp;вариация!C$2)</f>
        <v>3</v>
      </c>
      <c r="D184">
        <f>SUMIFS('data (1)'!$M:$M,'data (1)'!$J:$J,"="&amp;$A184,'data (1)'!$A:$A,"="&amp;вариация!D$2)</f>
        <v>3</v>
      </c>
      <c r="E184">
        <f>SUMIFS('data (1)'!$M:$M,'data (1)'!$J:$J,"="&amp;$A184,'data (1)'!$A:$A,"="&amp;вариация!E$2)</f>
        <v>6</v>
      </c>
      <c r="F184">
        <f>SUMIFS('data (1)'!$M:$M,'data (1)'!$J:$J,"="&amp;$A184,'data (1)'!$A:$A,"="&amp;вариация!F$2)</f>
        <v>3</v>
      </c>
      <c r="G184">
        <f>SUMIFS('data (1)'!$M:$M,'data (1)'!$J:$J,"="&amp;$A184,'data (1)'!$A:$A,"="&amp;вариация!G$2)</f>
        <v>2</v>
      </c>
      <c r="H184" t="str">
        <f t="shared" si="5"/>
        <v>Yes</v>
      </c>
    </row>
    <row r="185" spans="1:8" x14ac:dyDescent="0.25">
      <c r="A185" s="7" t="s">
        <v>1229</v>
      </c>
      <c r="B185" s="25">
        <f t="shared" si="4"/>
        <v>2.2360679774997894</v>
      </c>
      <c r="C185">
        <f>SUMIFS('data (1)'!$M:$M,'data (1)'!$J:$J,"="&amp;$A185,'data (1)'!$A:$A,"="&amp;вариация!C$2)</f>
        <v>0</v>
      </c>
      <c r="D185">
        <f>SUMIFS('data (1)'!$M:$M,'data (1)'!$J:$J,"="&amp;$A185,'data (1)'!$A:$A,"="&amp;вариация!D$2)</f>
        <v>0</v>
      </c>
      <c r="E185">
        <f>SUMIFS('data (1)'!$M:$M,'data (1)'!$J:$J,"="&amp;$A185,'data (1)'!$A:$A,"="&amp;вариация!E$2)</f>
        <v>0</v>
      </c>
      <c r="F185">
        <f>SUMIFS('data (1)'!$M:$M,'data (1)'!$J:$J,"="&amp;$A185,'data (1)'!$A:$A,"="&amp;вариация!F$2)</f>
        <v>0</v>
      </c>
      <c r="G185">
        <f>SUMIFS('data (1)'!$M:$M,'data (1)'!$J:$J,"="&amp;$A185,'data (1)'!$A:$A,"="&amp;вариация!G$2)</f>
        <v>1</v>
      </c>
      <c r="H185" t="str">
        <f t="shared" si="5"/>
        <v>No</v>
      </c>
    </row>
    <row r="186" spans="1:8" x14ac:dyDescent="0.25">
      <c r="A186" s="7" t="s">
        <v>783</v>
      </c>
      <c r="B186" s="25">
        <f t="shared" si="4"/>
        <v>2.2360679774997898</v>
      </c>
      <c r="C186">
        <f>SUMIFS('data (1)'!$M:$M,'data (1)'!$J:$J,"="&amp;$A186,'data (1)'!$A:$A,"="&amp;вариация!C$2)</f>
        <v>0</v>
      </c>
      <c r="D186">
        <f>SUMIFS('data (1)'!$M:$M,'data (1)'!$J:$J,"="&amp;$A186,'data (1)'!$A:$A,"="&amp;вариация!D$2)</f>
        <v>0</v>
      </c>
      <c r="E186">
        <f>SUMIFS('data (1)'!$M:$M,'data (1)'!$J:$J,"="&amp;$A186,'data (1)'!$A:$A,"="&amp;вариация!E$2)</f>
        <v>3</v>
      </c>
      <c r="F186">
        <f>SUMIFS('data (1)'!$M:$M,'data (1)'!$J:$J,"="&amp;$A186,'data (1)'!$A:$A,"="&amp;вариация!F$2)</f>
        <v>0</v>
      </c>
      <c r="G186">
        <f>SUMIFS('data (1)'!$M:$M,'data (1)'!$J:$J,"="&amp;$A186,'data (1)'!$A:$A,"="&amp;вариация!G$2)</f>
        <v>0</v>
      </c>
      <c r="H186" t="str">
        <f t="shared" si="5"/>
        <v>No</v>
      </c>
    </row>
    <row r="187" spans="1:8" x14ac:dyDescent="0.25">
      <c r="A187" s="7" t="s">
        <v>965</v>
      </c>
      <c r="B187" s="25">
        <f t="shared" si="4"/>
        <v>2.2360679774997894</v>
      </c>
      <c r="C187">
        <f>SUMIFS('data (1)'!$M:$M,'data (1)'!$J:$J,"="&amp;$A187,'data (1)'!$A:$A,"="&amp;вариация!C$2)</f>
        <v>0</v>
      </c>
      <c r="D187">
        <f>SUMIFS('data (1)'!$M:$M,'data (1)'!$J:$J,"="&amp;$A187,'data (1)'!$A:$A,"="&amp;вариация!D$2)</f>
        <v>0</v>
      </c>
      <c r="E187">
        <f>SUMIFS('data (1)'!$M:$M,'data (1)'!$J:$J,"="&amp;$A187,'data (1)'!$A:$A,"="&amp;вариация!E$2)</f>
        <v>0</v>
      </c>
      <c r="F187">
        <f>SUMIFS('data (1)'!$M:$M,'data (1)'!$J:$J,"="&amp;$A187,'data (1)'!$A:$A,"="&amp;вариация!F$2)</f>
        <v>1</v>
      </c>
      <c r="G187">
        <f>SUMIFS('data (1)'!$M:$M,'data (1)'!$J:$J,"="&amp;$A187,'data (1)'!$A:$A,"="&amp;вариация!G$2)</f>
        <v>0</v>
      </c>
      <c r="H187" t="str">
        <f t="shared" si="5"/>
        <v>No</v>
      </c>
    </row>
    <row r="188" spans="1:8" x14ac:dyDescent="0.25">
      <c r="A188" s="7" t="s">
        <v>1193</v>
      </c>
      <c r="B188" s="25">
        <f t="shared" si="4"/>
        <v>2.2360679774997894</v>
      </c>
      <c r="C188">
        <f>SUMIFS('data (1)'!$M:$M,'data (1)'!$J:$J,"="&amp;$A188,'data (1)'!$A:$A,"="&amp;вариация!C$2)</f>
        <v>0</v>
      </c>
      <c r="D188">
        <f>SUMIFS('data (1)'!$M:$M,'data (1)'!$J:$J,"="&amp;$A188,'data (1)'!$A:$A,"="&amp;вариация!D$2)</f>
        <v>0</v>
      </c>
      <c r="E188">
        <f>SUMIFS('data (1)'!$M:$M,'data (1)'!$J:$J,"="&amp;$A188,'data (1)'!$A:$A,"="&amp;вариация!E$2)</f>
        <v>0</v>
      </c>
      <c r="F188">
        <f>SUMIFS('data (1)'!$M:$M,'data (1)'!$J:$J,"="&amp;$A188,'data (1)'!$A:$A,"="&amp;вариация!F$2)</f>
        <v>0</v>
      </c>
      <c r="G188">
        <f>SUMIFS('data (1)'!$M:$M,'data (1)'!$J:$J,"="&amp;$A188,'data (1)'!$A:$A,"="&amp;вариация!G$2)</f>
        <v>1</v>
      </c>
      <c r="H188" t="str">
        <f t="shared" si="5"/>
        <v>No</v>
      </c>
    </row>
    <row r="189" spans="1:8" x14ac:dyDescent="0.25">
      <c r="A189" s="7" t="s">
        <v>1080</v>
      </c>
      <c r="B189" s="25">
        <f t="shared" si="4"/>
        <v>2.2360679774997894</v>
      </c>
      <c r="C189">
        <f>SUMIFS('data (1)'!$M:$M,'data (1)'!$J:$J,"="&amp;$A189,'data (1)'!$A:$A,"="&amp;вариация!C$2)</f>
        <v>0</v>
      </c>
      <c r="D189">
        <f>SUMIFS('data (1)'!$M:$M,'data (1)'!$J:$J,"="&amp;$A189,'data (1)'!$A:$A,"="&amp;вариация!D$2)</f>
        <v>0</v>
      </c>
      <c r="E189">
        <f>SUMIFS('data (1)'!$M:$M,'data (1)'!$J:$J,"="&amp;$A189,'data (1)'!$A:$A,"="&amp;вариация!E$2)</f>
        <v>0</v>
      </c>
      <c r="F189">
        <f>SUMIFS('data (1)'!$M:$M,'data (1)'!$J:$J,"="&amp;$A189,'data (1)'!$A:$A,"="&amp;вариация!F$2)</f>
        <v>0</v>
      </c>
      <c r="G189">
        <f>SUMIFS('data (1)'!$M:$M,'data (1)'!$J:$J,"="&amp;$A189,'data (1)'!$A:$A,"="&amp;вариация!G$2)</f>
        <v>2</v>
      </c>
      <c r="H189" t="str">
        <f t="shared" si="5"/>
        <v>No</v>
      </c>
    </row>
    <row r="190" spans="1:8" x14ac:dyDescent="0.25">
      <c r="A190" s="7" t="s">
        <v>903</v>
      </c>
      <c r="B190" s="25">
        <f t="shared" si="4"/>
        <v>2.2360679774997894</v>
      </c>
      <c r="C190">
        <f>SUMIFS('data (1)'!$M:$M,'data (1)'!$J:$J,"="&amp;$A190,'data (1)'!$A:$A,"="&amp;вариация!C$2)</f>
        <v>0</v>
      </c>
      <c r="D190">
        <f>SUMIFS('data (1)'!$M:$M,'data (1)'!$J:$J,"="&amp;$A190,'data (1)'!$A:$A,"="&amp;вариация!D$2)</f>
        <v>0</v>
      </c>
      <c r="E190">
        <f>SUMIFS('data (1)'!$M:$M,'data (1)'!$J:$J,"="&amp;$A190,'data (1)'!$A:$A,"="&amp;вариация!E$2)</f>
        <v>2</v>
      </c>
      <c r="F190">
        <f>SUMIFS('data (1)'!$M:$M,'data (1)'!$J:$J,"="&amp;$A190,'data (1)'!$A:$A,"="&amp;вариация!F$2)</f>
        <v>0</v>
      </c>
      <c r="G190">
        <f>SUMIFS('data (1)'!$M:$M,'data (1)'!$J:$J,"="&amp;$A190,'data (1)'!$A:$A,"="&amp;вариация!G$2)</f>
        <v>0</v>
      </c>
      <c r="H190" t="str">
        <f t="shared" si="5"/>
        <v>No</v>
      </c>
    </row>
    <row r="191" spans="1:8" x14ac:dyDescent="0.25">
      <c r="A191" s="7" t="s">
        <v>933</v>
      </c>
      <c r="B191" s="25">
        <f t="shared" si="4"/>
        <v>2.2360679774997894</v>
      </c>
      <c r="C191">
        <f>SUMIFS('data (1)'!$M:$M,'data (1)'!$J:$J,"="&amp;$A191,'data (1)'!$A:$A,"="&amp;вариация!C$2)</f>
        <v>0</v>
      </c>
      <c r="D191">
        <f>SUMIFS('data (1)'!$M:$M,'data (1)'!$J:$J,"="&amp;$A191,'data (1)'!$A:$A,"="&amp;вариация!D$2)</f>
        <v>0</v>
      </c>
      <c r="E191">
        <f>SUMIFS('data (1)'!$M:$M,'data (1)'!$J:$J,"="&amp;$A191,'data (1)'!$A:$A,"="&amp;вариация!E$2)</f>
        <v>0</v>
      </c>
      <c r="F191">
        <f>SUMIFS('data (1)'!$M:$M,'data (1)'!$J:$J,"="&amp;$A191,'data (1)'!$A:$A,"="&amp;вариация!F$2)</f>
        <v>1</v>
      </c>
      <c r="G191">
        <f>SUMIFS('data (1)'!$M:$M,'data (1)'!$J:$J,"="&amp;$A191,'data (1)'!$A:$A,"="&amp;вариация!G$2)</f>
        <v>0</v>
      </c>
      <c r="H191" t="str">
        <f t="shared" si="5"/>
        <v>No</v>
      </c>
    </row>
    <row r="192" spans="1:8" x14ac:dyDescent="0.25">
      <c r="A192" s="7" t="s">
        <v>227</v>
      </c>
      <c r="B192" s="25">
        <f t="shared" si="4"/>
        <v>2.2360679774997894</v>
      </c>
      <c r="C192">
        <f>SUMIFS('data (1)'!$M:$M,'data (1)'!$J:$J,"="&amp;$A192,'data (1)'!$A:$A,"="&amp;вариация!C$2)</f>
        <v>1</v>
      </c>
      <c r="D192">
        <f>SUMIFS('data (1)'!$M:$M,'data (1)'!$J:$J,"="&amp;$A192,'data (1)'!$A:$A,"="&amp;вариация!D$2)</f>
        <v>0</v>
      </c>
      <c r="E192">
        <f>SUMIFS('data (1)'!$M:$M,'data (1)'!$J:$J,"="&amp;$A192,'data (1)'!$A:$A,"="&amp;вариация!E$2)</f>
        <v>0</v>
      </c>
      <c r="F192">
        <f>SUMIFS('data (1)'!$M:$M,'data (1)'!$J:$J,"="&amp;$A192,'data (1)'!$A:$A,"="&amp;вариация!F$2)</f>
        <v>0</v>
      </c>
      <c r="G192">
        <f>SUMIFS('data (1)'!$M:$M,'data (1)'!$J:$J,"="&amp;$A192,'data (1)'!$A:$A,"="&amp;вариация!G$2)</f>
        <v>0</v>
      </c>
      <c r="H192" t="str">
        <f t="shared" si="5"/>
        <v>No</v>
      </c>
    </row>
    <row r="193" spans="1:8" x14ac:dyDescent="0.25">
      <c r="A193" s="7" t="s">
        <v>296</v>
      </c>
      <c r="B193" s="25">
        <f t="shared" si="4"/>
        <v>1.3693063937629151</v>
      </c>
      <c r="C193">
        <f>SUMIFS('data (1)'!$M:$M,'data (1)'!$J:$J,"="&amp;$A193,'data (1)'!$A:$A,"="&amp;вариация!C$2)</f>
        <v>1</v>
      </c>
      <c r="D193">
        <f>SUMIFS('data (1)'!$M:$M,'data (1)'!$J:$J,"="&amp;$A193,'data (1)'!$A:$A,"="&amp;вариация!D$2)</f>
        <v>0</v>
      </c>
      <c r="E193">
        <f>SUMIFS('data (1)'!$M:$M,'data (1)'!$J:$J,"="&amp;$A193,'data (1)'!$A:$A,"="&amp;вариация!E$2)</f>
        <v>1</v>
      </c>
      <c r="F193">
        <f>SUMIFS('data (1)'!$M:$M,'data (1)'!$J:$J,"="&amp;$A193,'data (1)'!$A:$A,"="&amp;вариация!F$2)</f>
        <v>0</v>
      </c>
      <c r="G193">
        <f>SUMIFS('data (1)'!$M:$M,'data (1)'!$J:$J,"="&amp;$A193,'data (1)'!$A:$A,"="&amp;вариация!G$2)</f>
        <v>0</v>
      </c>
      <c r="H193" t="str">
        <f t="shared" si="5"/>
        <v>No</v>
      </c>
    </row>
    <row r="194" spans="1:8" x14ac:dyDescent="0.25">
      <c r="A194" s="7" t="s">
        <v>850</v>
      </c>
      <c r="B194" s="25">
        <f t="shared" si="4"/>
        <v>2.2360679774997894</v>
      </c>
      <c r="C194">
        <f>SUMIFS('data (1)'!$M:$M,'data (1)'!$J:$J,"="&amp;$A194,'data (1)'!$A:$A,"="&amp;вариация!C$2)</f>
        <v>0</v>
      </c>
      <c r="D194">
        <f>SUMIFS('data (1)'!$M:$M,'data (1)'!$J:$J,"="&amp;$A194,'data (1)'!$A:$A,"="&amp;вариация!D$2)</f>
        <v>0</v>
      </c>
      <c r="E194">
        <f>SUMIFS('data (1)'!$M:$M,'data (1)'!$J:$J,"="&amp;$A194,'data (1)'!$A:$A,"="&amp;вариация!E$2)</f>
        <v>1</v>
      </c>
      <c r="F194">
        <f>SUMIFS('data (1)'!$M:$M,'data (1)'!$J:$J,"="&amp;$A194,'data (1)'!$A:$A,"="&amp;вариация!F$2)</f>
        <v>0</v>
      </c>
      <c r="G194">
        <f>SUMIFS('data (1)'!$M:$M,'data (1)'!$J:$J,"="&amp;$A194,'data (1)'!$A:$A,"="&amp;вариация!G$2)</f>
        <v>0</v>
      </c>
      <c r="H194" t="str">
        <f t="shared" si="5"/>
        <v>No</v>
      </c>
    </row>
    <row r="195" spans="1:8" x14ac:dyDescent="0.25">
      <c r="A195" s="7" t="s">
        <v>513</v>
      </c>
      <c r="B195" s="25">
        <f t="shared" si="4"/>
        <v>1.3693063937629151</v>
      </c>
      <c r="C195">
        <f>SUMIFS('data (1)'!$M:$M,'data (1)'!$J:$J,"="&amp;$A195,'data (1)'!$A:$A,"="&amp;вариация!C$2)</f>
        <v>0</v>
      </c>
      <c r="D195">
        <f>SUMIFS('data (1)'!$M:$M,'data (1)'!$J:$J,"="&amp;$A195,'data (1)'!$A:$A,"="&amp;вариация!D$2)</f>
        <v>1</v>
      </c>
      <c r="E195">
        <f>SUMIFS('data (1)'!$M:$M,'data (1)'!$J:$J,"="&amp;$A195,'data (1)'!$A:$A,"="&amp;вариация!E$2)</f>
        <v>1</v>
      </c>
      <c r="F195">
        <f>SUMIFS('data (1)'!$M:$M,'data (1)'!$J:$J,"="&amp;$A195,'data (1)'!$A:$A,"="&amp;вариация!F$2)</f>
        <v>0</v>
      </c>
      <c r="G195">
        <f>SUMIFS('data (1)'!$M:$M,'data (1)'!$J:$J,"="&amp;$A195,'data (1)'!$A:$A,"="&amp;вариация!G$2)</f>
        <v>0</v>
      </c>
      <c r="H195" t="str">
        <f t="shared" si="5"/>
        <v>No</v>
      </c>
    </row>
    <row r="196" spans="1:8" x14ac:dyDescent="0.25">
      <c r="A196" s="7" t="s">
        <v>260</v>
      </c>
      <c r="B196" s="25">
        <f t="shared" ref="B196:B259" si="6">_xlfn.STDEV.S(C196:G196)/AVERAGE(C196:G196)</f>
        <v>0.70710678118654757</v>
      </c>
      <c r="C196">
        <f>SUMIFS('data (1)'!$M:$M,'data (1)'!$J:$J,"="&amp;$A196,'data (1)'!$A:$A,"="&amp;вариация!C$2)</f>
        <v>1</v>
      </c>
      <c r="D196">
        <f>SUMIFS('data (1)'!$M:$M,'data (1)'!$J:$J,"="&amp;$A196,'data (1)'!$A:$A,"="&amp;вариация!D$2)</f>
        <v>1</v>
      </c>
      <c r="E196">
        <f>SUMIFS('data (1)'!$M:$M,'data (1)'!$J:$J,"="&amp;$A196,'data (1)'!$A:$A,"="&amp;вариация!E$2)</f>
        <v>1</v>
      </c>
      <c r="F196">
        <f>SUMIFS('data (1)'!$M:$M,'data (1)'!$J:$J,"="&amp;$A196,'data (1)'!$A:$A,"="&amp;вариация!F$2)</f>
        <v>0</v>
      </c>
      <c r="G196">
        <f>SUMIFS('data (1)'!$M:$M,'data (1)'!$J:$J,"="&amp;$A196,'data (1)'!$A:$A,"="&amp;вариация!G$2)</f>
        <v>2</v>
      </c>
      <c r="H196" t="str">
        <f t="shared" ref="H196:H259" si="7">IF(COUNTIF(C196:G196,"&gt;0") &gt;=3, "Yes", "No")</f>
        <v>Yes</v>
      </c>
    </row>
    <row r="197" spans="1:8" x14ac:dyDescent="0.25">
      <c r="A197" s="7" t="s">
        <v>807</v>
      </c>
      <c r="B197" s="25">
        <f t="shared" si="6"/>
        <v>1.0458250331675945</v>
      </c>
      <c r="C197">
        <f>SUMIFS('data (1)'!$M:$M,'data (1)'!$J:$J,"="&amp;$A197,'data (1)'!$A:$A,"="&amp;вариация!C$2)</f>
        <v>0</v>
      </c>
      <c r="D197">
        <f>SUMIFS('data (1)'!$M:$M,'data (1)'!$J:$J,"="&amp;$A197,'data (1)'!$A:$A,"="&amp;вариация!D$2)</f>
        <v>0</v>
      </c>
      <c r="E197">
        <f>SUMIFS('data (1)'!$M:$M,'data (1)'!$J:$J,"="&amp;$A197,'data (1)'!$A:$A,"="&amp;вариация!E$2)</f>
        <v>2</v>
      </c>
      <c r="F197">
        <f>SUMIFS('data (1)'!$M:$M,'data (1)'!$J:$J,"="&amp;$A197,'data (1)'!$A:$A,"="&amp;вариация!F$2)</f>
        <v>1</v>
      </c>
      <c r="G197">
        <f>SUMIFS('data (1)'!$M:$M,'data (1)'!$J:$J,"="&amp;$A197,'data (1)'!$A:$A,"="&amp;вариация!G$2)</f>
        <v>1</v>
      </c>
      <c r="H197" t="str">
        <f t="shared" si="7"/>
        <v>Yes</v>
      </c>
    </row>
    <row r="198" spans="1:8" x14ac:dyDescent="0.25">
      <c r="A198" s="7" t="s">
        <v>546</v>
      </c>
      <c r="B198" s="25">
        <f t="shared" si="6"/>
        <v>2.2360679774997894</v>
      </c>
      <c r="C198">
        <f>SUMIFS('data (1)'!$M:$M,'data (1)'!$J:$J,"="&amp;$A198,'data (1)'!$A:$A,"="&amp;вариация!C$2)</f>
        <v>0</v>
      </c>
      <c r="D198">
        <f>SUMIFS('data (1)'!$M:$M,'data (1)'!$J:$J,"="&amp;$A198,'data (1)'!$A:$A,"="&amp;вариация!D$2)</f>
        <v>1</v>
      </c>
      <c r="E198">
        <f>SUMIFS('data (1)'!$M:$M,'data (1)'!$J:$J,"="&amp;$A198,'data (1)'!$A:$A,"="&amp;вариация!E$2)</f>
        <v>0</v>
      </c>
      <c r="F198">
        <f>SUMIFS('data (1)'!$M:$M,'data (1)'!$J:$J,"="&amp;$A198,'data (1)'!$A:$A,"="&amp;вариация!F$2)</f>
        <v>0</v>
      </c>
      <c r="G198">
        <f>SUMIFS('data (1)'!$M:$M,'data (1)'!$J:$J,"="&amp;$A198,'data (1)'!$A:$A,"="&amp;вариация!G$2)</f>
        <v>0</v>
      </c>
      <c r="H198" t="str">
        <f t="shared" si="7"/>
        <v>No</v>
      </c>
    </row>
    <row r="199" spans="1:8" x14ac:dyDescent="0.25">
      <c r="A199" s="7" t="s">
        <v>1023</v>
      </c>
      <c r="B199" s="25">
        <f t="shared" si="6"/>
        <v>2.2360679774997894</v>
      </c>
      <c r="C199">
        <f>SUMIFS('data (1)'!$M:$M,'data (1)'!$J:$J,"="&amp;$A199,'data (1)'!$A:$A,"="&amp;вариация!C$2)</f>
        <v>0</v>
      </c>
      <c r="D199">
        <f>SUMIFS('data (1)'!$M:$M,'data (1)'!$J:$J,"="&amp;$A199,'data (1)'!$A:$A,"="&amp;вариация!D$2)</f>
        <v>0</v>
      </c>
      <c r="E199">
        <f>SUMIFS('data (1)'!$M:$M,'data (1)'!$J:$J,"="&amp;$A199,'data (1)'!$A:$A,"="&amp;вариация!E$2)</f>
        <v>0</v>
      </c>
      <c r="F199">
        <f>SUMIFS('data (1)'!$M:$M,'data (1)'!$J:$J,"="&amp;$A199,'data (1)'!$A:$A,"="&amp;вариация!F$2)</f>
        <v>1</v>
      </c>
      <c r="G199">
        <f>SUMIFS('data (1)'!$M:$M,'data (1)'!$J:$J,"="&amp;$A199,'data (1)'!$A:$A,"="&amp;вариация!G$2)</f>
        <v>0</v>
      </c>
      <c r="H199" t="str">
        <f t="shared" si="7"/>
        <v>No</v>
      </c>
    </row>
    <row r="200" spans="1:8" x14ac:dyDescent="0.25">
      <c r="A200" s="7" t="s">
        <v>919</v>
      </c>
      <c r="B200" s="25">
        <f t="shared" si="6"/>
        <v>1.3693063937629151</v>
      </c>
      <c r="C200">
        <f>SUMIFS('data (1)'!$M:$M,'data (1)'!$J:$J,"="&amp;$A200,'data (1)'!$A:$A,"="&amp;вариация!C$2)</f>
        <v>0</v>
      </c>
      <c r="D200">
        <f>SUMIFS('data (1)'!$M:$M,'data (1)'!$J:$J,"="&amp;$A200,'data (1)'!$A:$A,"="&amp;вариация!D$2)</f>
        <v>0</v>
      </c>
      <c r="E200">
        <f>SUMIFS('data (1)'!$M:$M,'data (1)'!$J:$J,"="&amp;$A200,'data (1)'!$A:$A,"="&amp;вариация!E$2)</f>
        <v>1</v>
      </c>
      <c r="F200">
        <f>SUMIFS('data (1)'!$M:$M,'data (1)'!$J:$J,"="&amp;$A200,'data (1)'!$A:$A,"="&amp;вариация!F$2)</f>
        <v>0</v>
      </c>
      <c r="G200">
        <f>SUMIFS('data (1)'!$M:$M,'data (1)'!$J:$J,"="&amp;$A200,'data (1)'!$A:$A,"="&amp;вариация!G$2)</f>
        <v>1</v>
      </c>
      <c r="H200" t="str">
        <f t="shared" si="7"/>
        <v>No</v>
      </c>
    </row>
    <row r="201" spans="1:8" x14ac:dyDescent="0.25">
      <c r="A201" s="7" t="s">
        <v>665</v>
      </c>
      <c r="B201" s="25">
        <f t="shared" si="6"/>
        <v>2.2360679774997894</v>
      </c>
      <c r="C201">
        <f>SUMIFS('data (1)'!$M:$M,'data (1)'!$J:$J,"="&amp;$A201,'data (1)'!$A:$A,"="&amp;вариация!C$2)</f>
        <v>0</v>
      </c>
      <c r="D201">
        <f>SUMIFS('data (1)'!$M:$M,'data (1)'!$J:$J,"="&amp;$A201,'data (1)'!$A:$A,"="&amp;вариация!D$2)</f>
        <v>7.1428400000000003E-2</v>
      </c>
      <c r="E201">
        <f>SUMIFS('data (1)'!$M:$M,'data (1)'!$J:$J,"="&amp;$A201,'data (1)'!$A:$A,"="&amp;вариация!E$2)</f>
        <v>0</v>
      </c>
      <c r="F201">
        <f>SUMIFS('data (1)'!$M:$M,'data (1)'!$J:$J,"="&amp;$A201,'data (1)'!$A:$A,"="&amp;вариация!F$2)</f>
        <v>0</v>
      </c>
      <c r="G201">
        <f>SUMIFS('data (1)'!$M:$M,'data (1)'!$J:$J,"="&amp;$A201,'data (1)'!$A:$A,"="&amp;вариация!G$2)</f>
        <v>0</v>
      </c>
      <c r="H201" t="str">
        <f t="shared" si="7"/>
        <v>No</v>
      </c>
    </row>
    <row r="202" spans="1:8" x14ac:dyDescent="0.25">
      <c r="A202" s="7" t="s">
        <v>336</v>
      </c>
      <c r="B202" s="25">
        <f t="shared" si="6"/>
        <v>2.2360679774997894</v>
      </c>
      <c r="C202">
        <f>SUMIFS('data (1)'!$M:$M,'data (1)'!$J:$J,"="&amp;$A202,'data (1)'!$A:$A,"="&amp;вариация!C$2)</f>
        <v>2</v>
      </c>
      <c r="D202">
        <f>SUMIFS('data (1)'!$M:$M,'data (1)'!$J:$J,"="&amp;$A202,'data (1)'!$A:$A,"="&amp;вариация!D$2)</f>
        <v>0</v>
      </c>
      <c r="E202">
        <f>SUMIFS('data (1)'!$M:$M,'data (1)'!$J:$J,"="&amp;$A202,'data (1)'!$A:$A,"="&amp;вариация!E$2)</f>
        <v>0</v>
      </c>
      <c r="F202">
        <f>SUMIFS('data (1)'!$M:$M,'data (1)'!$J:$J,"="&amp;$A202,'data (1)'!$A:$A,"="&amp;вариация!F$2)</f>
        <v>0</v>
      </c>
      <c r="G202">
        <f>SUMIFS('data (1)'!$M:$M,'data (1)'!$J:$J,"="&amp;$A202,'data (1)'!$A:$A,"="&amp;вариация!G$2)</f>
        <v>0</v>
      </c>
      <c r="H202" t="str">
        <f t="shared" si="7"/>
        <v>No</v>
      </c>
    </row>
    <row r="203" spans="1:8" x14ac:dyDescent="0.25">
      <c r="A203" s="7" t="s">
        <v>792</v>
      </c>
      <c r="B203" s="25">
        <f t="shared" si="6"/>
        <v>2.2360679774997894</v>
      </c>
      <c r="C203">
        <f>SUMIFS('data (1)'!$M:$M,'data (1)'!$J:$J,"="&amp;$A203,'data (1)'!$A:$A,"="&amp;вариация!C$2)</f>
        <v>0</v>
      </c>
      <c r="D203">
        <f>SUMIFS('data (1)'!$M:$M,'data (1)'!$J:$J,"="&amp;$A203,'data (1)'!$A:$A,"="&amp;вариация!D$2)</f>
        <v>0</v>
      </c>
      <c r="E203">
        <f>SUMIFS('data (1)'!$M:$M,'data (1)'!$J:$J,"="&amp;$A203,'data (1)'!$A:$A,"="&amp;вариация!E$2)</f>
        <v>1</v>
      </c>
      <c r="F203">
        <f>SUMIFS('data (1)'!$M:$M,'data (1)'!$J:$J,"="&amp;$A203,'data (1)'!$A:$A,"="&amp;вариация!F$2)</f>
        <v>0</v>
      </c>
      <c r="G203">
        <f>SUMIFS('data (1)'!$M:$M,'data (1)'!$J:$J,"="&amp;$A203,'data (1)'!$A:$A,"="&amp;вариация!G$2)</f>
        <v>0</v>
      </c>
      <c r="H203" t="str">
        <f t="shared" si="7"/>
        <v>No</v>
      </c>
    </row>
    <row r="204" spans="1:8" x14ac:dyDescent="0.25">
      <c r="A204" s="7" t="s">
        <v>601</v>
      </c>
      <c r="B204" s="25">
        <f t="shared" si="6"/>
        <v>2.2360679774997894</v>
      </c>
      <c r="C204">
        <f>SUMIFS('data (1)'!$M:$M,'data (1)'!$J:$J,"="&amp;$A204,'data (1)'!$A:$A,"="&amp;вариация!C$2)</f>
        <v>0</v>
      </c>
      <c r="D204">
        <f>SUMIFS('data (1)'!$M:$M,'data (1)'!$J:$J,"="&amp;$A204,'data (1)'!$A:$A,"="&amp;вариация!D$2)</f>
        <v>1</v>
      </c>
      <c r="E204">
        <f>SUMIFS('data (1)'!$M:$M,'data (1)'!$J:$J,"="&amp;$A204,'data (1)'!$A:$A,"="&amp;вариация!E$2)</f>
        <v>0</v>
      </c>
      <c r="F204">
        <f>SUMIFS('data (1)'!$M:$M,'data (1)'!$J:$J,"="&amp;$A204,'data (1)'!$A:$A,"="&amp;вариация!F$2)</f>
        <v>0</v>
      </c>
      <c r="G204">
        <f>SUMIFS('data (1)'!$M:$M,'data (1)'!$J:$J,"="&amp;$A204,'data (1)'!$A:$A,"="&amp;вариация!G$2)</f>
        <v>0</v>
      </c>
      <c r="H204" t="str">
        <f t="shared" si="7"/>
        <v>No</v>
      </c>
    </row>
    <row r="205" spans="1:8" x14ac:dyDescent="0.25">
      <c r="A205" s="7" t="s">
        <v>608</v>
      </c>
      <c r="B205" s="25">
        <f t="shared" si="6"/>
        <v>2.2360679774997894</v>
      </c>
      <c r="C205">
        <f>SUMIFS('data (1)'!$M:$M,'data (1)'!$J:$J,"="&amp;$A205,'data (1)'!$A:$A,"="&amp;вариация!C$2)</f>
        <v>0</v>
      </c>
      <c r="D205">
        <f>SUMIFS('data (1)'!$M:$M,'data (1)'!$J:$J,"="&amp;$A205,'data (1)'!$A:$A,"="&amp;вариация!D$2)</f>
        <v>1</v>
      </c>
      <c r="E205">
        <f>SUMIFS('data (1)'!$M:$M,'data (1)'!$J:$J,"="&amp;$A205,'data (1)'!$A:$A,"="&amp;вариация!E$2)</f>
        <v>0</v>
      </c>
      <c r="F205">
        <f>SUMIFS('data (1)'!$M:$M,'data (1)'!$J:$J,"="&amp;$A205,'data (1)'!$A:$A,"="&amp;вариация!F$2)</f>
        <v>0</v>
      </c>
      <c r="G205">
        <f>SUMIFS('data (1)'!$M:$M,'data (1)'!$J:$J,"="&amp;$A205,'data (1)'!$A:$A,"="&amp;вариация!G$2)</f>
        <v>0</v>
      </c>
      <c r="H205" t="str">
        <f t="shared" si="7"/>
        <v>No</v>
      </c>
    </row>
    <row r="206" spans="1:8" x14ac:dyDescent="0.25">
      <c r="A206" s="7" t="s">
        <v>1051</v>
      </c>
      <c r="B206" s="25">
        <f t="shared" si="6"/>
        <v>2.2360679774997894</v>
      </c>
      <c r="C206">
        <f>SUMIFS('data (1)'!$M:$M,'data (1)'!$J:$J,"="&amp;$A206,'data (1)'!$A:$A,"="&amp;вариация!C$2)</f>
        <v>0</v>
      </c>
      <c r="D206">
        <f>SUMIFS('data (1)'!$M:$M,'data (1)'!$J:$J,"="&amp;$A206,'data (1)'!$A:$A,"="&amp;вариация!D$2)</f>
        <v>0</v>
      </c>
      <c r="E206">
        <f>SUMIFS('data (1)'!$M:$M,'data (1)'!$J:$J,"="&amp;$A206,'data (1)'!$A:$A,"="&amp;вариация!E$2)</f>
        <v>0</v>
      </c>
      <c r="F206">
        <f>SUMIFS('data (1)'!$M:$M,'data (1)'!$J:$J,"="&amp;$A206,'data (1)'!$A:$A,"="&amp;вариация!F$2)</f>
        <v>1</v>
      </c>
      <c r="G206">
        <f>SUMIFS('data (1)'!$M:$M,'data (1)'!$J:$J,"="&amp;$A206,'data (1)'!$A:$A,"="&amp;вариация!G$2)</f>
        <v>0</v>
      </c>
      <c r="H206" t="str">
        <f t="shared" si="7"/>
        <v>No</v>
      </c>
    </row>
    <row r="207" spans="1:8" x14ac:dyDescent="0.25">
      <c r="A207" s="7" t="s">
        <v>1153</v>
      </c>
      <c r="B207" s="25">
        <f t="shared" si="6"/>
        <v>2.2360679774997894</v>
      </c>
      <c r="C207">
        <f>SUMIFS('data (1)'!$M:$M,'data (1)'!$J:$J,"="&amp;$A207,'data (1)'!$A:$A,"="&amp;вариация!C$2)</f>
        <v>0</v>
      </c>
      <c r="D207">
        <f>SUMIFS('data (1)'!$M:$M,'data (1)'!$J:$J,"="&amp;$A207,'data (1)'!$A:$A,"="&amp;вариация!D$2)</f>
        <v>0</v>
      </c>
      <c r="E207">
        <f>SUMIFS('data (1)'!$M:$M,'data (1)'!$J:$J,"="&amp;$A207,'data (1)'!$A:$A,"="&amp;вариация!E$2)</f>
        <v>0</v>
      </c>
      <c r="F207">
        <f>SUMIFS('data (1)'!$M:$M,'data (1)'!$J:$J,"="&amp;$A207,'data (1)'!$A:$A,"="&amp;вариация!F$2)</f>
        <v>0</v>
      </c>
      <c r="G207">
        <f>SUMIFS('data (1)'!$M:$M,'data (1)'!$J:$J,"="&amp;$A207,'data (1)'!$A:$A,"="&amp;вариация!G$2)</f>
        <v>2</v>
      </c>
      <c r="H207" t="str">
        <f t="shared" si="7"/>
        <v>No</v>
      </c>
    </row>
    <row r="208" spans="1:8" x14ac:dyDescent="0.25">
      <c r="A208" s="7" t="s">
        <v>103</v>
      </c>
      <c r="B208" s="25">
        <f t="shared" si="6"/>
        <v>2.2360679774997894</v>
      </c>
      <c r="C208">
        <f>SUMIFS('data (1)'!$M:$M,'data (1)'!$J:$J,"="&amp;$A208,'data (1)'!$A:$A,"="&amp;вариация!C$2)</f>
        <v>1</v>
      </c>
      <c r="D208">
        <f>SUMIFS('data (1)'!$M:$M,'data (1)'!$J:$J,"="&amp;$A208,'data (1)'!$A:$A,"="&amp;вариация!D$2)</f>
        <v>0</v>
      </c>
      <c r="E208">
        <f>SUMIFS('data (1)'!$M:$M,'data (1)'!$J:$J,"="&amp;$A208,'data (1)'!$A:$A,"="&amp;вариация!E$2)</f>
        <v>0</v>
      </c>
      <c r="F208">
        <f>SUMIFS('data (1)'!$M:$M,'data (1)'!$J:$J,"="&amp;$A208,'data (1)'!$A:$A,"="&amp;вариация!F$2)</f>
        <v>0</v>
      </c>
      <c r="G208">
        <f>SUMIFS('data (1)'!$M:$M,'data (1)'!$J:$J,"="&amp;$A208,'data (1)'!$A:$A,"="&amp;вариация!G$2)</f>
        <v>0</v>
      </c>
      <c r="H208" t="str">
        <f t="shared" si="7"/>
        <v>No</v>
      </c>
    </row>
    <row r="209" spans="1:8" x14ac:dyDescent="0.25">
      <c r="A209" s="7" t="s">
        <v>245</v>
      </c>
      <c r="B209" s="25">
        <f t="shared" si="6"/>
        <v>2.2360679774997894</v>
      </c>
      <c r="C209">
        <f>SUMIFS('data (1)'!$M:$M,'data (1)'!$J:$J,"="&amp;$A209,'data (1)'!$A:$A,"="&amp;вариация!C$2)</f>
        <v>1</v>
      </c>
      <c r="D209">
        <f>SUMIFS('data (1)'!$M:$M,'data (1)'!$J:$J,"="&amp;$A209,'data (1)'!$A:$A,"="&amp;вариация!D$2)</f>
        <v>0</v>
      </c>
      <c r="E209">
        <f>SUMIFS('data (1)'!$M:$M,'data (1)'!$J:$J,"="&amp;$A209,'data (1)'!$A:$A,"="&amp;вариация!E$2)</f>
        <v>0</v>
      </c>
      <c r="F209">
        <f>SUMIFS('data (1)'!$M:$M,'data (1)'!$J:$J,"="&amp;$A209,'data (1)'!$A:$A,"="&amp;вариация!F$2)</f>
        <v>0</v>
      </c>
      <c r="G209">
        <f>SUMIFS('data (1)'!$M:$M,'data (1)'!$J:$J,"="&amp;$A209,'data (1)'!$A:$A,"="&amp;вариация!G$2)</f>
        <v>0</v>
      </c>
      <c r="H209" t="str">
        <f t="shared" si="7"/>
        <v>No</v>
      </c>
    </row>
    <row r="210" spans="1:8" x14ac:dyDescent="0.25">
      <c r="A210" s="7" t="s">
        <v>124</v>
      </c>
      <c r="B210" s="25">
        <f t="shared" si="6"/>
        <v>2.2360679774997894</v>
      </c>
      <c r="C210">
        <f>SUMIFS('data (1)'!$M:$M,'data (1)'!$J:$J,"="&amp;$A210,'data (1)'!$A:$A,"="&amp;вариация!C$2)</f>
        <v>1</v>
      </c>
      <c r="D210">
        <f>SUMIFS('data (1)'!$M:$M,'data (1)'!$J:$J,"="&amp;$A210,'data (1)'!$A:$A,"="&amp;вариация!D$2)</f>
        <v>0</v>
      </c>
      <c r="E210">
        <f>SUMIFS('data (1)'!$M:$M,'data (1)'!$J:$J,"="&amp;$A210,'data (1)'!$A:$A,"="&amp;вариация!E$2)</f>
        <v>0</v>
      </c>
      <c r="F210">
        <f>SUMIFS('data (1)'!$M:$M,'data (1)'!$J:$J,"="&amp;$A210,'data (1)'!$A:$A,"="&amp;вариация!F$2)</f>
        <v>0</v>
      </c>
      <c r="G210">
        <f>SUMIFS('data (1)'!$M:$M,'data (1)'!$J:$J,"="&amp;$A210,'data (1)'!$A:$A,"="&amp;вариация!G$2)</f>
        <v>0</v>
      </c>
      <c r="H210" t="str">
        <f t="shared" si="7"/>
        <v>No</v>
      </c>
    </row>
    <row r="211" spans="1:8" x14ac:dyDescent="0.25">
      <c r="A211" s="7" t="s">
        <v>833</v>
      </c>
      <c r="B211" s="25">
        <f t="shared" si="6"/>
        <v>2.2360679774997894</v>
      </c>
      <c r="C211">
        <f>SUMIFS('data (1)'!$M:$M,'data (1)'!$J:$J,"="&amp;$A211,'data (1)'!$A:$A,"="&amp;вариация!C$2)</f>
        <v>0</v>
      </c>
      <c r="D211">
        <f>SUMIFS('data (1)'!$M:$M,'data (1)'!$J:$J,"="&amp;$A211,'data (1)'!$A:$A,"="&amp;вариация!D$2)</f>
        <v>0</v>
      </c>
      <c r="E211">
        <f>SUMIFS('data (1)'!$M:$M,'data (1)'!$J:$J,"="&amp;$A211,'data (1)'!$A:$A,"="&amp;вариация!E$2)</f>
        <v>1</v>
      </c>
      <c r="F211">
        <f>SUMIFS('data (1)'!$M:$M,'data (1)'!$J:$J,"="&amp;$A211,'data (1)'!$A:$A,"="&amp;вариация!F$2)</f>
        <v>0</v>
      </c>
      <c r="G211">
        <f>SUMIFS('data (1)'!$M:$M,'data (1)'!$J:$J,"="&amp;$A211,'data (1)'!$A:$A,"="&amp;вариация!G$2)</f>
        <v>0</v>
      </c>
      <c r="H211" t="str">
        <f t="shared" si="7"/>
        <v>No</v>
      </c>
    </row>
    <row r="212" spans="1:8" x14ac:dyDescent="0.25">
      <c r="A212" s="7" t="s">
        <v>1099</v>
      </c>
      <c r="B212" s="25">
        <f t="shared" si="6"/>
        <v>2.2360679774997894</v>
      </c>
      <c r="C212">
        <f>SUMIFS('data (1)'!$M:$M,'data (1)'!$J:$J,"="&amp;$A212,'data (1)'!$A:$A,"="&amp;вариация!C$2)</f>
        <v>0</v>
      </c>
      <c r="D212">
        <f>SUMIFS('data (1)'!$M:$M,'data (1)'!$J:$J,"="&amp;$A212,'data (1)'!$A:$A,"="&amp;вариация!D$2)</f>
        <v>0</v>
      </c>
      <c r="E212">
        <f>SUMIFS('data (1)'!$M:$M,'data (1)'!$J:$J,"="&amp;$A212,'data (1)'!$A:$A,"="&amp;вариация!E$2)</f>
        <v>0</v>
      </c>
      <c r="F212">
        <f>SUMIFS('data (1)'!$M:$M,'data (1)'!$J:$J,"="&amp;$A212,'data (1)'!$A:$A,"="&amp;вариация!F$2)</f>
        <v>0</v>
      </c>
      <c r="G212">
        <f>SUMIFS('data (1)'!$M:$M,'data (1)'!$J:$J,"="&amp;$A212,'data (1)'!$A:$A,"="&amp;вариация!G$2)</f>
        <v>1</v>
      </c>
      <c r="H212" t="str">
        <f t="shared" si="7"/>
        <v>No</v>
      </c>
    </row>
    <row r="213" spans="1:8" x14ac:dyDescent="0.25">
      <c r="A213" s="7" t="s">
        <v>138</v>
      </c>
      <c r="B213" s="25">
        <f t="shared" si="6"/>
        <v>0.91287092917527679</v>
      </c>
      <c r="C213">
        <f>SUMIFS('data (1)'!$M:$M,'data (1)'!$J:$J,"="&amp;$A213,'data (1)'!$A:$A,"="&amp;вариация!C$2)</f>
        <v>1</v>
      </c>
      <c r="D213">
        <f>SUMIFS('data (1)'!$M:$M,'data (1)'!$J:$J,"="&amp;$A213,'data (1)'!$A:$A,"="&amp;вариация!D$2)</f>
        <v>1</v>
      </c>
      <c r="E213">
        <f>SUMIFS('data (1)'!$M:$M,'data (1)'!$J:$J,"="&amp;$A213,'data (1)'!$A:$A,"="&amp;вариация!E$2)</f>
        <v>0</v>
      </c>
      <c r="F213">
        <f>SUMIFS('data (1)'!$M:$M,'data (1)'!$J:$J,"="&amp;$A213,'data (1)'!$A:$A,"="&amp;вариация!F$2)</f>
        <v>0</v>
      </c>
      <c r="G213">
        <f>SUMIFS('data (1)'!$M:$M,'data (1)'!$J:$J,"="&amp;$A213,'data (1)'!$A:$A,"="&amp;вариация!G$2)</f>
        <v>1</v>
      </c>
      <c r="H213" t="str">
        <f t="shared" si="7"/>
        <v>Yes</v>
      </c>
    </row>
    <row r="214" spans="1:8" x14ac:dyDescent="0.25">
      <c r="A214" s="7" t="s">
        <v>774</v>
      </c>
      <c r="B214" s="25">
        <f t="shared" si="6"/>
        <v>2.2360679774997894</v>
      </c>
      <c r="C214">
        <f>SUMIFS('data (1)'!$M:$M,'data (1)'!$J:$J,"="&amp;$A214,'data (1)'!$A:$A,"="&amp;вариация!C$2)</f>
        <v>0</v>
      </c>
      <c r="D214">
        <f>SUMIFS('data (1)'!$M:$M,'data (1)'!$J:$J,"="&amp;$A214,'data (1)'!$A:$A,"="&amp;вариация!D$2)</f>
        <v>0</v>
      </c>
      <c r="E214">
        <f>SUMIFS('data (1)'!$M:$M,'data (1)'!$J:$J,"="&amp;$A214,'data (1)'!$A:$A,"="&amp;вариация!E$2)</f>
        <v>1</v>
      </c>
      <c r="F214">
        <f>SUMIFS('data (1)'!$M:$M,'data (1)'!$J:$J,"="&amp;$A214,'data (1)'!$A:$A,"="&amp;вариация!F$2)</f>
        <v>0</v>
      </c>
      <c r="G214">
        <f>SUMIFS('data (1)'!$M:$M,'data (1)'!$J:$J,"="&amp;$A214,'data (1)'!$A:$A,"="&amp;вариация!G$2)</f>
        <v>0</v>
      </c>
      <c r="H214" t="str">
        <f t="shared" si="7"/>
        <v>No</v>
      </c>
    </row>
    <row r="215" spans="1:8" x14ac:dyDescent="0.25">
      <c r="A215" s="7" t="s">
        <v>776</v>
      </c>
      <c r="B215" s="25">
        <f t="shared" si="6"/>
        <v>2.2360679774997894</v>
      </c>
      <c r="C215">
        <f>SUMIFS('data (1)'!$M:$M,'data (1)'!$J:$J,"="&amp;$A215,'data (1)'!$A:$A,"="&amp;вариация!C$2)</f>
        <v>0</v>
      </c>
      <c r="D215">
        <f>SUMIFS('data (1)'!$M:$M,'data (1)'!$J:$J,"="&amp;$A215,'data (1)'!$A:$A,"="&amp;вариация!D$2)</f>
        <v>0</v>
      </c>
      <c r="E215">
        <f>SUMIFS('data (1)'!$M:$M,'data (1)'!$J:$J,"="&amp;$A215,'data (1)'!$A:$A,"="&amp;вариация!E$2)</f>
        <v>1</v>
      </c>
      <c r="F215">
        <f>SUMIFS('data (1)'!$M:$M,'data (1)'!$J:$J,"="&amp;$A215,'data (1)'!$A:$A,"="&amp;вариация!F$2)</f>
        <v>0</v>
      </c>
      <c r="G215">
        <f>SUMIFS('data (1)'!$M:$M,'data (1)'!$J:$J,"="&amp;$A215,'data (1)'!$A:$A,"="&amp;вариация!G$2)</f>
        <v>0</v>
      </c>
      <c r="H215" t="str">
        <f t="shared" si="7"/>
        <v>No</v>
      </c>
    </row>
    <row r="216" spans="1:8" x14ac:dyDescent="0.25">
      <c r="A216" s="7" t="s">
        <v>872</v>
      </c>
      <c r="B216" s="25">
        <f t="shared" si="6"/>
        <v>2.2360679774997894</v>
      </c>
      <c r="C216">
        <f>SUMIFS('data (1)'!$M:$M,'data (1)'!$J:$J,"="&amp;$A216,'data (1)'!$A:$A,"="&amp;вариация!C$2)</f>
        <v>0</v>
      </c>
      <c r="D216">
        <f>SUMIFS('data (1)'!$M:$M,'data (1)'!$J:$J,"="&amp;$A216,'data (1)'!$A:$A,"="&amp;вариация!D$2)</f>
        <v>0</v>
      </c>
      <c r="E216">
        <f>SUMIFS('data (1)'!$M:$M,'data (1)'!$J:$J,"="&amp;$A216,'data (1)'!$A:$A,"="&amp;вариация!E$2)</f>
        <v>1</v>
      </c>
      <c r="F216">
        <f>SUMIFS('data (1)'!$M:$M,'data (1)'!$J:$J,"="&amp;$A216,'data (1)'!$A:$A,"="&amp;вариация!F$2)</f>
        <v>0</v>
      </c>
      <c r="G216">
        <f>SUMIFS('data (1)'!$M:$M,'data (1)'!$J:$J,"="&amp;$A216,'data (1)'!$A:$A,"="&amp;вариация!G$2)</f>
        <v>0</v>
      </c>
      <c r="H216" t="str">
        <f t="shared" si="7"/>
        <v>No</v>
      </c>
    </row>
    <row r="217" spans="1:8" x14ac:dyDescent="0.25">
      <c r="A217" s="7" t="s">
        <v>1044</v>
      </c>
      <c r="B217" s="25">
        <f t="shared" si="6"/>
        <v>2.2360679774997894</v>
      </c>
      <c r="C217">
        <f>SUMIFS('data (1)'!$M:$M,'data (1)'!$J:$J,"="&amp;$A217,'data (1)'!$A:$A,"="&amp;вариация!C$2)</f>
        <v>0</v>
      </c>
      <c r="D217">
        <f>SUMIFS('data (1)'!$M:$M,'data (1)'!$J:$J,"="&amp;$A217,'data (1)'!$A:$A,"="&amp;вариация!D$2)</f>
        <v>0</v>
      </c>
      <c r="E217">
        <f>SUMIFS('data (1)'!$M:$M,'data (1)'!$J:$J,"="&amp;$A217,'data (1)'!$A:$A,"="&amp;вариация!E$2)</f>
        <v>0</v>
      </c>
      <c r="F217">
        <f>SUMIFS('data (1)'!$M:$M,'data (1)'!$J:$J,"="&amp;$A217,'data (1)'!$A:$A,"="&amp;вариация!F$2)</f>
        <v>1</v>
      </c>
      <c r="G217">
        <f>SUMIFS('data (1)'!$M:$M,'data (1)'!$J:$J,"="&amp;$A217,'data (1)'!$A:$A,"="&amp;вариация!G$2)</f>
        <v>0</v>
      </c>
      <c r="H217" t="str">
        <f t="shared" si="7"/>
        <v>No</v>
      </c>
    </row>
    <row r="218" spans="1:8" x14ac:dyDescent="0.25">
      <c r="A218" s="7" t="s">
        <v>424</v>
      </c>
      <c r="B218" s="25">
        <f t="shared" si="6"/>
        <v>2.2360679774997898</v>
      </c>
      <c r="C218">
        <f>SUMIFS('data (1)'!$M:$M,'data (1)'!$J:$J,"="&amp;$A218,'data (1)'!$A:$A,"="&amp;вариация!C$2)</f>
        <v>0.2</v>
      </c>
      <c r="D218">
        <f>SUMIFS('data (1)'!$M:$M,'data (1)'!$J:$J,"="&amp;$A218,'data (1)'!$A:$A,"="&amp;вариация!D$2)</f>
        <v>0</v>
      </c>
      <c r="E218">
        <f>SUMIFS('data (1)'!$M:$M,'data (1)'!$J:$J,"="&amp;$A218,'data (1)'!$A:$A,"="&amp;вариация!E$2)</f>
        <v>0</v>
      </c>
      <c r="F218">
        <f>SUMIFS('data (1)'!$M:$M,'data (1)'!$J:$J,"="&amp;$A218,'data (1)'!$A:$A,"="&amp;вариация!F$2)</f>
        <v>0</v>
      </c>
      <c r="G218">
        <f>SUMIFS('data (1)'!$M:$M,'data (1)'!$J:$J,"="&amp;$A218,'data (1)'!$A:$A,"="&amp;вариация!G$2)</f>
        <v>0</v>
      </c>
      <c r="H218" t="str">
        <f t="shared" si="7"/>
        <v>No</v>
      </c>
    </row>
    <row r="219" spans="1:8" x14ac:dyDescent="0.25">
      <c r="A219" s="7" t="s">
        <v>735</v>
      </c>
      <c r="B219" s="25">
        <f t="shared" si="6"/>
        <v>2.2360679774997894</v>
      </c>
      <c r="C219">
        <f>SUMIFS('data (1)'!$M:$M,'data (1)'!$J:$J,"="&amp;$A219,'data (1)'!$A:$A,"="&amp;вариация!C$2)</f>
        <v>0</v>
      </c>
      <c r="D219">
        <f>SUMIFS('data (1)'!$M:$M,'data (1)'!$J:$J,"="&amp;$A219,'data (1)'!$A:$A,"="&amp;вариация!D$2)</f>
        <v>0</v>
      </c>
      <c r="E219">
        <f>SUMIFS('data (1)'!$M:$M,'data (1)'!$J:$J,"="&amp;$A219,'data (1)'!$A:$A,"="&amp;вариация!E$2)</f>
        <v>1</v>
      </c>
      <c r="F219">
        <f>SUMIFS('data (1)'!$M:$M,'data (1)'!$J:$J,"="&amp;$A219,'data (1)'!$A:$A,"="&amp;вариация!F$2)</f>
        <v>0</v>
      </c>
      <c r="G219">
        <f>SUMIFS('data (1)'!$M:$M,'data (1)'!$J:$J,"="&amp;$A219,'data (1)'!$A:$A,"="&amp;вариация!G$2)</f>
        <v>0</v>
      </c>
      <c r="H219" t="str">
        <f t="shared" si="7"/>
        <v>No</v>
      </c>
    </row>
    <row r="220" spans="1:8" x14ac:dyDescent="0.25">
      <c r="A220" s="7" t="s">
        <v>698</v>
      </c>
      <c r="B220" s="25">
        <f t="shared" si="6"/>
        <v>2.2360679774997894</v>
      </c>
      <c r="C220">
        <f>SUMIFS('data (1)'!$M:$M,'data (1)'!$J:$J,"="&amp;$A220,'data (1)'!$A:$A,"="&amp;вариация!C$2)</f>
        <v>0</v>
      </c>
      <c r="D220">
        <f>SUMIFS('data (1)'!$M:$M,'data (1)'!$J:$J,"="&amp;$A220,'data (1)'!$A:$A,"="&amp;вариация!D$2)</f>
        <v>1</v>
      </c>
      <c r="E220">
        <f>SUMIFS('data (1)'!$M:$M,'data (1)'!$J:$J,"="&amp;$A220,'data (1)'!$A:$A,"="&amp;вариация!E$2)</f>
        <v>0</v>
      </c>
      <c r="F220">
        <f>SUMIFS('data (1)'!$M:$M,'data (1)'!$J:$J,"="&amp;$A220,'data (1)'!$A:$A,"="&amp;вариация!F$2)</f>
        <v>0</v>
      </c>
      <c r="G220">
        <f>SUMIFS('data (1)'!$M:$M,'data (1)'!$J:$J,"="&amp;$A220,'data (1)'!$A:$A,"="&amp;вариация!G$2)</f>
        <v>0</v>
      </c>
      <c r="H220" t="str">
        <f t="shared" si="7"/>
        <v>No</v>
      </c>
    </row>
    <row r="221" spans="1:8" x14ac:dyDescent="0.25">
      <c r="A221" s="7" t="s">
        <v>588</v>
      </c>
      <c r="B221" s="25">
        <f t="shared" si="6"/>
        <v>2.2360679774997894</v>
      </c>
      <c r="C221">
        <f>SUMIFS('data (1)'!$M:$M,'data (1)'!$J:$J,"="&amp;$A221,'data (1)'!$A:$A,"="&amp;вариация!C$2)</f>
        <v>0</v>
      </c>
      <c r="D221">
        <f>SUMIFS('data (1)'!$M:$M,'data (1)'!$J:$J,"="&amp;$A221,'data (1)'!$A:$A,"="&amp;вариация!D$2)</f>
        <v>1</v>
      </c>
      <c r="E221">
        <f>SUMIFS('data (1)'!$M:$M,'data (1)'!$J:$J,"="&amp;$A221,'data (1)'!$A:$A,"="&amp;вариация!E$2)</f>
        <v>0</v>
      </c>
      <c r="F221">
        <f>SUMIFS('data (1)'!$M:$M,'data (1)'!$J:$J,"="&amp;$A221,'data (1)'!$A:$A,"="&amp;вариация!F$2)</f>
        <v>0</v>
      </c>
      <c r="G221">
        <f>SUMIFS('data (1)'!$M:$M,'data (1)'!$J:$J,"="&amp;$A221,'data (1)'!$A:$A,"="&amp;вариация!G$2)</f>
        <v>0</v>
      </c>
      <c r="H221" t="str">
        <f t="shared" si="7"/>
        <v>No</v>
      </c>
    </row>
    <row r="222" spans="1:8" x14ac:dyDescent="0.25">
      <c r="A222" s="7" t="s">
        <v>409</v>
      </c>
      <c r="B222" s="25">
        <f t="shared" si="6"/>
        <v>2.2360679774997894</v>
      </c>
      <c r="C222">
        <f>SUMIFS('data (1)'!$M:$M,'data (1)'!$J:$J,"="&amp;$A222,'data (1)'!$A:$A,"="&amp;вариация!C$2)</f>
        <v>1</v>
      </c>
      <c r="D222">
        <f>SUMIFS('data (1)'!$M:$M,'data (1)'!$J:$J,"="&amp;$A222,'data (1)'!$A:$A,"="&amp;вариация!D$2)</f>
        <v>0</v>
      </c>
      <c r="E222">
        <f>SUMIFS('data (1)'!$M:$M,'data (1)'!$J:$J,"="&amp;$A222,'data (1)'!$A:$A,"="&amp;вариация!E$2)</f>
        <v>0</v>
      </c>
      <c r="F222">
        <f>SUMIFS('data (1)'!$M:$M,'data (1)'!$J:$J,"="&amp;$A222,'data (1)'!$A:$A,"="&amp;вариация!F$2)</f>
        <v>0</v>
      </c>
      <c r="G222">
        <f>SUMIFS('data (1)'!$M:$M,'data (1)'!$J:$J,"="&amp;$A222,'data (1)'!$A:$A,"="&amp;вариация!G$2)</f>
        <v>0</v>
      </c>
      <c r="H222" t="str">
        <f t="shared" si="7"/>
        <v>No</v>
      </c>
    </row>
    <row r="223" spans="1:8" x14ac:dyDescent="0.25">
      <c r="A223" s="7" t="s">
        <v>762</v>
      </c>
      <c r="B223" s="25">
        <f t="shared" si="6"/>
        <v>1.6298006013006621</v>
      </c>
      <c r="C223">
        <f>SUMIFS('data (1)'!$M:$M,'data (1)'!$J:$J,"="&amp;$A223,'data (1)'!$A:$A,"="&amp;вариация!C$2)</f>
        <v>0</v>
      </c>
      <c r="D223">
        <f>SUMIFS('data (1)'!$M:$M,'data (1)'!$J:$J,"="&amp;$A223,'data (1)'!$A:$A,"="&amp;вариация!D$2)</f>
        <v>0</v>
      </c>
      <c r="E223">
        <f>SUMIFS('data (1)'!$M:$M,'data (1)'!$J:$J,"="&amp;$A223,'data (1)'!$A:$A,"="&amp;вариация!E$2)</f>
        <v>3</v>
      </c>
      <c r="F223">
        <f>SUMIFS('data (1)'!$M:$M,'data (1)'!$J:$J,"="&amp;$A223,'data (1)'!$A:$A,"="&amp;вариация!F$2)</f>
        <v>1</v>
      </c>
      <c r="G223">
        <f>SUMIFS('data (1)'!$M:$M,'data (1)'!$J:$J,"="&amp;$A223,'data (1)'!$A:$A,"="&amp;вариация!G$2)</f>
        <v>0</v>
      </c>
      <c r="H223" t="str">
        <f t="shared" si="7"/>
        <v>No</v>
      </c>
    </row>
    <row r="224" spans="1:8" x14ac:dyDescent="0.25">
      <c r="A224" s="7" t="s">
        <v>181</v>
      </c>
      <c r="B224" s="25">
        <f t="shared" si="6"/>
        <v>2.2360679774997894</v>
      </c>
      <c r="C224">
        <f>SUMIFS('data (1)'!$M:$M,'data (1)'!$J:$J,"="&amp;$A224,'data (1)'!$A:$A,"="&amp;вариация!C$2)</f>
        <v>1</v>
      </c>
      <c r="D224">
        <f>SUMIFS('data (1)'!$M:$M,'data (1)'!$J:$J,"="&amp;$A224,'data (1)'!$A:$A,"="&amp;вариация!D$2)</f>
        <v>0</v>
      </c>
      <c r="E224">
        <f>SUMIFS('data (1)'!$M:$M,'data (1)'!$J:$J,"="&amp;$A224,'data (1)'!$A:$A,"="&amp;вариация!E$2)</f>
        <v>0</v>
      </c>
      <c r="F224">
        <f>SUMIFS('data (1)'!$M:$M,'data (1)'!$J:$J,"="&amp;$A224,'data (1)'!$A:$A,"="&amp;вариация!F$2)</f>
        <v>0</v>
      </c>
      <c r="G224">
        <f>SUMIFS('data (1)'!$M:$M,'data (1)'!$J:$J,"="&amp;$A224,'data (1)'!$A:$A,"="&amp;вариация!G$2)</f>
        <v>0</v>
      </c>
      <c r="H224" t="str">
        <f t="shared" si="7"/>
        <v>No</v>
      </c>
    </row>
    <row r="225" spans="1:8" x14ac:dyDescent="0.25">
      <c r="A225" s="7" t="s">
        <v>848</v>
      </c>
      <c r="B225" s="25">
        <f t="shared" si="6"/>
        <v>1.3693063937629151</v>
      </c>
      <c r="C225">
        <f>SUMIFS('data (1)'!$M:$M,'data (1)'!$J:$J,"="&amp;$A225,'data (1)'!$A:$A,"="&amp;вариация!C$2)</f>
        <v>0</v>
      </c>
      <c r="D225">
        <f>SUMIFS('data (1)'!$M:$M,'data (1)'!$J:$J,"="&amp;$A225,'data (1)'!$A:$A,"="&amp;вариация!D$2)</f>
        <v>0</v>
      </c>
      <c r="E225">
        <f>SUMIFS('data (1)'!$M:$M,'data (1)'!$J:$J,"="&amp;$A225,'data (1)'!$A:$A,"="&amp;вариация!E$2)</f>
        <v>1</v>
      </c>
      <c r="F225">
        <f>SUMIFS('data (1)'!$M:$M,'data (1)'!$J:$J,"="&amp;$A225,'data (1)'!$A:$A,"="&amp;вариация!F$2)</f>
        <v>1</v>
      </c>
      <c r="G225">
        <f>SUMIFS('data (1)'!$M:$M,'data (1)'!$J:$J,"="&amp;$A225,'data (1)'!$A:$A,"="&amp;вариация!G$2)</f>
        <v>0</v>
      </c>
      <c r="H225" t="str">
        <f t="shared" si="7"/>
        <v>No</v>
      </c>
    </row>
    <row r="226" spans="1:8" x14ac:dyDescent="0.25">
      <c r="A226" s="7" t="s">
        <v>364</v>
      </c>
      <c r="B226" s="25">
        <f t="shared" si="6"/>
        <v>1.4907119849998598</v>
      </c>
      <c r="C226">
        <f>SUMIFS('data (1)'!$M:$M,'data (1)'!$J:$J,"="&amp;$A226,'data (1)'!$A:$A,"="&amp;вариация!C$2)</f>
        <v>2</v>
      </c>
      <c r="D226">
        <f>SUMIFS('data (1)'!$M:$M,'data (1)'!$J:$J,"="&amp;$A226,'data (1)'!$A:$A,"="&amp;вариация!D$2)</f>
        <v>0</v>
      </c>
      <c r="E226">
        <f>SUMIFS('data (1)'!$M:$M,'data (1)'!$J:$J,"="&amp;$A226,'data (1)'!$A:$A,"="&amp;вариация!E$2)</f>
        <v>0</v>
      </c>
      <c r="F226">
        <f>SUMIFS('data (1)'!$M:$M,'data (1)'!$J:$J,"="&amp;$A226,'data (1)'!$A:$A,"="&amp;вариация!F$2)</f>
        <v>0</v>
      </c>
      <c r="G226">
        <f>SUMIFS('data (1)'!$M:$M,'data (1)'!$J:$J,"="&amp;$A226,'data (1)'!$A:$A,"="&amp;вариация!G$2)</f>
        <v>1</v>
      </c>
      <c r="H226" t="str">
        <f t="shared" si="7"/>
        <v>No</v>
      </c>
    </row>
    <row r="227" spans="1:8" x14ac:dyDescent="0.25">
      <c r="A227" s="7" t="s">
        <v>1216</v>
      </c>
      <c r="B227" s="25">
        <f t="shared" si="6"/>
        <v>2.2360679774997894</v>
      </c>
      <c r="C227">
        <f>SUMIFS('data (1)'!$M:$M,'data (1)'!$J:$J,"="&amp;$A227,'data (1)'!$A:$A,"="&amp;вариация!C$2)</f>
        <v>0</v>
      </c>
      <c r="D227">
        <f>SUMIFS('data (1)'!$M:$M,'data (1)'!$J:$J,"="&amp;$A227,'data (1)'!$A:$A,"="&amp;вариация!D$2)</f>
        <v>0</v>
      </c>
      <c r="E227">
        <f>SUMIFS('data (1)'!$M:$M,'data (1)'!$J:$J,"="&amp;$A227,'data (1)'!$A:$A,"="&amp;вариация!E$2)</f>
        <v>0</v>
      </c>
      <c r="F227">
        <f>SUMIFS('data (1)'!$M:$M,'data (1)'!$J:$J,"="&amp;$A227,'data (1)'!$A:$A,"="&amp;вариация!F$2)</f>
        <v>0</v>
      </c>
      <c r="G227">
        <f>SUMIFS('data (1)'!$M:$M,'data (1)'!$J:$J,"="&amp;$A227,'data (1)'!$A:$A,"="&amp;вариация!G$2)</f>
        <v>1</v>
      </c>
      <c r="H227" t="str">
        <f t="shared" si="7"/>
        <v>No</v>
      </c>
    </row>
    <row r="228" spans="1:8" x14ac:dyDescent="0.25">
      <c r="A228" s="7" t="s">
        <v>817</v>
      </c>
      <c r="B228" s="25">
        <f t="shared" si="6"/>
        <v>2.2360679774997894</v>
      </c>
      <c r="C228">
        <f>SUMIFS('data (1)'!$M:$M,'data (1)'!$J:$J,"="&amp;$A228,'data (1)'!$A:$A,"="&amp;вариация!C$2)</f>
        <v>0</v>
      </c>
      <c r="D228">
        <f>SUMIFS('data (1)'!$M:$M,'data (1)'!$J:$J,"="&amp;$A228,'data (1)'!$A:$A,"="&amp;вариация!D$2)</f>
        <v>0</v>
      </c>
      <c r="E228">
        <f>SUMIFS('data (1)'!$M:$M,'data (1)'!$J:$J,"="&amp;$A228,'data (1)'!$A:$A,"="&amp;вариация!E$2)</f>
        <v>2</v>
      </c>
      <c r="F228">
        <f>SUMIFS('data (1)'!$M:$M,'data (1)'!$J:$J,"="&amp;$A228,'data (1)'!$A:$A,"="&amp;вариация!F$2)</f>
        <v>0</v>
      </c>
      <c r="G228">
        <f>SUMIFS('data (1)'!$M:$M,'data (1)'!$J:$J,"="&amp;$A228,'data (1)'!$A:$A,"="&amp;вариация!G$2)</f>
        <v>0</v>
      </c>
      <c r="H228" t="str">
        <f t="shared" si="7"/>
        <v>No</v>
      </c>
    </row>
    <row r="229" spans="1:8" x14ac:dyDescent="0.25">
      <c r="A229" s="7" t="s">
        <v>1066</v>
      </c>
      <c r="B229" s="25">
        <f t="shared" si="6"/>
        <v>2.2360679774997894</v>
      </c>
      <c r="C229">
        <f>SUMIFS('data (1)'!$M:$M,'data (1)'!$J:$J,"="&amp;$A229,'data (1)'!$A:$A,"="&amp;вариация!C$2)</f>
        <v>0</v>
      </c>
      <c r="D229">
        <f>SUMIFS('data (1)'!$M:$M,'data (1)'!$J:$J,"="&amp;$A229,'data (1)'!$A:$A,"="&amp;вариация!D$2)</f>
        <v>0</v>
      </c>
      <c r="E229">
        <f>SUMIFS('data (1)'!$M:$M,'data (1)'!$J:$J,"="&amp;$A229,'data (1)'!$A:$A,"="&amp;вариация!E$2)</f>
        <v>0</v>
      </c>
      <c r="F229">
        <f>SUMIFS('data (1)'!$M:$M,'data (1)'!$J:$J,"="&amp;$A229,'data (1)'!$A:$A,"="&amp;вариация!F$2)</f>
        <v>1</v>
      </c>
      <c r="G229">
        <f>SUMIFS('data (1)'!$M:$M,'data (1)'!$J:$J,"="&amp;$A229,'data (1)'!$A:$A,"="&amp;вариация!G$2)</f>
        <v>0</v>
      </c>
      <c r="H229" t="str">
        <f t="shared" si="7"/>
        <v>No</v>
      </c>
    </row>
    <row r="230" spans="1:8" x14ac:dyDescent="0.25">
      <c r="A230" s="7" t="s">
        <v>486</v>
      </c>
      <c r="B230" s="25">
        <f t="shared" si="6"/>
        <v>2.2360679774997894</v>
      </c>
      <c r="C230">
        <f>SUMIFS('data (1)'!$M:$M,'data (1)'!$J:$J,"="&amp;$A230,'data (1)'!$A:$A,"="&amp;вариация!C$2)</f>
        <v>0</v>
      </c>
      <c r="D230">
        <f>SUMIFS('data (1)'!$M:$M,'data (1)'!$J:$J,"="&amp;$A230,'data (1)'!$A:$A,"="&amp;вариация!D$2)</f>
        <v>1</v>
      </c>
      <c r="E230">
        <f>SUMIFS('data (1)'!$M:$M,'data (1)'!$J:$J,"="&amp;$A230,'data (1)'!$A:$A,"="&amp;вариация!E$2)</f>
        <v>0</v>
      </c>
      <c r="F230">
        <f>SUMIFS('data (1)'!$M:$M,'data (1)'!$J:$J,"="&amp;$A230,'data (1)'!$A:$A,"="&amp;вариация!F$2)</f>
        <v>0</v>
      </c>
      <c r="G230">
        <f>SUMIFS('data (1)'!$M:$M,'data (1)'!$J:$J,"="&amp;$A230,'data (1)'!$A:$A,"="&amp;вариация!G$2)</f>
        <v>0</v>
      </c>
      <c r="H230" t="str">
        <f t="shared" si="7"/>
        <v>No</v>
      </c>
    </row>
    <row r="231" spans="1:8" x14ac:dyDescent="0.25">
      <c r="A231" s="7" t="s">
        <v>1014</v>
      </c>
      <c r="B231" s="25">
        <f t="shared" si="6"/>
        <v>2.2360679774997894</v>
      </c>
      <c r="C231">
        <f>SUMIFS('data (1)'!$M:$M,'data (1)'!$J:$J,"="&amp;$A231,'data (1)'!$A:$A,"="&amp;вариация!C$2)</f>
        <v>0</v>
      </c>
      <c r="D231">
        <f>SUMIFS('data (1)'!$M:$M,'data (1)'!$J:$J,"="&amp;$A231,'data (1)'!$A:$A,"="&amp;вариация!D$2)</f>
        <v>0</v>
      </c>
      <c r="E231">
        <f>SUMIFS('data (1)'!$M:$M,'data (1)'!$J:$J,"="&amp;$A231,'data (1)'!$A:$A,"="&amp;вариация!E$2)</f>
        <v>0</v>
      </c>
      <c r="F231">
        <f>SUMIFS('data (1)'!$M:$M,'data (1)'!$J:$J,"="&amp;$A231,'data (1)'!$A:$A,"="&amp;вариация!F$2)</f>
        <v>1</v>
      </c>
      <c r="G231">
        <f>SUMIFS('data (1)'!$M:$M,'data (1)'!$J:$J,"="&amp;$A231,'data (1)'!$A:$A,"="&amp;вариация!G$2)</f>
        <v>0</v>
      </c>
      <c r="H231" t="str">
        <f t="shared" si="7"/>
        <v>No</v>
      </c>
    </row>
    <row r="232" spans="1:8" x14ac:dyDescent="0.25">
      <c r="A232" s="7" t="s">
        <v>1112</v>
      </c>
      <c r="B232" s="25">
        <f t="shared" si="6"/>
        <v>2.2360679774997894</v>
      </c>
      <c r="C232">
        <f>SUMIFS('data (1)'!$M:$M,'data (1)'!$J:$J,"="&amp;$A232,'data (1)'!$A:$A,"="&amp;вариация!C$2)</f>
        <v>0</v>
      </c>
      <c r="D232">
        <f>SUMIFS('data (1)'!$M:$M,'data (1)'!$J:$J,"="&amp;$A232,'data (1)'!$A:$A,"="&amp;вариация!D$2)</f>
        <v>0</v>
      </c>
      <c r="E232">
        <f>SUMIFS('data (1)'!$M:$M,'data (1)'!$J:$J,"="&amp;$A232,'data (1)'!$A:$A,"="&amp;вариация!E$2)</f>
        <v>0</v>
      </c>
      <c r="F232">
        <f>SUMIFS('data (1)'!$M:$M,'data (1)'!$J:$J,"="&amp;$A232,'data (1)'!$A:$A,"="&amp;вариация!F$2)</f>
        <v>0</v>
      </c>
      <c r="G232">
        <f>SUMIFS('data (1)'!$M:$M,'data (1)'!$J:$J,"="&amp;$A232,'data (1)'!$A:$A,"="&amp;вариация!G$2)</f>
        <v>1</v>
      </c>
      <c r="H232" t="str">
        <f t="shared" si="7"/>
        <v>No</v>
      </c>
    </row>
    <row r="233" spans="1:8" x14ac:dyDescent="0.25">
      <c r="A233" s="7" t="s">
        <v>290</v>
      </c>
      <c r="B233" s="25">
        <f t="shared" si="6"/>
        <v>2.2360679774997894</v>
      </c>
      <c r="C233">
        <f>SUMIFS('data (1)'!$M:$M,'data (1)'!$J:$J,"="&amp;$A233,'data (1)'!$A:$A,"="&amp;вариация!C$2)</f>
        <v>1</v>
      </c>
      <c r="D233">
        <f>SUMIFS('data (1)'!$M:$M,'data (1)'!$J:$J,"="&amp;$A233,'data (1)'!$A:$A,"="&amp;вариация!D$2)</f>
        <v>0</v>
      </c>
      <c r="E233">
        <f>SUMIFS('data (1)'!$M:$M,'data (1)'!$J:$J,"="&amp;$A233,'data (1)'!$A:$A,"="&amp;вариация!E$2)</f>
        <v>0</v>
      </c>
      <c r="F233">
        <f>SUMIFS('data (1)'!$M:$M,'data (1)'!$J:$J,"="&amp;$A233,'data (1)'!$A:$A,"="&amp;вариация!F$2)</f>
        <v>0</v>
      </c>
      <c r="G233">
        <f>SUMIFS('data (1)'!$M:$M,'data (1)'!$J:$J,"="&amp;$A233,'data (1)'!$A:$A,"="&amp;вариация!G$2)</f>
        <v>0</v>
      </c>
      <c r="H233" t="str">
        <f t="shared" si="7"/>
        <v>No</v>
      </c>
    </row>
    <row r="234" spans="1:8" x14ac:dyDescent="0.25">
      <c r="A234" s="7" t="s">
        <v>289</v>
      </c>
      <c r="B234" s="25">
        <f t="shared" si="6"/>
        <v>1.3693063937629151</v>
      </c>
      <c r="C234">
        <f>SUMIFS('data (1)'!$M:$M,'data (1)'!$J:$J,"="&amp;$A234,'data (1)'!$A:$A,"="&amp;вариация!C$2)</f>
        <v>1</v>
      </c>
      <c r="D234">
        <f>SUMIFS('data (1)'!$M:$M,'data (1)'!$J:$J,"="&amp;$A234,'data (1)'!$A:$A,"="&amp;вариация!D$2)</f>
        <v>0</v>
      </c>
      <c r="E234">
        <f>SUMIFS('data (1)'!$M:$M,'data (1)'!$J:$J,"="&amp;$A234,'data (1)'!$A:$A,"="&amp;вариация!E$2)</f>
        <v>0</v>
      </c>
      <c r="F234">
        <f>SUMIFS('data (1)'!$M:$M,'data (1)'!$J:$J,"="&amp;$A234,'data (1)'!$A:$A,"="&amp;вариация!F$2)</f>
        <v>1</v>
      </c>
      <c r="G234">
        <f>SUMIFS('data (1)'!$M:$M,'data (1)'!$J:$J,"="&amp;$A234,'data (1)'!$A:$A,"="&amp;вариация!G$2)</f>
        <v>0</v>
      </c>
      <c r="H234" t="str">
        <f t="shared" si="7"/>
        <v>No</v>
      </c>
    </row>
    <row r="235" spans="1:8" x14ac:dyDescent="0.25">
      <c r="A235" s="7" t="s">
        <v>989</v>
      </c>
      <c r="B235" s="25">
        <f t="shared" si="6"/>
        <v>1.3693063937629151</v>
      </c>
      <c r="C235">
        <f>SUMIFS('data (1)'!$M:$M,'data (1)'!$J:$J,"="&amp;$A235,'data (1)'!$A:$A,"="&amp;вариация!C$2)</f>
        <v>0</v>
      </c>
      <c r="D235">
        <f>SUMIFS('data (1)'!$M:$M,'data (1)'!$J:$J,"="&amp;$A235,'data (1)'!$A:$A,"="&amp;вариация!D$2)</f>
        <v>0</v>
      </c>
      <c r="E235">
        <f>SUMIFS('data (1)'!$M:$M,'data (1)'!$J:$J,"="&amp;$A235,'data (1)'!$A:$A,"="&amp;вариация!E$2)</f>
        <v>0</v>
      </c>
      <c r="F235">
        <f>SUMIFS('data (1)'!$M:$M,'data (1)'!$J:$J,"="&amp;$A235,'data (1)'!$A:$A,"="&amp;вариация!F$2)</f>
        <v>2</v>
      </c>
      <c r="G235">
        <f>SUMIFS('data (1)'!$M:$M,'data (1)'!$J:$J,"="&amp;$A235,'data (1)'!$A:$A,"="&amp;вариация!G$2)</f>
        <v>2</v>
      </c>
      <c r="H235" t="str">
        <f t="shared" si="7"/>
        <v>No</v>
      </c>
    </row>
    <row r="236" spans="1:8" x14ac:dyDescent="0.25">
      <c r="A236" s="7" t="s">
        <v>748</v>
      </c>
      <c r="B236" s="25">
        <f t="shared" si="6"/>
        <v>1.3693063937629151</v>
      </c>
      <c r="C236">
        <f>SUMIFS('data (1)'!$M:$M,'data (1)'!$J:$J,"="&amp;$A236,'data (1)'!$A:$A,"="&amp;вариация!C$2)</f>
        <v>0</v>
      </c>
      <c r="D236">
        <f>SUMIFS('data (1)'!$M:$M,'data (1)'!$J:$J,"="&amp;$A236,'data (1)'!$A:$A,"="&amp;вариация!D$2)</f>
        <v>0</v>
      </c>
      <c r="E236">
        <f>SUMIFS('data (1)'!$M:$M,'data (1)'!$J:$J,"="&amp;$A236,'data (1)'!$A:$A,"="&amp;вариация!E$2)</f>
        <v>1</v>
      </c>
      <c r="F236">
        <f>SUMIFS('data (1)'!$M:$M,'data (1)'!$J:$J,"="&amp;$A236,'data (1)'!$A:$A,"="&amp;вариация!F$2)</f>
        <v>0</v>
      </c>
      <c r="G236">
        <f>SUMIFS('data (1)'!$M:$M,'data (1)'!$J:$J,"="&amp;$A236,'data (1)'!$A:$A,"="&amp;вариация!G$2)</f>
        <v>1</v>
      </c>
      <c r="H236" t="str">
        <f t="shared" si="7"/>
        <v>No</v>
      </c>
    </row>
    <row r="237" spans="1:8" x14ac:dyDescent="0.25">
      <c r="A237" s="7" t="s">
        <v>680</v>
      </c>
      <c r="B237" s="25">
        <f t="shared" si="6"/>
        <v>2.2360679774997894</v>
      </c>
      <c r="C237">
        <f>SUMIFS('data (1)'!$M:$M,'data (1)'!$J:$J,"="&amp;$A237,'data (1)'!$A:$A,"="&amp;вариация!C$2)</f>
        <v>0</v>
      </c>
      <c r="D237">
        <f>SUMIFS('data (1)'!$M:$M,'data (1)'!$J:$J,"="&amp;$A237,'data (1)'!$A:$A,"="&amp;вариация!D$2)</f>
        <v>1</v>
      </c>
      <c r="E237">
        <f>SUMIFS('data (1)'!$M:$M,'data (1)'!$J:$J,"="&amp;$A237,'data (1)'!$A:$A,"="&amp;вариация!E$2)</f>
        <v>0</v>
      </c>
      <c r="F237">
        <f>SUMIFS('data (1)'!$M:$M,'data (1)'!$J:$J,"="&amp;$A237,'data (1)'!$A:$A,"="&amp;вариация!F$2)</f>
        <v>0</v>
      </c>
      <c r="G237">
        <f>SUMIFS('data (1)'!$M:$M,'data (1)'!$J:$J,"="&amp;$A237,'data (1)'!$A:$A,"="&amp;вариация!G$2)</f>
        <v>0</v>
      </c>
      <c r="H237" t="str">
        <f t="shared" si="7"/>
        <v>No</v>
      </c>
    </row>
    <row r="238" spans="1:8" x14ac:dyDescent="0.25">
      <c r="A238" s="7" t="s">
        <v>972</v>
      </c>
      <c r="B238" s="25">
        <f t="shared" si="6"/>
        <v>2.2360679774997894</v>
      </c>
      <c r="C238">
        <f>SUMIFS('data (1)'!$M:$M,'data (1)'!$J:$J,"="&amp;$A238,'data (1)'!$A:$A,"="&amp;вариация!C$2)</f>
        <v>0</v>
      </c>
      <c r="D238">
        <f>SUMIFS('data (1)'!$M:$M,'data (1)'!$J:$J,"="&amp;$A238,'data (1)'!$A:$A,"="&amp;вариация!D$2)</f>
        <v>0</v>
      </c>
      <c r="E238">
        <f>SUMIFS('data (1)'!$M:$M,'data (1)'!$J:$J,"="&amp;$A238,'data (1)'!$A:$A,"="&amp;вариация!E$2)</f>
        <v>0</v>
      </c>
      <c r="F238">
        <f>SUMIFS('data (1)'!$M:$M,'data (1)'!$J:$J,"="&amp;$A238,'data (1)'!$A:$A,"="&amp;вариация!F$2)</f>
        <v>1</v>
      </c>
      <c r="G238">
        <f>SUMIFS('data (1)'!$M:$M,'data (1)'!$J:$J,"="&amp;$A238,'data (1)'!$A:$A,"="&amp;вариация!G$2)</f>
        <v>0</v>
      </c>
      <c r="H238" t="str">
        <f t="shared" si="7"/>
        <v>No</v>
      </c>
    </row>
    <row r="239" spans="1:8" x14ac:dyDescent="0.25">
      <c r="A239" s="7" t="s">
        <v>1215</v>
      </c>
      <c r="B239" s="25">
        <f t="shared" si="6"/>
        <v>2.2360679774997894</v>
      </c>
      <c r="C239">
        <f>SUMIFS('data (1)'!$M:$M,'data (1)'!$J:$J,"="&amp;$A239,'data (1)'!$A:$A,"="&amp;вариация!C$2)</f>
        <v>0</v>
      </c>
      <c r="D239">
        <f>SUMIFS('data (1)'!$M:$M,'data (1)'!$J:$J,"="&amp;$A239,'data (1)'!$A:$A,"="&amp;вариация!D$2)</f>
        <v>0</v>
      </c>
      <c r="E239">
        <f>SUMIFS('data (1)'!$M:$M,'data (1)'!$J:$J,"="&amp;$A239,'data (1)'!$A:$A,"="&amp;вариация!E$2)</f>
        <v>0</v>
      </c>
      <c r="F239">
        <f>SUMIFS('data (1)'!$M:$M,'data (1)'!$J:$J,"="&amp;$A239,'data (1)'!$A:$A,"="&amp;вариация!F$2)</f>
        <v>0</v>
      </c>
      <c r="G239">
        <f>SUMIFS('data (1)'!$M:$M,'data (1)'!$J:$J,"="&amp;$A239,'data (1)'!$A:$A,"="&amp;вариация!G$2)</f>
        <v>1</v>
      </c>
      <c r="H239" t="str">
        <f t="shared" si="7"/>
        <v>No</v>
      </c>
    </row>
    <row r="240" spans="1:8" x14ac:dyDescent="0.25">
      <c r="A240" s="7" t="s">
        <v>420</v>
      </c>
      <c r="B240" s="25">
        <f t="shared" si="6"/>
        <v>2.2360679774997894</v>
      </c>
      <c r="C240">
        <f>SUMIFS('data (1)'!$M:$M,'data (1)'!$J:$J,"="&amp;$A240,'data (1)'!$A:$A,"="&amp;вариация!C$2)</f>
        <v>1</v>
      </c>
      <c r="D240">
        <f>SUMIFS('data (1)'!$M:$M,'data (1)'!$J:$J,"="&amp;$A240,'data (1)'!$A:$A,"="&amp;вариация!D$2)</f>
        <v>0</v>
      </c>
      <c r="E240">
        <f>SUMIFS('data (1)'!$M:$M,'data (1)'!$J:$J,"="&amp;$A240,'data (1)'!$A:$A,"="&amp;вариация!E$2)</f>
        <v>0</v>
      </c>
      <c r="F240">
        <f>SUMIFS('data (1)'!$M:$M,'data (1)'!$J:$J,"="&amp;$A240,'data (1)'!$A:$A,"="&amp;вариация!F$2)</f>
        <v>0</v>
      </c>
      <c r="G240">
        <f>SUMIFS('data (1)'!$M:$M,'data (1)'!$J:$J,"="&amp;$A240,'data (1)'!$A:$A,"="&amp;вариация!G$2)</f>
        <v>0</v>
      </c>
      <c r="H240" t="str">
        <f t="shared" si="7"/>
        <v>No</v>
      </c>
    </row>
    <row r="241" spans="1:8" x14ac:dyDescent="0.25">
      <c r="A241" s="7" t="s">
        <v>652</v>
      </c>
      <c r="B241" s="25">
        <f t="shared" si="6"/>
        <v>2.2360679774997898</v>
      </c>
      <c r="C241">
        <f>SUMIFS('data (1)'!$M:$M,'data (1)'!$J:$J,"="&amp;$A241,'data (1)'!$A:$A,"="&amp;вариация!C$2)</f>
        <v>0</v>
      </c>
      <c r="D241">
        <f>SUMIFS('data (1)'!$M:$M,'data (1)'!$J:$J,"="&amp;$A241,'data (1)'!$A:$A,"="&amp;вариация!D$2)</f>
        <v>0.1</v>
      </c>
      <c r="E241">
        <f>SUMIFS('data (1)'!$M:$M,'data (1)'!$J:$J,"="&amp;$A241,'data (1)'!$A:$A,"="&amp;вариация!E$2)</f>
        <v>0</v>
      </c>
      <c r="F241">
        <f>SUMIFS('data (1)'!$M:$M,'data (1)'!$J:$J,"="&amp;$A241,'data (1)'!$A:$A,"="&amp;вариация!F$2)</f>
        <v>0</v>
      </c>
      <c r="G241">
        <f>SUMIFS('data (1)'!$M:$M,'data (1)'!$J:$J,"="&amp;$A241,'data (1)'!$A:$A,"="&amp;вариация!G$2)</f>
        <v>0</v>
      </c>
      <c r="H241" t="str">
        <f t="shared" si="7"/>
        <v>No</v>
      </c>
    </row>
    <row r="242" spans="1:8" x14ac:dyDescent="0.25">
      <c r="A242" s="7" t="s">
        <v>947</v>
      </c>
      <c r="B242" s="25">
        <f t="shared" si="6"/>
        <v>2.2360679774997894</v>
      </c>
      <c r="C242">
        <f>SUMIFS('data (1)'!$M:$M,'data (1)'!$J:$J,"="&amp;$A242,'data (1)'!$A:$A,"="&amp;вариация!C$2)</f>
        <v>0</v>
      </c>
      <c r="D242">
        <f>SUMIFS('data (1)'!$M:$M,'data (1)'!$J:$J,"="&amp;$A242,'data (1)'!$A:$A,"="&amp;вариация!D$2)</f>
        <v>0</v>
      </c>
      <c r="E242">
        <f>SUMIFS('data (1)'!$M:$M,'data (1)'!$J:$J,"="&amp;$A242,'data (1)'!$A:$A,"="&amp;вариация!E$2)</f>
        <v>0</v>
      </c>
      <c r="F242">
        <f>SUMIFS('data (1)'!$M:$M,'data (1)'!$J:$J,"="&amp;$A242,'data (1)'!$A:$A,"="&amp;вариация!F$2)</f>
        <v>1</v>
      </c>
      <c r="G242">
        <f>SUMIFS('data (1)'!$M:$M,'data (1)'!$J:$J,"="&amp;$A242,'data (1)'!$A:$A,"="&amp;вариация!G$2)</f>
        <v>0</v>
      </c>
      <c r="H242" t="str">
        <f t="shared" si="7"/>
        <v>No</v>
      </c>
    </row>
    <row r="243" spans="1:8" x14ac:dyDescent="0.25">
      <c r="A243" s="7" t="s">
        <v>464</v>
      </c>
      <c r="B243" s="25">
        <f t="shared" si="6"/>
        <v>1.3693063937629151</v>
      </c>
      <c r="C243">
        <f>SUMIFS('data (1)'!$M:$M,'data (1)'!$J:$J,"="&amp;$A243,'data (1)'!$A:$A,"="&amp;вариация!C$2)</f>
        <v>1</v>
      </c>
      <c r="D243">
        <f>SUMIFS('data (1)'!$M:$M,'data (1)'!$J:$J,"="&amp;$A243,'data (1)'!$A:$A,"="&amp;вариация!D$2)</f>
        <v>0</v>
      </c>
      <c r="E243">
        <f>SUMIFS('data (1)'!$M:$M,'data (1)'!$J:$J,"="&amp;$A243,'data (1)'!$A:$A,"="&amp;вариация!E$2)</f>
        <v>0</v>
      </c>
      <c r="F243">
        <f>SUMIFS('data (1)'!$M:$M,'data (1)'!$J:$J,"="&amp;$A243,'data (1)'!$A:$A,"="&amp;вариация!F$2)</f>
        <v>0</v>
      </c>
      <c r="G243">
        <f>SUMIFS('data (1)'!$M:$M,'data (1)'!$J:$J,"="&amp;$A243,'data (1)'!$A:$A,"="&amp;вариация!G$2)</f>
        <v>1</v>
      </c>
      <c r="H243" t="str">
        <f t="shared" si="7"/>
        <v>No</v>
      </c>
    </row>
    <row r="244" spans="1:8" x14ac:dyDescent="0.25">
      <c r="A244" s="7" t="s">
        <v>634</v>
      </c>
      <c r="B244" s="25">
        <f t="shared" si="6"/>
        <v>2.2360679774997894</v>
      </c>
      <c r="C244">
        <f>SUMIFS('data (1)'!$M:$M,'data (1)'!$J:$J,"="&amp;$A244,'data (1)'!$A:$A,"="&amp;вариация!C$2)</f>
        <v>0</v>
      </c>
      <c r="D244">
        <f>SUMIFS('data (1)'!$M:$M,'data (1)'!$J:$J,"="&amp;$A244,'data (1)'!$A:$A,"="&amp;вариация!D$2)</f>
        <v>1</v>
      </c>
      <c r="E244">
        <f>SUMIFS('data (1)'!$M:$M,'data (1)'!$J:$J,"="&amp;$A244,'data (1)'!$A:$A,"="&amp;вариация!E$2)</f>
        <v>0</v>
      </c>
      <c r="F244">
        <f>SUMIFS('data (1)'!$M:$M,'data (1)'!$J:$J,"="&amp;$A244,'data (1)'!$A:$A,"="&amp;вариация!F$2)</f>
        <v>0</v>
      </c>
      <c r="G244">
        <f>SUMIFS('data (1)'!$M:$M,'data (1)'!$J:$J,"="&amp;$A244,'data (1)'!$A:$A,"="&amp;вариация!G$2)</f>
        <v>0</v>
      </c>
      <c r="H244" t="str">
        <f t="shared" si="7"/>
        <v>No</v>
      </c>
    </row>
    <row r="245" spans="1:8" x14ac:dyDescent="0.25">
      <c r="A245" s="7" t="s">
        <v>520</v>
      </c>
      <c r="B245" s="25">
        <f t="shared" si="6"/>
        <v>1.4142135623730951</v>
      </c>
      <c r="C245">
        <f>SUMIFS('data (1)'!$M:$M,'data (1)'!$J:$J,"="&amp;$A245,'data (1)'!$A:$A,"="&amp;вариация!C$2)</f>
        <v>0</v>
      </c>
      <c r="D245">
        <f>SUMIFS('data (1)'!$M:$M,'data (1)'!$J:$J,"="&amp;$A245,'data (1)'!$A:$A,"="&amp;вариация!D$2)</f>
        <v>2</v>
      </c>
      <c r="E245">
        <f>SUMIFS('data (1)'!$M:$M,'data (1)'!$J:$J,"="&amp;$A245,'data (1)'!$A:$A,"="&amp;вариация!E$2)</f>
        <v>0</v>
      </c>
      <c r="F245">
        <f>SUMIFS('data (1)'!$M:$M,'data (1)'!$J:$J,"="&amp;$A245,'data (1)'!$A:$A,"="&amp;вариация!F$2)</f>
        <v>3</v>
      </c>
      <c r="G245">
        <f>SUMIFS('data (1)'!$M:$M,'data (1)'!$J:$J,"="&amp;$A245,'data (1)'!$A:$A,"="&amp;вариация!G$2)</f>
        <v>0</v>
      </c>
      <c r="H245" t="str">
        <f t="shared" si="7"/>
        <v>No</v>
      </c>
    </row>
    <row r="246" spans="1:8" x14ac:dyDescent="0.25">
      <c r="A246" s="7" t="s">
        <v>1110</v>
      </c>
      <c r="B246" s="25">
        <f t="shared" si="6"/>
        <v>2.2360679774997898</v>
      </c>
      <c r="C246">
        <f>SUMIFS('data (1)'!$M:$M,'data (1)'!$J:$J,"="&amp;$A246,'data (1)'!$A:$A,"="&amp;вариация!C$2)</f>
        <v>0</v>
      </c>
      <c r="D246">
        <f>SUMIFS('data (1)'!$M:$M,'data (1)'!$J:$J,"="&amp;$A246,'data (1)'!$A:$A,"="&amp;вариация!D$2)</f>
        <v>0</v>
      </c>
      <c r="E246">
        <f>SUMIFS('data (1)'!$M:$M,'data (1)'!$J:$J,"="&amp;$A246,'data (1)'!$A:$A,"="&amp;вариация!E$2)</f>
        <v>0</v>
      </c>
      <c r="F246">
        <f>SUMIFS('data (1)'!$M:$M,'data (1)'!$J:$J,"="&amp;$A246,'data (1)'!$A:$A,"="&amp;вариация!F$2)</f>
        <v>0</v>
      </c>
      <c r="G246">
        <f>SUMIFS('data (1)'!$M:$M,'data (1)'!$J:$J,"="&amp;$A246,'data (1)'!$A:$A,"="&amp;вариация!G$2)</f>
        <v>5</v>
      </c>
      <c r="H246" t="str">
        <f t="shared" si="7"/>
        <v>No</v>
      </c>
    </row>
    <row r="247" spans="1:8" x14ac:dyDescent="0.25">
      <c r="A247" s="7" t="s">
        <v>312</v>
      </c>
      <c r="B247" s="25">
        <f t="shared" si="6"/>
        <v>0.91287092917527679</v>
      </c>
      <c r="C247">
        <f>SUMIFS('data (1)'!$M:$M,'data (1)'!$J:$J,"="&amp;$A247,'data (1)'!$A:$A,"="&amp;вариация!C$2)</f>
        <v>1</v>
      </c>
      <c r="D247">
        <f>SUMIFS('data (1)'!$M:$M,'data (1)'!$J:$J,"="&amp;$A247,'data (1)'!$A:$A,"="&amp;вариация!D$2)</f>
        <v>0</v>
      </c>
      <c r="E247">
        <f>SUMIFS('data (1)'!$M:$M,'data (1)'!$J:$J,"="&amp;$A247,'data (1)'!$A:$A,"="&amp;вариация!E$2)</f>
        <v>0</v>
      </c>
      <c r="F247">
        <f>SUMIFS('data (1)'!$M:$M,'data (1)'!$J:$J,"="&amp;$A247,'data (1)'!$A:$A,"="&amp;вариация!F$2)</f>
        <v>1</v>
      </c>
      <c r="G247">
        <f>SUMIFS('data (1)'!$M:$M,'data (1)'!$J:$J,"="&amp;$A247,'data (1)'!$A:$A,"="&amp;вариация!G$2)</f>
        <v>1</v>
      </c>
      <c r="H247" t="str">
        <f t="shared" si="7"/>
        <v>Yes</v>
      </c>
    </row>
    <row r="248" spans="1:8" x14ac:dyDescent="0.25">
      <c r="A248" s="7" t="s">
        <v>1028</v>
      </c>
      <c r="B248" s="25">
        <f t="shared" si="6"/>
        <v>2.2360679774997894</v>
      </c>
      <c r="C248">
        <f>SUMIFS('data (1)'!$M:$M,'data (1)'!$J:$J,"="&amp;$A248,'data (1)'!$A:$A,"="&amp;вариация!C$2)</f>
        <v>0</v>
      </c>
      <c r="D248">
        <f>SUMIFS('data (1)'!$M:$M,'data (1)'!$J:$J,"="&amp;$A248,'data (1)'!$A:$A,"="&amp;вариация!D$2)</f>
        <v>0</v>
      </c>
      <c r="E248">
        <f>SUMIFS('data (1)'!$M:$M,'data (1)'!$J:$J,"="&amp;$A248,'data (1)'!$A:$A,"="&amp;вариация!E$2)</f>
        <v>0</v>
      </c>
      <c r="F248">
        <f>SUMIFS('data (1)'!$M:$M,'data (1)'!$J:$J,"="&amp;$A248,'data (1)'!$A:$A,"="&amp;вариация!F$2)</f>
        <v>1</v>
      </c>
      <c r="G248">
        <f>SUMIFS('data (1)'!$M:$M,'data (1)'!$J:$J,"="&amp;$A248,'data (1)'!$A:$A,"="&amp;вариация!G$2)</f>
        <v>0</v>
      </c>
      <c r="H248" t="str">
        <f t="shared" si="7"/>
        <v>No</v>
      </c>
    </row>
    <row r="249" spans="1:8" x14ac:dyDescent="0.25">
      <c r="A249" s="7" t="s">
        <v>684</v>
      </c>
      <c r="B249" s="25">
        <f t="shared" si="6"/>
        <v>1.3693063937629151</v>
      </c>
      <c r="C249">
        <f>SUMIFS('data (1)'!$M:$M,'data (1)'!$J:$J,"="&amp;$A249,'data (1)'!$A:$A,"="&amp;вариация!C$2)</f>
        <v>0</v>
      </c>
      <c r="D249">
        <f>SUMIFS('data (1)'!$M:$M,'data (1)'!$J:$J,"="&amp;$A249,'data (1)'!$A:$A,"="&amp;вариация!D$2)</f>
        <v>1</v>
      </c>
      <c r="E249">
        <f>SUMIFS('data (1)'!$M:$M,'data (1)'!$J:$J,"="&amp;$A249,'data (1)'!$A:$A,"="&amp;вариация!E$2)</f>
        <v>0</v>
      </c>
      <c r="F249">
        <f>SUMIFS('data (1)'!$M:$M,'data (1)'!$J:$J,"="&amp;$A249,'data (1)'!$A:$A,"="&amp;вариация!F$2)</f>
        <v>0</v>
      </c>
      <c r="G249">
        <f>SUMIFS('data (1)'!$M:$M,'data (1)'!$J:$J,"="&amp;$A249,'data (1)'!$A:$A,"="&amp;вариация!G$2)</f>
        <v>1</v>
      </c>
      <c r="H249" t="str">
        <f t="shared" si="7"/>
        <v>No</v>
      </c>
    </row>
    <row r="250" spans="1:8" x14ac:dyDescent="0.25">
      <c r="A250" s="7" t="s">
        <v>553</v>
      </c>
      <c r="B250" s="25">
        <f t="shared" si="6"/>
        <v>0.91287092917527679</v>
      </c>
      <c r="C250">
        <f>SUMIFS('data (1)'!$M:$M,'data (1)'!$J:$J,"="&amp;$A250,'data (1)'!$A:$A,"="&amp;вариация!C$2)</f>
        <v>0</v>
      </c>
      <c r="D250">
        <f>SUMIFS('data (1)'!$M:$M,'data (1)'!$J:$J,"="&amp;$A250,'data (1)'!$A:$A,"="&amp;вариация!D$2)</f>
        <v>1</v>
      </c>
      <c r="E250">
        <f>SUMIFS('data (1)'!$M:$M,'data (1)'!$J:$J,"="&amp;$A250,'data (1)'!$A:$A,"="&amp;вариация!E$2)</f>
        <v>1</v>
      </c>
      <c r="F250">
        <f>SUMIFS('data (1)'!$M:$M,'data (1)'!$J:$J,"="&amp;$A250,'data (1)'!$A:$A,"="&amp;вариация!F$2)</f>
        <v>0</v>
      </c>
      <c r="G250">
        <f>SUMIFS('data (1)'!$M:$M,'data (1)'!$J:$J,"="&amp;$A250,'data (1)'!$A:$A,"="&amp;вариация!G$2)</f>
        <v>1</v>
      </c>
      <c r="H250" t="str">
        <f t="shared" si="7"/>
        <v>Yes</v>
      </c>
    </row>
    <row r="251" spans="1:8" x14ac:dyDescent="0.25">
      <c r="A251" s="7" t="s">
        <v>655</v>
      </c>
      <c r="B251" s="25">
        <f t="shared" si="6"/>
        <v>2.2360679774997894</v>
      </c>
      <c r="C251">
        <f>SUMIFS('data (1)'!$M:$M,'data (1)'!$J:$J,"="&amp;$A251,'data (1)'!$A:$A,"="&amp;вариация!C$2)</f>
        <v>0</v>
      </c>
      <c r="D251">
        <f>SUMIFS('data (1)'!$M:$M,'data (1)'!$J:$J,"="&amp;$A251,'data (1)'!$A:$A,"="&amp;вариация!D$2)</f>
        <v>1</v>
      </c>
      <c r="E251">
        <f>SUMIFS('data (1)'!$M:$M,'data (1)'!$J:$J,"="&amp;$A251,'data (1)'!$A:$A,"="&amp;вариация!E$2)</f>
        <v>0</v>
      </c>
      <c r="F251">
        <f>SUMIFS('data (1)'!$M:$M,'data (1)'!$J:$J,"="&amp;$A251,'data (1)'!$A:$A,"="&amp;вариация!F$2)</f>
        <v>0</v>
      </c>
      <c r="G251">
        <f>SUMIFS('data (1)'!$M:$M,'data (1)'!$J:$J,"="&amp;$A251,'data (1)'!$A:$A,"="&amp;вариация!G$2)</f>
        <v>0</v>
      </c>
      <c r="H251" t="str">
        <f t="shared" si="7"/>
        <v>No</v>
      </c>
    </row>
    <row r="252" spans="1:8" x14ac:dyDescent="0.25">
      <c r="A252" s="7" t="s">
        <v>596</v>
      </c>
      <c r="B252" s="25">
        <f t="shared" si="6"/>
        <v>2.2360679774997894</v>
      </c>
      <c r="C252">
        <f>SUMIFS('data (1)'!$M:$M,'data (1)'!$J:$J,"="&amp;$A252,'data (1)'!$A:$A,"="&amp;вариация!C$2)</f>
        <v>0</v>
      </c>
      <c r="D252">
        <f>SUMIFS('data (1)'!$M:$M,'data (1)'!$J:$J,"="&amp;$A252,'data (1)'!$A:$A,"="&amp;вариация!D$2)</f>
        <v>1</v>
      </c>
      <c r="E252">
        <f>SUMIFS('data (1)'!$M:$M,'data (1)'!$J:$J,"="&amp;$A252,'data (1)'!$A:$A,"="&amp;вариация!E$2)</f>
        <v>0</v>
      </c>
      <c r="F252">
        <f>SUMIFS('data (1)'!$M:$M,'data (1)'!$J:$J,"="&amp;$A252,'data (1)'!$A:$A,"="&amp;вариация!F$2)</f>
        <v>0</v>
      </c>
      <c r="G252">
        <f>SUMIFS('data (1)'!$M:$M,'data (1)'!$J:$J,"="&amp;$A252,'data (1)'!$A:$A,"="&amp;вариация!G$2)</f>
        <v>0</v>
      </c>
      <c r="H252" t="str">
        <f t="shared" si="7"/>
        <v>No</v>
      </c>
    </row>
    <row r="253" spans="1:8" x14ac:dyDescent="0.25">
      <c r="A253" s="7" t="s">
        <v>1055</v>
      </c>
      <c r="B253" s="25">
        <f t="shared" si="6"/>
        <v>2.2360679774997894</v>
      </c>
      <c r="C253">
        <f>SUMIFS('data (1)'!$M:$M,'data (1)'!$J:$J,"="&amp;$A253,'data (1)'!$A:$A,"="&amp;вариация!C$2)</f>
        <v>0</v>
      </c>
      <c r="D253">
        <f>SUMIFS('data (1)'!$M:$M,'data (1)'!$J:$J,"="&amp;$A253,'data (1)'!$A:$A,"="&amp;вариация!D$2)</f>
        <v>0</v>
      </c>
      <c r="E253">
        <f>SUMIFS('data (1)'!$M:$M,'data (1)'!$J:$J,"="&amp;$A253,'data (1)'!$A:$A,"="&amp;вариация!E$2)</f>
        <v>0</v>
      </c>
      <c r="F253">
        <f>SUMIFS('data (1)'!$M:$M,'data (1)'!$J:$J,"="&amp;$A253,'data (1)'!$A:$A,"="&amp;вариация!F$2)</f>
        <v>1</v>
      </c>
      <c r="G253">
        <f>SUMIFS('data (1)'!$M:$M,'data (1)'!$J:$J,"="&amp;$A253,'data (1)'!$A:$A,"="&amp;вариация!G$2)</f>
        <v>0</v>
      </c>
      <c r="H253" t="str">
        <f t="shared" si="7"/>
        <v>No</v>
      </c>
    </row>
    <row r="254" spans="1:8" x14ac:dyDescent="0.25">
      <c r="A254" s="7" t="s">
        <v>953</v>
      </c>
      <c r="B254" s="25">
        <f t="shared" si="6"/>
        <v>2.2360679774997894</v>
      </c>
      <c r="C254">
        <f>SUMIFS('data (1)'!$M:$M,'data (1)'!$J:$J,"="&amp;$A254,'data (1)'!$A:$A,"="&amp;вариация!C$2)</f>
        <v>0</v>
      </c>
      <c r="D254">
        <f>SUMIFS('data (1)'!$M:$M,'data (1)'!$J:$J,"="&amp;$A254,'data (1)'!$A:$A,"="&amp;вариация!D$2)</f>
        <v>0</v>
      </c>
      <c r="E254">
        <f>SUMIFS('data (1)'!$M:$M,'data (1)'!$J:$J,"="&amp;$A254,'data (1)'!$A:$A,"="&amp;вариация!E$2)</f>
        <v>0</v>
      </c>
      <c r="F254">
        <f>SUMIFS('data (1)'!$M:$M,'data (1)'!$J:$J,"="&amp;$A254,'data (1)'!$A:$A,"="&amp;вариация!F$2)</f>
        <v>1</v>
      </c>
      <c r="G254">
        <f>SUMIFS('data (1)'!$M:$M,'data (1)'!$J:$J,"="&amp;$A254,'data (1)'!$A:$A,"="&amp;вариация!G$2)</f>
        <v>0</v>
      </c>
      <c r="H254" t="str">
        <f t="shared" si="7"/>
        <v>No</v>
      </c>
    </row>
    <row r="255" spans="1:8" x14ac:dyDescent="0.25">
      <c r="A255" s="7" t="s">
        <v>130</v>
      </c>
      <c r="B255" s="25">
        <f t="shared" si="6"/>
        <v>1.3693063937629151</v>
      </c>
      <c r="C255">
        <f>SUMIFS('data (1)'!$M:$M,'data (1)'!$J:$J,"="&amp;$A255,'data (1)'!$A:$A,"="&amp;вариация!C$2)</f>
        <v>1</v>
      </c>
      <c r="D255">
        <f>SUMIFS('data (1)'!$M:$M,'data (1)'!$J:$J,"="&amp;$A255,'data (1)'!$A:$A,"="&amp;вариация!D$2)</f>
        <v>0</v>
      </c>
      <c r="E255">
        <f>SUMIFS('data (1)'!$M:$M,'data (1)'!$J:$J,"="&amp;$A255,'data (1)'!$A:$A,"="&amp;вариация!E$2)</f>
        <v>0</v>
      </c>
      <c r="F255">
        <f>SUMIFS('data (1)'!$M:$M,'data (1)'!$J:$J,"="&amp;$A255,'data (1)'!$A:$A,"="&amp;вариация!F$2)</f>
        <v>0</v>
      </c>
      <c r="G255">
        <f>SUMIFS('data (1)'!$M:$M,'data (1)'!$J:$J,"="&amp;$A255,'data (1)'!$A:$A,"="&amp;вариация!G$2)</f>
        <v>1</v>
      </c>
      <c r="H255" t="str">
        <f t="shared" si="7"/>
        <v>No</v>
      </c>
    </row>
    <row r="256" spans="1:8" x14ac:dyDescent="0.25">
      <c r="A256" s="7" t="s">
        <v>258</v>
      </c>
      <c r="B256" s="25">
        <f t="shared" si="6"/>
        <v>2.2360679774997894</v>
      </c>
      <c r="C256">
        <f>SUMIFS('data (1)'!$M:$M,'data (1)'!$J:$J,"="&amp;$A256,'data (1)'!$A:$A,"="&amp;вариация!C$2)</f>
        <v>1</v>
      </c>
      <c r="D256">
        <f>SUMIFS('data (1)'!$M:$M,'data (1)'!$J:$J,"="&amp;$A256,'data (1)'!$A:$A,"="&amp;вариация!D$2)</f>
        <v>0</v>
      </c>
      <c r="E256">
        <f>SUMIFS('data (1)'!$M:$M,'data (1)'!$J:$J,"="&amp;$A256,'data (1)'!$A:$A,"="&amp;вариация!E$2)</f>
        <v>0</v>
      </c>
      <c r="F256">
        <f>SUMIFS('data (1)'!$M:$M,'data (1)'!$J:$J,"="&amp;$A256,'data (1)'!$A:$A,"="&amp;вариация!F$2)</f>
        <v>0</v>
      </c>
      <c r="G256">
        <f>SUMIFS('data (1)'!$M:$M,'data (1)'!$J:$J,"="&amp;$A256,'data (1)'!$A:$A,"="&amp;вариация!G$2)</f>
        <v>0</v>
      </c>
      <c r="H256" t="str">
        <f t="shared" si="7"/>
        <v>No</v>
      </c>
    </row>
    <row r="257" spans="1:8" x14ac:dyDescent="0.25">
      <c r="A257" s="7" t="s">
        <v>1042</v>
      </c>
      <c r="B257" s="25">
        <f t="shared" si="6"/>
        <v>2.2360679774997894</v>
      </c>
      <c r="C257">
        <f>SUMIFS('data (1)'!$M:$M,'data (1)'!$J:$J,"="&amp;$A257,'data (1)'!$A:$A,"="&amp;вариация!C$2)</f>
        <v>0</v>
      </c>
      <c r="D257">
        <f>SUMIFS('data (1)'!$M:$M,'data (1)'!$J:$J,"="&amp;$A257,'data (1)'!$A:$A,"="&amp;вариация!D$2)</f>
        <v>0</v>
      </c>
      <c r="E257">
        <f>SUMIFS('data (1)'!$M:$M,'data (1)'!$J:$J,"="&amp;$A257,'data (1)'!$A:$A,"="&amp;вариация!E$2)</f>
        <v>0</v>
      </c>
      <c r="F257">
        <f>SUMIFS('data (1)'!$M:$M,'data (1)'!$J:$J,"="&amp;$A257,'data (1)'!$A:$A,"="&amp;вариация!F$2)</f>
        <v>1</v>
      </c>
      <c r="G257">
        <f>SUMIFS('data (1)'!$M:$M,'data (1)'!$J:$J,"="&amp;$A257,'data (1)'!$A:$A,"="&amp;вариация!G$2)</f>
        <v>0</v>
      </c>
      <c r="H257" t="str">
        <f t="shared" si="7"/>
        <v>No</v>
      </c>
    </row>
    <row r="258" spans="1:8" x14ac:dyDescent="0.25">
      <c r="A258" s="7" t="s">
        <v>710</v>
      </c>
      <c r="B258" s="25">
        <f t="shared" si="6"/>
        <v>2.2360679774997894</v>
      </c>
      <c r="C258">
        <f>SUMIFS('data (1)'!$M:$M,'data (1)'!$J:$J,"="&amp;$A258,'data (1)'!$A:$A,"="&amp;вариация!C$2)</f>
        <v>0</v>
      </c>
      <c r="D258">
        <f>SUMIFS('data (1)'!$M:$M,'data (1)'!$J:$J,"="&amp;$A258,'data (1)'!$A:$A,"="&amp;вариация!D$2)</f>
        <v>0</v>
      </c>
      <c r="E258">
        <f>SUMIFS('data (1)'!$M:$M,'data (1)'!$J:$J,"="&amp;$A258,'data (1)'!$A:$A,"="&amp;вариация!E$2)</f>
        <v>1</v>
      </c>
      <c r="F258">
        <f>SUMIFS('data (1)'!$M:$M,'data (1)'!$J:$J,"="&amp;$A258,'data (1)'!$A:$A,"="&amp;вариация!F$2)</f>
        <v>0</v>
      </c>
      <c r="G258">
        <f>SUMIFS('data (1)'!$M:$M,'data (1)'!$J:$J,"="&amp;$A258,'data (1)'!$A:$A,"="&amp;вариация!G$2)</f>
        <v>0</v>
      </c>
      <c r="H258" t="str">
        <f t="shared" si="7"/>
        <v>No</v>
      </c>
    </row>
    <row r="259" spans="1:8" x14ac:dyDescent="0.25">
      <c r="A259" s="7" t="s">
        <v>551</v>
      </c>
      <c r="B259" s="25">
        <f t="shared" si="6"/>
        <v>2.2360679774997898</v>
      </c>
      <c r="C259">
        <f>SUMIFS('data (1)'!$M:$M,'data (1)'!$J:$J,"="&amp;$A259,'data (1)'!$A:$A,"="&amp;вариация!C$2)</f>
        <v>0</v>
      </c>
      <c r="D259">
        <f>SUMIFS('data (1)'!$M:$M,'data (1)'!$J:$J,"="&amp;$A259,'data (1)'!$A:$A,"="&amp;вариация!D$2)</f>
        <v>3</v>
      </c>
      <c r="E259">
        <f>SUMIFS('data (1)'!$M:$M,'data (1)'!$J:$J,"="&amp;$A259,'data (1)'!$A:$A,"="&amp;вариация!E$2)</f>
        <v>0</v>
      </c>
      <c r="F259">
        <f>SUMIFS('data (1)'!$M:$M,'data (1)'!$J:$J,"="&amp;$A259,'data (1)'!$A:$A,"="&amp;вариация!F$2)</f>
        <v>0</v>
      </c>
      <c r="G259">
        <f>SUMIFS('data (1)'!$M:$M,'data (1)'!$J:$J,"="&amp;$A259,'data (1)'!$A:$A,"="&amp;вариация!G$2)</f>
        <v>0</v>
      </c>
      <c r="H259" t="str">
        <f t="shared" si="7"/>
        <v>No</v>
      </c>
    </row>
    <row r="260" spans="1:8" x14ac:dyDescent="0.25">
      <c r="A260" s="7" t="s">
        <v>1177</v>
      </c>
      <c r="B260" s="25">
        <f t="shared" ref="B260:B323" si="8">_xlfn.STDEV.S(C260:G260)/AVERAGE(C260:G260)</f>
        <v>2.2360679774997894</v>
      </c>
      <c r="C260">
        <f>SUMIFS('data (1)'!$M:$M,'data (1)'!$J:$J,"="&amp;$A260,'data (1)'!$A:$A,"="&amp;вариация!C$2)</f>
        <v>0</v>
      </c>
      <c r="D260">
        <f>SUMIFS('data (1)'!$M:$M,'data (1)'!$J:$J,"="&amp;$A260,'data (1)'!$A:$A,"="&amp;вариация!D$2)</f>
        <v>0</v>
      </c>
      <c r="E260">
        <f>SUMIFS('data (1)'!$M:$M,'data (1)'!$J:$J,"="&amp;$A260,'data (1)'!$A:$A,"="&amp;вариация!E$2)</f>
        <v>0</v>
      </c>
      <c r="F260">
        <f>SUMIFS('data (1)'!$M:$M,'data (1)'!$J:$J,"="&amp;$A260,'data (1)'!$A:$A,"="&amp;вариация!F$2)</f>
        <v>0</v>
      </c>
      <c r="G260">
        <f>SUMIFS('data (1)'!$M:$M,'data (1)'!$J:$J,"="&amp;$A260,'data (1)'!$A:$A,"="&amp;вариация!G$2)</f>
        <v>1</v>
      </c>
      <c r="H260" t="str">
        <f t="shared" ref="H260:H323" si="9">IF(COUNTIF(C260:G260,"&gt;0") &gt;=3, "Yes", "No")</f>
        <v>No</v>
      </c>
    </row>
    <row r="261" spans="1:8" x14ac:dyDescent="0.25">
      <c r="A261" s="7" t="s">
        <v>57</v>
      </c>
      <c r="B261" s="25">
        <f t="shared" si="8"/>
        <v>2.2360679774997894</v>
      </c>
      <c r="C261">
        <f>SUMIFS('data (1)'!$M:$M,'data (1)'!$J:$J,"="&amp;$A261,'data (1)'!$A:$A,"="&amp;вариация!C$2)</f>
        <v>1</v>
      </c>
      <c r="D261">
        <f>SUMIFS('data (1)'!$M:$M,'data (1)'!$J:$J,"="&amp;$A261,'data (1)'!$A:$A,"="&amp;вариация!D$2)</f>
        <v>0</v>
      </c>
      <c r="E261">
        <f>SUMIFS('data (1)'!$M:$M,'data (1)'!$J:$J,"="&amp;$A261,'data (1)'!$A:$A,"="&amp;вариация!E$2)</f>
        <v>0</v>
      </c>
      <c r="F261">
        <f>SUMIFS('data (1)'!$M:$M,'data (1)'!$J:$J,"="&amp;$A261,'data (1)'!$A:$A,"="&amp;вариация!F$2)</f>
        <v>0</v>
      </c>
      <c r="G261">
        <f>SUMIFS('data (1)'!$M:$M,'data (1)'!$J:$J,"="&amp;$A261,'data (1)'!$A:$A,"="&amp;вариация!G$2)</f>
        <v>0</v>
      </c>
      <c r="H261" t="str">
        <f t="shared" si="9"/>
        <v>No</v>
      </c>
    </row>
    <row r="262" spans="1:8" x14ac:dyDescent="0.25">
      <c r="A262" s="7" t="s">
        <v>969</v>
      </c>
      <c r="B262" s="25">
        <f t="shared" si="8"/>
        <v>2.2360679774997894</v>
      </c>
      <c r="C262">
        <f>SUMIFS('data (1)'!$M:$M,'data (1)'!$J:$J,"="&amp;$A262,'data (1)'!$A:$A,"="&amp;вариация!C$2)</f>
        <v>0</v>
      </c>
      <c r="D262">
        <f>SUMIFS('data (1)'!$M:$M,'data (1)'!$J:$J,"="&amp;$A262,'data (1)'!$A:$A,"="&amp;вариация!D$2)</f>
        <v>0</v>
      </c>
      <c r="E262">
        <f>SUMIFS('data (1)'!$M:$M,'data (1)'!$J:$J,"="&amp;$A262,'data (1)'!$A:$A,"="&amp;вариация!E$2)</f>
        <v>0</v>
      </c>
      <c r="F262">
        <f>SUMIFS('data (1)'!$M:$M,'data (1)'!$J:$J,"="&amp;$A262,'data (1)'!$A:$A,"="&amp;вариация!F$2)</f>
        <v>1</v>
      </c>
      <c r="G262">
        <f>SUMIFS('data (1)'!$M:$M,'data (1)'!$J:$J,"="&amp;$A262,'data (1)'!$A:$A,"="&amp;вариация!G$2)</f>
        <v>0</v>
      </c>
      <c r="H262" t="str">
        <f t="shared" si="9"/>
        <v>No</v>
      </c>
    </row>
    <row r="263" spans="1:8" x14ac:dyDescent="0.25">
      <c r="A263" s="7" t="s">
        <v>401</v>
      </c>
      <c r="B263" s="25">
        <f t="shared" si="8"/>
        <v>2.2360679774997894</v>
      </c>
      <c r="C263">
        <f>SUMIFS('data (1)'!$M:$M,'data (1)'!$J:$J,"="&amp;$A263,'data (1)'!$A:$A,"="&amp;вариация!C$2)</f>
        <v>1</v>
      </c>
      <c r="D263">
        <f>SUMIFS('data (1)'!$M:$M,'data (1)'!$J:$J,"="&amp;$A263,'data (1)'!$A:$A,"="&amp;вариация!D$2)</f>
        <v>0</v>
      </c>
      <c r="E263">
        <f>SUMIFS('data (1)'!$M:$M,'data (1)'!$J:$J,"="&amp;$A263,'data (1)'!$A:$A,"="&amp;вариация!E$2)</f>
        <v>0</v>
      </c>
      <c r="F263">
        <f>SUMIFS('data (1)'!$M:$M,'data (1)'!$J:$J,"="&amp;$A263,'data (1)'!$A:$A,"="&amp;вариация!F$2)</f>
        <v>0</v>
      </c>
      <c r="G263">
        <f>SUMIFS('data (1)'!$M:$M,'data (1)'!$J:$J,"="&amp;$A263,'data (1)'!$A:$A,"="&amp;вариация!G$2)</f>
        <v>0</v>
      </c>
      <c r="H263" t="str">
        <f t="shared" si="9"/>
        <v>No</v>
      </c>
    </row>
    <row r="264" spans="1:8" x14ac:dyDescent="0.25">
      <c r="A264" s="7" t="s">
        <v>404</v>
      </c>
      <c r="B264" s="25">
        <f t="shared" si="8"/>
        <v>2.2360679774997894</v>
      </c>
      <c r="C264">
        <f>SUMIFS('data (1)'!$M:$M,'data (1)'!$J:$J,"="&amp;$A264,'data (1)'!$A:$A,"="&amp;вариация!C$2)</f>
        <v>1</v>
      </c>
      <c r="D264">
        <f>SUMIFS('data (1)'!$M:$M,'data (1)'!$J:$J,"="&amp;$A264,'data (1)'!$A:$A,"="&amp;вариация!D$2)</f>
        <v>0</v>
      </c>
      <c r="E264">
        <f>SUMIFS('data (1)'!$M:$M,'data (1)'!$J:$J,"="&amp;$A264,'data (1)'!$A:$A,"="&amp;вариация!E$2)</f>
        <v>0</v>
      </c>
      <c r="F264">
        <f>SUMIFS('data (1)'!$M:$M,'data (1)'!$J:$J,"="&amp;$A264,'data (1)'!$A:$A,"="&amp;вариация!F$2)</f>
        <v>0</v>
      </c>
      <c r="G264">
        <f>SUMIFS('data (1)'!$M:$M,'data (1)'!$J:$J,"="&amp;$A264,'data (1)'!$A:$A,"="&amp;вариация!G$2)</f>
        <v>0</v>
      </c>
      <c r="H264" t="str">
        <f t="shared" si="9"/>
        <v>No</v>
      </c>
    </row>
    <row r="265" spans="1:8" x14ac:dyDescent="0.25">
      <c r="A265" s="7" t="s">
        <v>1015</v>
      </c>
      <c r="B265" s="25">
        <f t="shared" si="8"/>
        <v>2.2360679774997894</v>
      </c>
      <c r="C265">
        <f>SUMIFS('data (1)'!$M:$M,'data (1)'!$J:$J,"="&amp;$A265,'data (1)'!$A:$A,"="&amp;вариация!C$2)</f>
        <v>0</v>
      </c>
      <c r="D265">
        <f>SUMIFS('data (1)'!$M:$M,'data (1)'!$J:$J,"="&amp;$A265,'data (1)'!$A:$A,"="&amp;вариация!D$2)</f>
        <v>0</v>
      </c>
      <c r="E265">
        <f>SUMIFS('data (1)'!$M:$M,'data (1)'!$J:$J,"="&amp;$A265,'data (1)'!$A:$A,"="&amp;вариация!E$2)</f>
        <v>0</v>
      </c>
      <c r="F265">
        <f>SUMIFS('data (1)'!$M:$M,'data (1)'!$J:$J,"="&amp;$A265,'data (1)'!$A:$A,"="&amp;вариация!F$2)</f>
        <v>2</v>
      </c>
      <c r="G265">
        <f>SUMIFS('data (1)'!$M:$M,'data (1)'!$J:$J,"="&amp;$A265,'data (1)'!$A:$A,"="&amp;вариация!G$2)</f>
        <v>0</v>
      </c>
      <c r="H265" t="str">
        <f t="shared" si="9"/>
        <v>No</v>
      </c>
    </row>
    <row r="266" spans="1:8" x14ac:dyDescent="0.25">
      <c r="A266" s="7" t="s">
        <v>1133</v>
      </c>
      <c r="B266" s="25">
        <f t="shared" si="8"/>
        <v>2.2360679774997894</v>
      </c>
      <c r="C266">
        <f>SUMIFS('data (1)'!$M:$M,'data (1)'!$J:$J,"="&amp;$A266,'data (1)'!$A:$A,"="&amp;вариация!C$2)</f>
        <v>0</v>
      </c>
      <c r="D266">
        <f>SUMIFS('data (1)'!$M:$M,'data (1)'!$J:$J,"="&amp;$A266,'data (1)'!$A:$A,"="&amp;вариация!D$2)</f>
        <v>0</v>
      </c>
      <c r="E266">
        <f>SUMIFS('data (1)'!$M:$M,'data (1)'!$J:$J,"="&amp;$A266,'data (1)'!$A:$A,"="&amp;вариация!E$2)</f>
        <v>0</v>
      </c>
      <c r="F266">
        <f>SUMIFS('data (1)'!$M:$M,'data (1)'!$J:$J,"="&amp;$A266,'data (1)'!$A:$A,"="&amp;вариация!F$2)</f>
        <v>0</v>
      </c>
      <c r="G266">
        <f>SUMIFS('data (1)'!$M:$M,'data (1)'!$J:$J,"="&amp;$A266,'data (1)'!$A:$A,"="&amp;вариация!G$2)</f>
        <v>1</v>
      </c>
      <c r="H266" t="str">
        <f t="shared" si="9"/>
        <v>No</v>
      </c>
    </row>
    <row r="267" spans="1:8" x14ac:dyDescent="0.25">
      <c r="A267" s="7" t="s">
        <v>1058</v>
      </c>
      <c r="B267" s="25">
        <f t="shared" si="8"/>
        <v>2.2360679774997894</v>
      </c>
      <c r="C267">
        <f>SUMIFS('data (1)'!$M:$M,'data (1)'!$J:$J,"="&amp;$A267,'data (1)'!$A:$A,"="&amp;вариация!C$2)</f>
        <v>0</v>
      </c>
      <c r="D267">
        <f>SUMIFS('data (1)'!$M:$M,'data (1)'!$J:$J,"="&amp;$A267,'data (1)'!$A:$A,"="&amp;вариация!D$2)</f>
        <v>0</v>
      </c>
      <c r="E267">
        <f>SUMIFS('data (1)'!$M:$M,'data (1)'!$J:$J,"="&amp;$A267,'data (1)'!$A:$A,"="&amp;вариация!E$2)</f>
        <v>0</v>
      </c>
      <c r="F267">
        <f>SUMIFS('data (1)'!$M:$M,'data (1)'!$J:$J,"="&amp;$A267,'data (1)'!$A:$A,"="&amp;вариация!F$2)</f>
        <v>1</v>
      </c>
      <c r="G267">
        <f>SUMIFS('data (1)'!$M:$M,'data (1)'!$J:$J,"="&amp;$A267,'data (1)'!$A:$A,"="&amp;вариация!G$2)</f>
        <v>0</v>
      </c>
      <c r="H267" t="str">
        <f t="shared" si="9"/>
        <v>No</v>
      </c>
    </row>
    <row r="268" spans="1:8" x14ac:dyDescent="0.25">
      <c r="A268" s="7" t="s">
        <v>658</v>
      </c>
      <c r="B268" s="25">
        <f t="shared" si="8"/>
        <v>2.2360679774997894</v>
      </c>
      <c r="C268">
        <f>SUMIFS('data (1)'!$M:$M,'data (1)'!$J:$J,"="&amp;$A268,'data (1)'!$A:$A,"="&amp;вариация!C$2)</f>
        <v>0</v>
      </c>
      <c r="D268">
        <f>SUMIFS('data (1)'!$M:$M,'data (1)'!$J:$J,"="&amp;$A268,'data (1)'!$A:$A,"="&amp;вариация!D$2)</f>
        <v>1</v>
      </c>
      <c r="E268">
        <f>SUMIFS('data (1)'!$M:$M,'data (1)'!$J:$J,"="&amp;$A268,'data (1)'!$A:$A,"="&amp;вариация!E$2)</f>
        <v>0</v>
      </c>
      <c r="F268">
        <f>SUMIFS('data (1)'!$M:$M,'data (1)'!$J:$J,"="&amp;$A268,'data (1)'!$A:$A,"="&amp;вариация!F$2)</f>
        <v>0</v>
      </c>
      <c r="G268">
        <f>SUMIFS('data (1)'!$M:$M,'data (1)'!$J:$J,"="&amp;$A268,'data (1)'!$A:$A,"="&amp;вариация!G$2)</f>
        <v>0</v>
      </c>
      <c r="H268" t="str">
        <f t="shared" si="9"/>
        <v>No</v>
      </c>
    </row>
    <row r="269" spans="1:8" x14ac:dyDescent="0.25">
      <c r="A269" s="7" t="s">
        <v>613</v>
      </c>
      <c r="B269" s="25">
        <f t="shared" si="8"/>
        <v>2.2360679774997894</v>
      </c>
      <c r="C269">
        <f>SUMIFS('data (1)'!$M:$M,'data (1)'!$J:$J,"="&amp;$A269,'data (1)'!$A:$A,"="&amp;вариация!C$2)</f>
        <v>0</v>
      </c>
      <c r="D269">
        <f>SUMIFS('data (1)'!$M:$M,'data (1)'!$J:$J,"="&amp;$A269,'data (1)'!$A:$A,"="&amp;вариация!D$2)</f>
        <v>1</v>
      </c>
      <c r="E269">
        <f>SUMIFS('data (1)'!$M:$M,'data (1)'!$J:$J,"="&amp;$A269,'data (1)'!$A:$A,"="&amp;вариация!E$2)</f>
        <v>0</v>
      </c>
      <c r="F269">
        <f>SUMIFS('data (1)'!$M:$M,'data (1)'!$J:$J,"="&amp;$A269,'data (1)'!$A:$A,"="&amp;вариация!F$2)</f>
        <v>0</v>
      </c>
      <c r="G269">
        <f>SUMIFS('data (1)'!$M:$M,'data (1)'!$J:$J,"="&amp;$A269,'data (1)'!$A:$A,"="&amp;вариация!G$2)</f>
        <v>0</v>
      </c>
      <c r="H269" t="str">
        <f t="shared" si="9"/>
        <v>No</v>
      </c>
    </row>
    <row r="270" spans="1:8" x14ac:dyDescent="0.25">
      <c r="A270" s="7" t="s">
        <v>316</v>
      </c>
      <c r="B270" s="25">
        <f t="shared" si="8"/>
        <v>2.2360679774997894</v>
      </c>
      <c r="C270">
        <f>SUMIFS('data (1)'!$M:$M,'data (1)'!$J:$J,"="&amp;$A270,'data (1)'!$A:$A,"="&amp;вариация!C$2)</f>
        <v>1</v>
      </c>
      <c r="D270">
        <f>SUMIFS('data (1)'!$M:$M,'data (1)'!$J:$J,"="&amp;$A270,'data (1)'!$A:$A,"="&amp;вариация!D$2)</f>
        <v>0</v>
      </c>
      <c r="E270">
        <f>SUMIFS('data (1)'!$M:$M,'data (1)'!$J:$J,"="&amp;$A270,'data (1)'!$A:$A,"="&amp;вариация!E$2)</f>
        <v>0</v>
      </c>
      <c r="F270">
        <f>SUMIFS('data (1)'!$M:$M,'data (1)'!$J:$J,"="&amp;$A270,'data (1)'!$A:$A,"="&amp;вариация!F$2)</f>
        <v>0</v>
      </c>
      <c r="G270">
        <f>SUMIFS('data (1)'!$M:$M,'data (1)'!$J:$J,"="&amp;$A270,'data (1)'!$A:$A,"="&amp;вариация!G$2)</f>
        <v>0</v>
      </c>
      <c r="H270" t="str">
        <f t="shared" si="9"/>
        <v>No</v>
      </c>
    </row>
    <row r="271" spans="1:8" x14ac:dyDescent="0.25">
      <c r="A271" s="7" t="s">
        <v>241</v>
      </c>
      <c r="B271" s="25">
        <f t="shared" si="8"/>
        <v>0.55901699437494734</v>
      </c>
      <c r="C271">
        <f>SUMIFS('data (1)'!$M:$M,'data (1)'!$J:$J,"="&amp;$A271,'data (1)'!$A:$A,"="&amp;вариация!C$2)</f>
        <v>1</v>
      </c>
      <c r="D271">
        <f>SUMIFS('data (1)'!$M:$M,'data (1)'!$J:$J,"="&amp;$A271,'data (1)'!$A:$A,"="&amp;вариация!D$2)</f>
        <v>1</v>
      </c>
      <c r="E271">
        <f>SUMIFS('data (1)'!$M:$M,'data (1)'!$J:$J,"="&amp;$A271,'data (1)'!$A:$A,"="&amp;вариация!E$2)</f>
        <v>0</v>
      </c>
      <c r="F271">
        <f>SUMIFS('data (1)'!$M:$M,'data (1)'!$J:$J,"="&amp;$A271,'data (1)'!$A:$A,"="&amp;вариация!F$2)</f>
        <v>1</v>
      </c>
      <c r="G271">
        <f>SUMIFS('data (1)'!$M:$M,'data (1)'!$J:$J,"="&amp;$A271,'data (1)'!$A:$A,"="&amp;вариация!G$2)</f>
        <v>1</v>
      </c>
      <c r="H271" t="str">
        <f t="shared" si="9"/>
        <v>Yes</v>
      </c>
    </row>
    <row r="272" spans="1:8" x14ac:dyDescent="0.25">
      <c r="A272" s="7" t="s">
        <v>333</v>
      </c>
      <c r="B272" s="25">
        <f t="shared" si="8"/>
        <v>1.4907119849998598</v>
      </c>
      <c r="C272">
        <f>SUMIFS('data (1)'!$M:$M,'data (1)'!$J:$J,"="&amp;$A272,'data (1)'!$A:$A,"="&amp;вариация!C$2)</f>
        <v>2</v>
      </c>
      <c r="D272">
        <f>SUMIFS('data (1)'!$M:$M,'data (1)'!$J:$J,"="&amp;$A272,'data (1)'!$A:$A,"="&amp;вариация!D$2)</f>
        <v>0</v>
      </c>
      <c r="E272">
        <f>SUMIFS('data (1)'!$M:$M,'data (1)'!$J:$J,"="&amp;$A272,'data (1)'!$A:$A,"="&amp;вариация!E$2)</f>
        <v>1</v>
      </c>
      <c r="F272">
        <f>SUMIFS('data (1)'!$M:$M,'data (1)'!$J:$J,"="&amp;$A272,'data (1)'!$A:$A,"="&amp;вариация!F$2)</f>
        <v>0</v>
      </c>
      <c r="G272">
        <f>SUMIFS('data (1)'!$M:$M,'data (1)'!$J:$J,"="&amp;$A272,'data (1)'!$A:$A,"="&amp;вариация!G$2)</f>
        <v>0</v>
      </c>
      <c r="H272" t="str">
        <f t="shared" si="9"/>
        <v>No</v>
      </c>
    </row>
    <row r="273" spans="1:8" x14ac:dyDescent="0.25">
      <c r="A273" s="7" t="s">
        <v>463</v>
      </c>
      <c r="B273" s="25">
        <f t="shared" si="8"/>
        <v>2.2360679774997894</v>
      </c>
      <c r="C273">
        <f>SUMIFS('data (1)'!$M:$M,'data (1)'!$J:$J,"="&amp;$A273,'data (1)'!$A:$A,"="&amp;вариация!C$2)</f>
        <v>1</v>
      </c>
      <c r="D273">
        <f>SUMIFS('data (1)'!$M:$M,'data (1)'!$J:$J,"="&amp;$A273,'data (1)'!$A:$A,"="&amp;вариация!D$2)</f>
        <v>0</v>
      </c>
      <c r="E273">
        <f>SUMIFS('data (1)'!$M:$M,'data (1)'!$J:$J,"="&amp;$A273,'data (1)'!$A:$A,"="&amp;вариация!E$2)</f>
        <v>0</v>
      </c>
      <c r="F273">
        <f>SUMIFS('data (1)'!$M:$M,'data (1)'!$J:$J,"="&amp;$A273,'data (1)'!$A:$A,"="&amp;вариация!F$2)</f>
        <v>0</v>
      </c>
      <c r="G273">
        <f>SUMIFS('data (1)'!$M:$M,'data (1)'!$J:$J,"="&amp;$A273,'data (1)'!$A:$A,"="&amp;вариация!G$2)</f>
        <v>0</v>
      </c>
      <c r="H273" t="str">
        <f t="shared" si="9"/>
        <v>No</v>
      </c>
    </row>
    <row r="274" spans="1:8" x14ac:dyDescent="0.25">
      <c r="A274" s="7" t="s">
        <v>1137</v>
      </c>
      <c r="B274" s="25">
        <f t="shared" si="8"/>
        <v>2.2360679774997894</v>
      </c>
      <c r="C274">
        <f>SUMIFS('data (1)'!$M:$M,'data (1)'!$J:$J,"="&amp;$A274,'data (1)'!$A:$A,"="&amp;вариация!C$2)</f>
        <v>0</v>
      </c>
      <c r="D274">
        <f>SUMIFS('data (1)'!$M:$M,'data (1)'!$J:$J,"="&amp;$A274,'data (1)'!$A:$A,"="&amp;вариация!D$2)</f>
        <v>0</v>
      </c>
      <c r="E274">
        <f>SUMIFS('data (1)'!$M:$M,'data (1)'!$J:$J,"="&amp;$A274,'data (1)'!$A:$A,"="&amp;вариация!E$2)</f>
        <v>0</v>
      </c>
      <c r="F274">
        <f>SUMIFS('data (1)'!$M:$M,'data (1)'!$J:$J,"="&amp;$A274,'data (1)'!$A:$A,"="&amp;вариация!F$2)</f>
        <v>0</v>
      </c>
      <c r="G274">
        <f>SUMIFS('data (1)'!$M:$M,'data (1)'!$J:$J,"="&amp;$A274,'data (1)'!$A:$A,"="&amp;вариация!G$2)</f>
        <v>1</v>
      </c>
      <c r="H274" t="str">
        <f t="shared" si="9"/>
        <v>No</v>
      </c>
    </row>
    <row r="275" spans="1:8" x14ac:dyDescent="0.25">
      <c r="A275" s="7" t="s">
        <v>128</v>
      </c>
      <c r="B275" s="25">
        <f t="shared" si="8"/>
        <v>0.91287092917527679</v>
      </c>
      <c r="C275">
        <f>SUMIFS('data (1)'!$M:$M,'data (1)'!$J:$J,"="&amp;$A275,'data (1)'!$A:$A,"="&amp;вариация!C$2)</f>
        <v>1</v>
      </c>
      <c r="D275">
        <f>SUMIFS('data (1)'!$M:$M,'data (1)'!$J:$J,"="&amp;$A275,'data (1)'!$A:$A,"="&amp;вариация!D$2)</f>
        <v>0</v>
      </c>
      <c r="E275">
        <f>SUMIFS('data (1)'!$M:$M,'data (1)'!$J:$J,"="&amp;$A275,'data (1)'!$A:$A,"="&amp;вариация!E$2)</f>
        <v>1</v>
      </c>
      <c r="F275">
        <f>SUMIFS('data (1)'!$M:$M,'data (1)'!$J:$J,"="&amp;$A275,'data (1)'!$A:$A,"="&amp;вариация!F$2)</f>
        <v>1</v>
      </c>
      <c r="G275">
        <f>SUMIFS('data (1)'!$M:$M,'data (1)'!$J:$J,"="&amp;$A275,'data (1)'!$A:$A,"="&amp;вариация!G$2)</f>
        <v>0</v>
      </c>
      <c r="H275" t="str">
        <f t="shared" si="9"/>
        <v>Yes</v>
      </c>
    </row>
    <row r="276" spans="1:8" x14ac:dyDescent="0.25">
      <c r="A276" s="7" t="s">
        <v>581</v>
      </c>
      <c r="B276" s="25">
        <f t="shared" si="8"/>
        <v>2.2360679774997894</v>
      </c>
      <c r="C276">
        <f>SUMIFS('data (1)'!$M:$M,'data (1)'!$J:$J,"="&amp;$A276,'data (1)'!$A:$A,"="&amp;вариация!C$2)</f>
        <v>0</v>
      </c>
      <c r="D276">
        <f>SUMIFS('data (1)'!$M:$M,'data (1)'!$J:$J,"="&amp;$A276,'data (1)'!$A:$A,"="&amp;вариация!D$2)</f>
        <v>1</v>
      </c>
      <c r="E276">
        <f>SUMIFS('data (1)'!$M:$M,'data (1)'!$J:$J,"="&amp;$A276,'data (1)'!$A:$A,"="&amp;вариация!E$2)</f>
        <v>0</v>
      </c>
      <c r="F276">
        <f>SUMIFS('data (1)'!$M:$M,'data (1)'!$J:$J,"="&amp;$A276,'data (1)'!$A:$A,"="&amp;вариация!F$2)</f>
        <v>0</v>
      </c>
      <c r="G276">
        <f>SUMIFS('data (1)'!$M:$M,'data (1)'!$J:$J,"="&amp;$A276,'data (1)'!$A:$A,"="&amp;вариация!G$2)</f>
        <v>0</v>
      </c>
      <c r="H276" t="str">
        <f t="shared" si="9"/>
        <v>No</v>
      </c>
    </row>
    <row r="277" spans="1:8" x14ac:dyDescent="0.25">
      <c r="A277" s="7" t="s">
        <v>877</v>
      </c>
      <c r="B277" s="25">
        <f t="shared" si="8"/>
        <v>2.2360679774997894</v>
      </c>
      <c r="C277">
        <f>SUMIFS('data (1)'!$M:$M,'data (1)'!$J:$J,"="&amp;$A277,'data (1)'!$A:$A,"="&amp;вариация!C$2)</f>
        <v>0</v>
      </c>
      <c r="D277">
        <f>SUMIFS('data (1)'!$M:$M,'data (1)'!$J:$J,"="&amp;$A277,'data (1)'!$A:$A,"="&amp;вариация!D$2)</f>
        <v>0</v>
      </c>
      <c r="E277">
        <f>SUMIFS('data (1)'!$M:$M,'data (1)'!$J:$J,"="&amp;$A277,'data (1)'!$A:$A,"="&amp;вариация!E$2)</f>
        <v>1</v>
      </c>
      <c r="F277">
        <f>SUMIFS('data (1)'!$M:$M,'data (1)'!$J:$J,"="&amp;$A277,'data (1)'!$A:$A,"="&amp;вариация!F$2)</f>
        <v>0</v>
      </c>
      <c r="G277">
        <f>SUMIFS('data (1)'!$M:$M,'data (1)'!$J:$J,"="&amp;$A277,'data (1)'!$A:$A,"="&amp;вариация!G$2)</f>
        <v>0</v>
      </c>
      <c r="H277" t="str">
        <f t="shared" si="9"/>
        <v>No</v>
      </c>
    </row>
    <row r="278" spans="1:8" x14ac:dyDescent="0.25">
      <c r="A278" s="7" t="s">
        <v>390</v>
      </c>
      <c r="B278" s="25">
        <f t="shared" si="8"/>
        <v>2.2360679774997894</v>
      </c>
      <c r="C278">
        <f>SUMIFS('data (1)'!$M:$M,'data (1)'!$J:$J,"="&amp;$A278,'data (1)'!$A:$A,"="&amp;вариация!C$2)</f>
        <v>2</v>
      </c>
      <c r="D278">
        <f>SUMIFS('data (1)'!$M:$M,'data (1)'!$J:$J,"="&amp;$A278,'data (1)'!$A:$A,"="&amp;вариация!D$2)</f>
        <v>0</v>
      </c>
      <c r="E278">
        <f>SUMIFS('data (1)'!$M:$M,'data (1)'!$J:$J,"="&amp;$A278,'data (1)'!$A:$A,"="&amp;вариация!E$2)</f>
        <v>0</v>
      </c>
      <c r="F278">
        <f>SUMIFS('data (1)'!$M:$M,'data (1)'!$J:$J,"="&amp;$A278,'data (1)'!$A:$A,"="&amp;вариация!F$2)</f>
        <v>0</v>
      </c>
      <c r="G278">
        <f>SUMIFS('data (1)'!$M:$M,'data (1)'!$J:$J,"="&amp;$A278,'data (1)'!$A:$A,"="&amp;вариация!G$2)</f>
        <v>0</v>
      </c>
      <c r="H278" t="str">
        <f t="shared" si="9"/>
        <v>No</v>
      </c>
    </row>
    <row r="279" spans="1:8" x14ac:dyDescent="0.25">
      <c r="A279" s="7" t="s">
        <v>379</v>
      </c>
      <c r="B279" s="25">
        <f t="shared" si="8"/>
        <v>2.2360679774997894</v>
      </c>
      <c r="C279">
        <f>SUMIFS('data (1)'!$M:$M,'data (1)'!$J:$J,"="&amp;$A279,'data (1)'!$A:$A,"="&amp;вариация!C$2)</f>
        <v>2</v>
      </c>
      <c r="D279">
        <f>SUMIFS('data (1)'!$M:$M,'data (1)'!$J:$J,"="&amp;$A279,'data (1)'!$A:$A,"="&amp;вариация!D$2)</f>
        <v>0</v>
      </c>
      <c r="E279">
        <f>SUMIFS('data (1)'!$M:$M,'data (1)'!$J:$J,"="&amp;$A279,'data (1)'!$A:$A,"="&amp;вариация!E$2)</f>
        <v>0</v>
      </c>
      <c r="F279">
        <f>SUMIFS('data (1)'!$M:$M,'data (1)'!$J:$J,"="&amp;$A279,'data (1)'!$A:$A,"="&amp;вариация!F$2)</f>
        <v>0</v>
      </c>
      <c r="G279">
        <f>SUMIFS('data (1)'!$M:$M,'data (1)'!$J:$J,"="&amp;$A279,'data (1)'!$A:$A,"="&amp;вариация!G$2)</f>
        <v>0</v>
      </c>
      <c r="H279" t="str">
        <f t="shared" si="9"/>
        <v>No</v>
      </c>
    </row>
    <row r="280" spans="1:8" x14ac:dyDescent="0.25">
      <c r="A280" s="7" t="s">
        <v>780</v>
      </c>
      <c r="B280" s="25">
        <f t="shared" si="8"/>
        <v>2.2360679774997894</v>
      </c>
      <c r="C280">
        <f>SUMIFS('data (1)'!$M:$M,'data (1)'!$J:$J,"="&amp;$A280,'data (1)'!$A:$A,"="&amp;вариация!C$2)</f>
        <v>0</v>
      </c>
      <c r="D280">
        <f>SUMIFS('data (1)'!$M:$M,'data (1)'!$J:$J,"="&amp;$A280,'data (1)'!$A:$A,"="&amp;вариация!D$2)</f>
        <v>0</v>
      </c>
      <c r="E280">
        <f>SUMIFS('data (1)'!$M:$M,'data (1)'!$J:$J,"="&amp;$A280,'data (1)'!$A:$A,"="&amp;вариация!E$2)</f>
        <v>1</v>
      </c>
      <c r="F280">
        <f>SUMIFS('data (1)'!$M:$M,'data (1)'!$J:$J,"="&amp;$A280,'data (1)'!$A:$A,"="&amp;вариация!F$2)</f>
        <v>0</v>
      </c>
      <c r="G280">
        <f>SUMIFS('data (1)'!$M:$M,'data (1)'!$J:$J,"="&amp;$A280,'data (1)'!$A:$A,"="&amp;вариация!G$2)</f>
        <v>0</v>
      </c>
      <c r="H280" t="str">
        <f t="shared" si="9"/>
        <v>No</v>
      </c>
    </row>
    <row r="281" spans="1:8" x14ac:dyDescent="0.25">
      <c r="A281" s="7" t="s">
        <v>1084</v>
      </c>
      <c r="B281" s="25">
        <f t="shared" si="8"/>
        <v>2.2360679774997894</v>
      </c>
      <c r="C281">
        <f>SUMIFS('data (1)'!$M:$M,'data (1)'!$J:$J,"="&amp;$A281,'data (1)'!$A:$A,"="&amp;вариация!C$2)</f>
        <v>0</v>
      </c>
      <c r="D281">
        <f>SUMIFS('data (1)'!$M:$M,'data (1)'!$J:$J,"="&amp;$A281,'data (1)'!$A:$A,"="&amp;вариация!D$2)</f>
        <v>0</v>
      </c>
      <c r="E281">
        <f>SUMIFS('data (1)'!$M:$M,'data (1)'!$J:$J,"="&amp;$A281,'data (1)'!$A:$A,"="&amp;вариация!E$2)</f>
        <v>0</v>
      </c>
      <c r="F281">
        <f>SUMIFS('data (1)'!$M:$M,'data (1)'!$J:$J,"="&amp;$A281,'data (1)'!$A:$A,"="&amp;вариация!F$2)</f>
        <v>0</v>
      </c>
      <c r="G281">
        <f>SUMIFS('data (1)'!$M:$M,'data (1)'!$J:$J,"="&amp;$A281,'data (1)'!$A:$A,"="&amp;вариация!G$2)</f>
        <v>1</v>
      </c>
      <c r="H281" t="str">
        <f t="shared" si="9"/>
        <v>No</v>
      </c>
    </row>
    <row r="282" spans="1:8" x14ac:dyDescent="0.25">
      <c r="A282" s="7" t="s">
        <v>521</v>
      </c>
      <c r="B282" s="25">
        <f t="shared" si="8"/>
        <v>1.4907119849998598</v>
      </c>
      <c r="C282">
        <f>SUMIFS('data (1)'!$M:$M,'data (1)'!$J:$J,"="&amp;$A282,'data (1)'!$A:$A,"="&amp;вариация!C$2)</f>
        <v>0</v>
      </c>
      <c r="D282">
        <f>SUMIFS('data (1)'!$M:$M,'data (1)'!$J:$J,"="&amp;$A282,'data (1)'!$A:$A,"="&amp;вариация!D$2)</f>
        <v>2</v>
      </c>
      <c r="E282">
        <f>SUMIFS('data (1)'!$M:$M,'data (1)'!$J:$J,"="&amp;$A282,'data (1)'!$A:$A,"="&amp;вариация!E$2)</f>
        <v>0</v>
      </c>
      <c r="F282">
        <f>SUMIFS('data (1)'!$M:$M,'data (1)'!$J:$J,"="&amp;$A282,'data (1)'!$A:$A,"="&amp;вариация!F$2)</f>
        <v>0</v>
      </c>
      <c r="G282">
        <f>SUMIFS('data (1)'!$M:$M,'data (1)'!$J:$J,"="&amp;$A282,'data (1)'!$A:$A,"="&amp;вариация!G$2)</f>
        <v>1</v>
      </c>
      <c r="H282" t="str">
        <f t="shared" si="9"/>
        <v>No</v>
      </c>
    </row>
    <row r="283" spans="1:8" x14ac:dyDescent="0.25">
      <c r="A283" s="7" t="s">
        <v>428</v>
      </c>
      <c r="B283" s="25">
        <f t="shared" si="8"/>
        <v>2.2360679774997894</v>
      </c>
      <c r="C283">
        <f>SUMIFS('data (1)'!$M:$M,'data (1)'!$J:$J,"="&amp;$A283,'data (1)'!$A:$A,"="&amp;вариация!C$2)</f>
        <v>2</v>
      </c>
      <c r="D283">
        <f>SUMIFS('data (1)'!$M:$M,'data (1)'!$J:$J,"="&amp;$A283,'data (1)'!$A:$A,"="&amp;вариация!D$2)</f>
        <v>0</v>
      </c>
      <c r="E283">
        <f>SUMIFS('data (1)'!$M:$M,'data (1)'!$J:$J,"="&amp;$A283,'data (1)'!$A:$A,"="&amp;вариация!E$2)</f>
        <v>0</v>
      </c>
      <c r="F283">
        <f>SUMIFS('data (1)'!$M:$M,'data (1)'!$J:$J,"="&amp;$A283,'data (1)'!$A:$A,"="&amp;вариация!F$2)</f>
        <v>0</v>
      </c>
      <c r="G283">
        <f>SUMIFS('data (1)'!$M:$M,'data (1)'!$J:$J,"="&amp;$A283,'data (1)'!$A:$A,"="&amp;вариация!G$2)</f>
        <v>0</v>
      </c>
      <c r="H283" t="str">
        <f t="shared" si="9"/>
        <v>No</v>
      </c>
    </row>
    <row r="284" spans="1:8" x14ac:dyDescent="0.25">
      <c r="A284" s="7" t="s">
        <v>660</v>
      </c>
      <c r="B284" s="25">
        <f t="shared" si="8"/>
        <v>2.2360679774997894</v>
      </c>
      <c r="C284">
        <f>SUMIFS('data (1)'!$M:$M,'data (1)'!$J:$J,"="&amp;$A284,'data (1)'!$A:$A,"="&amp;вариация!C$2)</f>
        <v>0</v>
      </c>
      <c r="D284">
        <f>SUMIFS('data (1)'!$M:$M,'data (1)'!$J:$J,"="&amp;$A284,'data (1)'!$A:$A,"="&amp;вариация!D$2)</f>
        <v>1</v>
      </c>
      <c r="E284">
        <f>SUMIFS('data (1)'!$M:$M,'data (1)'!$J:$J,"="&amp;$A284,'data (1)'!$A:$A,"="&amp;вариация!E$2)</f>
        <v>0</v>
      </c>
      <c r="F284">
        <f>SUMIFS('data (1)'!$M:$M,'data (1)'!$J:$J,"="&amp;$A284,'data (1)'!$A:$A,"="&amp;вариация!F$2)</f>
        <v>0</v>
      </c>
      <c r="G284">
        <f>SUMIFS('data (1)'!$M:$M,'data (1)'!$J:$J,"="&amp;$A284,'data (1)'!$A:$A,"="&amp;вариация!G$2)</f>
        <v>0</v>
      </c>
      <c r="H284" t="str">
        <f t="shared" si="9"/>
        <v>No</v>
      </c>
    </row>
    <row r="285" spans="1:8" x14ac:dyDescent="0.25">
      <c r="A285" s="7" t="s">
        <v>90</v>
      </c>
      <c r="B285" s="25">
        <f t="shared" si="8"/>
        <v>1.3693063937629151</v>
      </c>
      <c r="C285">
        <f>SUMIFS('data (1)'!$M:$M,'data (1)'!$J:$J,"="&amp;$A285,'data (1)'!$A:$A,"="&amp;вариация!C$2)</f>
        <v>1</v>
      </c>
      <c r="D285">
        <f>SUMIFS('data (1)'!$M:$M,'data (1)'!$J:$J,"="&amp;$A285,'data (1)'!$A:$A,"="&amp;вариация!D$2)</f>
        <v>0</v>
      </c>
      <c r="E285">
        <f>SUMIFS('data (1)'!$M:$M,'data (1)'!$J:$J,"="&amp;$A285,'data (1)'!$A:$A,"="&amp;вариация!E$2)</f>
        <v>0</v>
      </c>
      <c r="F285">
        <f>SUMIFS('data (1)'!$M:$M,'data (1)'!$J:$J,"="&amp;$A285,'data (1)'!$A:$A,"="&amp;вариация!F$2)</f>
        <v>0</v>
      </c>
      <c r="G285">
        <f>SUMIFS('data (1)'!$M:$M,'data (1)'!$J:$J,"="&amp;$A285,'data (1)'!$A:$A,"="&amp;вариация!G$2)</f>
        <v>1</v>
      </c>
      <c r="H285" t="str">
        <f t="shared" si="9"/>
        <v>No</v>
      </c>
    </row>
    <row r="286" spans="1:8" x14ac:dyDescent="0.25">
      <c r="A286" s="7" t="s">
        <v>382</v>
      </c>
      <c r="B286" s="25">
        <f t="shared" si="8"/>
        <v>1.3693063937629151</v>
      </c>
      <c r="C286">
        <f>SUMIFS('data (1)'!$M:$M,'data (1)'!$J:$J,"="&amp;$A286,'data (1)'!$A:$A,"="&amp;вариация!C$2)</f>
        <v>1</v>
      </c>
      <c r="D286">
        <f>SUMIFS('data (1)'!$M:$M,'data (1)'!$J:$J,"="&amp;$A286,'data (1)'!$A:$A,"="&amp;вариация!D$2)</f>
        <v>0</v>
      </c>
      <c r="E286">
        <f>SUMIFS('data (1)'!$M:$M,'data (1)'!$J:$J,"="&amp;$A286,'data (1)'!$A:$A,"="&amp;вариация!E$2)</f>
        <v>0</v>
      </c>
      <c r="F286">
        <f>SUMIFS('data (1)'!$M:$M,'data (1)'!$J:$J,"="&amp;$A286,'data (1)'!$A:$A,"="&amp;вариация!F$2)</f>
        <v>0</v>
      </c>
      <c r="G286">
        <f>SUMIFS('data (1)'!$M:$M,'data (1)'!$J:$J,"="&amp;$A286,'data (1)'!$A:$A,"="&amp;вариация!G$2)</f>
        <v>1</v>
      </c>
      <c r="H286" t="str">
        <f t="shared" si="9"/>
        <v>No</v>
      </c>
    </row>
    <row r="287" spans="1:8" x14ac:dyDescent="0.25">
      <c r="A287" s="7" t="s">
        <v>995</v>
      </c>
      <c r="B287" s="25">
        <f t="shared" si="8"/>
        <v>2.2360679774997894</v>
      </c>
      <c r="C287">
        <f>SUMIFS('data (1)'!$M:$M,'data (1)'!$J:$J,"="&amp;$A287,'data (1)'!$A:$A,"="&amp;вариация!C$2)</f>
        <v>0</v>
      </c>
      <c r="D287">
        <f>SUMIFS('data (1)'!$M:$M,'data (1)'!$J:$J,"="&amp;$A287,'data (1)'!$A:$A,"="&amp;вариация!D$2)</f>
        <v>0</v>
      </c>
      <c r="E287">
        <f>SUMIFS('data (1)'!$M:$M,'data (1)'!$J:$J,"="&amp;$A287,'data (1)'!$A:$A,"="&amp;вариация!E$2)</f>
        <v>0</v>
      </c>
      <c r="F287">
        <f>SUMIFS('data (1)'!$M:$M,'data (1)'!$J:$J,"="&amp;$A287,'data (1)'!$A:$A,"="&amp;вариация!F$2)</f>
        <v>1</v>
      </c>
      <c r="G287">
        <f>SUMIFS('data (1)'!$M:$M,'data (1)'!$J:$J,"="&amp;$A287,'data (1)'!$A:$A,"="&amp;вариация!G$2)</f>
        <v>0</v>
      </c>
      <c r="H287" t="str">
        <f t="shared" si="9"/>
        <v>No</v>
      </c>
    </row>
    <row r="288" spans="1:8" x14ac:dyDescent="0.25">
      <c r="A288" s="7" t="s">
        <v>929</v>
      </c>
      <c r="B288" s="25">
        <f t="shared" si="8"/>
        <v>2.2360679774997894</v>
      </c>
      <c r="C288">
        <f>SUMIFS('data (1)'!$M:$M,'data (1)'!$J:$J,"="&amp;$A288,'data (1)'!$A:$A,"="&amp;вариация!C$2)</f>
        <v>0</v>
      </c>
      <c r="D288">
        <f>SUMIFS('data (1)'!$M:$M,'data (1)'!$J:$J,"="&amp;$A288,'data (1)'!$A:$A,"="&amp;вариация!D$2)</f>
        <v>0</v>
      </c>
      <c r="E288">
        <f>SUMIFS('data (1)'!$M:$M,'data (1)'!$J:$J,"="&amp;$A288,'data (1)'!$A:$A,"="&amp;вариация!E$2)</f>
        <v>0</v>
      </c>
      <c r="F288">
        <f>SUMIFS('data (1)'!$M:$M,'data (1)'!$J:$J,"="&amp;$A288,'data (1)'!$A:$A,"="&amp;вариация!F$2)</f>
        <v>1</v>
      </c>
      <c r="G288">
        <f>SUMIFS('data (1)'!$M:$M,'data (1)'!$J:$J,"="&amp;$A288,'data (1)'!$A:$A,"="&amp;вариация!G$2)</f>
        <v>0</v>
      </c>
      <c r="H288" t="str">
        <f t="shared" si="9"/>
        <v>No</v>
      </c>
    </row>
    <row r="289" spans="1:8" x14ac:dyDescent="0.25">
      <c r="A289" s="7" t="s">
        <v>1025</v>
      </c>
      <c r="B289" s="25">
        <f t="shared" si="8"/>
        <v>2.2360679774997894</v>
      </c>
      <c r="C289">
        <f>SUMIFS('data (1)'!$M:$M,'data (1)'!$J:$J,"="&amp;$A289,'data (1)'!$A:$A,"="&amp;вариация!C$2)</f>
        <v>0</v>
      </c>
      <c r="D289">
        <f>SUMIFS('data (1)'!$M:$M,'data (1)'!$J:$J,"="&amp;$A289,'data (1)'!$A:$A,"="&amp;вариация!D$2)</f>
        <v>0</v>
      </c>
      <c r="E289">
        <f>SUMIFS('data (1)'!$M:$M,'data (1)'!$J:$J,"="&amp;$A289,'data (1)'!$A:$A,"="&amp;вариация!E$2)</f>
        <v>0</v>
      </c>
      <c r="F289">
        <f>SUMIFS('data (1)'!$M:$M,'data (1)'!$J:$J,"="&amp;$A289,'data (1)'!$A:$A,"="&amp;вариация!F$2)</f>
        <v>1</v>
      </c>
      <c r="G289">
        <f>SUMIFS('data (1)'!$M:$M,'data (1)'!$J:$J,"="&amp;$A289,'data (1)'!$A:$A,"="&amp;вариация!G$2)</f>
        <v>0</v>
      </c>
      <c r="H289" t="str">
        <f t="shared" si="9"/>
        <v>No</v>
      </c>
    </row>
    <row r="290" spans="1:8" x14ac:dyDescent="0.25">
      <c r="A290" s="7" t="s">
        <v>979</v>
      </c>
      <c r="B290" s="25">
        <f t="shared" si="8"/>
        <v>1.4142135623730951</v>
      </c>
      <c r="C290">
        <f>SUMIFS('data (1)'!$M:$M,'data (1)'!$J:$J,"="&amp;$A290,'data (1)'!$A:$A,"="&amp;вариация!C$2)</f>
        <v>0</v>
      </c>
      <c r="D290">
        <f>SUMIFS('data (1)'!$M:$M,'data (1)'!$J:$J,"="&amp;$A290,'data (1)'!$A:$A,"="&amp;вариация!D$2)</f>
        <v>0</v>
      </c>
      <c r="E290">
        <f>SUMIFS('data (1)'!$M:$M,'data (1)'!$J:$J,"="&amp;$A290,'data (1)'!$A:$A,"="&amp;вариация!E$2)</f>
        <v>0</v>
      </c>
      <c r="F290">
        <f>SUMIFS('data (1)'!$M:$M,'data (1)'!$J:$J,"="&amp;$A290,'data (1)'!$A:$A,"="&amp;вариация!F$2)</f>
        <v>3</v>
      </c>
      <c r="G290">
        <f>SUMIFS('data (1)'!$M:$M,'data (1)'!$J:$J,"="&amp;$A290,'data (1)'!$A:$A,"="&amp;вариация!G$2)</f>
        <v>2</v>
      </c>
      <c r="H290" t="str">
        <f t="shared" si="9"/>
        <v>No</v>
      </c>
    </row>
    <row r="291" spans="1:8" x14ac:dyDescent="0.25">
      <c r="A291" s="7" t="s">
        <v>140</v>
      </c>
      <c r="B291" s="25">
        <f t="shared" si="8"/>
        <v>1.3693063937629151</v>
      </c>
      <c r="C291">
        <f>SUMIFS('data (1)'!$M:$M,'data (1)'!$J:$J,"="&amp;$A291,'data (1)'!$A:$A,"="&amp;вариация!C$2)</f>
        <v>1</v>
      </c>
      <c r="D291">
        <f>SUMIFS('data (1)'!$M:$M,'data (1)'!$J:$J,"="&amp;$A291,'data (1)'!$A:$A,"="&amp;вариация!D$2)</f>
        <v>1</v>
      </c>
      <c r="E291">
        <f>SUMIFS('data (1)'!$M:$M,'data (1)'!$J:$J,"="&amp;$A291,'data (1)'!$A:$A,"="&amp;вариация!E$2)</f>
        <v>0</v>
      </c>
      <c r="F291">
        <f>SUMIFS('data (1)'!$M:$M,'data (1)'!$J:$J,"="&amp;$A291,'data (1)'!$A:$A,"="&amp;вариация!F$2)</f>
        <v>0</v>
      </c>
      <c r="G291">
        <f>SUMIFS('data (1)'!$M:$M,'data (1)'!$J:$J,"="&amp;$A291,'data (1)'!$A:$A,"="&amp;вариация!G$2)</f>
        <v>0</v>
      </c>
      <c r="H291" t="str">
        <f t="shared" si="9"/>
        <v>No</v>
      </c>
    </row>
    <row r="292" spans="1:8" x14ac:dyDescent="0.25">
      <c r="A292" s="7" t="s">
        <v>1185</v>
      </c>
      <c r="B292" s="25">
        <f t="shared" si="8"/>
        <v>2.2360679774997894</v>
      </c>
      <c r="C292">
        <f>SUMIFS('data (1)'!$M:$M,'data (1)'!$J:$J,"="&amp;$A292,'data (1)'!$A:$A,"="&amp;вариация!C$2)</f>
        <v>0</v>
      </c>
      <c r="D292">
        <f>SUMIFS('data (1)'!$M:$M,'data (1)'!$J:$J,"="&amp;$A292,'data (1)'!$A:$A,"="&amp;вариация!D$2)</f>
        <v>0</v>
      </c>
      <c r="E292">
        <f>SUMIFS('data (1)'!$M:$M,'data (1)'!$J:$J,"="&amp;$A292,'data (1)'!$A:$A,"="&amp;вариация!E$2)</f>
        <v>0</v>
      </c>
      <c r="F292">
        <f>SUMIFS('data (1)'!$M:$M,'data (1)'!$J:$J,"="&amp;$A292,'data (1)'!$A:$A,"="&amp;вариация!F$2)</f>
        <v>0</v>
      </c>
      <c r="G292">
        <f>SUMIFS('data (1)'!$M:$M,'data (1)'!$J:$J,"="&amp;$A292,'data (1)'!$A:$A,"="&amp;вариация!G$2)</f>
        <v>2</v>
      </c>
      <c r="H292" t="str">
        <f t="shared" si="9"/>
        <v>No</v>
      </c>
    </row>
    <row r="293" spans="1:8" x14ac:dyDescent="0.25">
      <c r="A293" s="7" t="s">
        <v>778</v>
      </c>
      <c r="B293" s="25">
        <f t="shared" si="8"/>
        <v>2.2360679774997894</v>
      </c>
      <c r="C293">
        <f>SUMIFS('data (1)'!$M:$M,'data (1)'!$J:$J,"="&amp;$A293,'data (1)'!$A:$A,"="&amp;вариация!C$2)</f>
        <v>0</v>
      </c>
      <c r="D293">
        <f>SUMIFS('data (1)'!$M:$M,'data (1)'!$J:$J,"="&amp;$A293,'data (1)'!$A:$A,"="&amp;вариация!D$2)</f>
        <v>0</v>
      </c>
      <c r="E293">
        <f>SUMIFS('data (1)'!$M:$M,'data (1)'!$J:$J,"="&amp;$A293,'data (1)'!$A:$A,"="&amp;вариация!E$2)</f>
        <v>1</v>
      </c>
      <c r="F293">
        <f>SUMIFS('data (1)'!$M:$M,'data (1)'!$J:$J,"="&amp;$A293,'data (1)'!$A:$A,"="&amp;вариация!F$2)</f>
        <v>0</v>
      </c>
      <c r="G293">
        <f>SUMIFS('data (1)'!$M:$M,'data (1)'!$J:$J,"="&amp;$A293,'data (1)'!$A:$A,"="&amp;вариация!G$2)</f>
        <v>0</v>
      </c>
      <c r="H293" t="str">
        <f t="shared" si="9"/>
        <v>No</v>
      </c>
    </row>
    <row r="294" spans="1:8" x14ac:dyDescent="0.25">
      <c r="A294" s="7" t="s">
        <v>70</v>
      </c>
      <c r="B294" s="25">
        <f t="shared" si="8"/>
        <v>2.2360679774997894</v>
      </c>
      <c r="C294">
        <f>SUMIFS('data (1)'!$M:$M,'data (1)'!$J:$J,"="&amp;$A294,'data (1)'!$A:$A,"="&amp;вариация!C$2)</f>
        <v>1</v>
      </c>
      <c r="D294">
        <f>SUMIFS('data (1)'!$M:$M,'data (1)'!$J:$J,"="&amp;$A294,'data (1)'!$A:$A,"="&amp;вариация!D$2)</f>
        <v>0</v>
      </c>
      <c r="E294">
        <f>SUMIFS('data (1)'!$M:$M,'data (1)'!$J:$J,"="&amp;$A294,'data (1)'!$A:$A,"="&amp;вариация!E$2)</f>
        <v>0</v>
      </c>
      <c r="F294">
        <f>SUMIFS('data (1)'!$M:$M,'data (1)'!$J:$J,"="&amp;$A294,'data (1)'!$A:$A,"="&amp;вариация!F$2)</f>
        <v>0</v>
      </c>
      <c r="G294">
        <f>SUMIFS('data (1)'!$M:$M,'data (1)'!$J:$J,"="&amp;$A294,'data (1)'!$A:$A,"="&amp;вариация!G$2)</f>
        <v>0</v>
      </c>
      <c r="H294" t="str">
        <f t="shared" si="9"/>
        <v>No</v>
      </c>
    </row>
    <row r="295" spans="1:8" x14ac:dyDescent="0.25">
      <c r="A295" s="7" t="s">
        <v>669</v>
      </c>
      <c r="B295" s="25">
        <f t="shared" si="8"/>
        <v>2.2360679774997894</v>
      </c>
      <c r="C295">
        <f>SUMIFS('data (1)'!$M:$M,'data (1)'!$J:$J,"="&amp;$A295,'data (1)'!$A:$A,"="&amp;вариация!C$2)</f>
        <v>0</v>
      </c>
      <c r="D295">
        <f>SUMIFS('data (1)'!$M:$M,'data (1)'!$J:$J,"="&amp;$A295,'data (1)'!$A:$A,"="&amp;вариация!D$2)</f>
        <v>1</v>
      </c>
      <c r="E295">
        <f>SUMIFS('data (1)'!$M:$M,'data (1)'!$J:$J,"="&amp;$A295,'data (1)'!$A:$A,"="&amp;вариация!E$2)</f>
        <v>0</v>
      </c>
      <c r="F295">
        <f>SUMIFS('data (1)'!$M:$M,'data (1)'!$J:$J,"="&amp;$A295,'data (1)'!$A:$A,"="&amp;вариация!F$2)</f>
        <v>0</v>
      </c>
      <c r="G295">
        <f>SUMIFS('data (1)'!$M:$M,'data (1)'!$J:$J,"="&amp;$A295,'data (1)'!$A:$A,"="&amp;вариация!G$2)</f>
        <v>0</v>
      </c>
      <c r="H295" t="str">
        <f t="shared" si="9"/>
        <v>No</v>
      </c>
    </row>
    <row r="296" spans="1:8" x14ac:dyDescent="0.25">
      <c r="A296" s="7" t="s">
        <v>1188</v>
      </c>
      <c r="B296" s="25">
        <f t="shared" si="8"/>
        <v>2.2360679774997894</v>
      </c>
      <c r="C296">
        <f>SUMIFS('data (1)'!$M:$M,'data (1)'!$J:$J,"="&amp;$A296,'data (1)'!$A:$A,"="&amp;вариация!C$2)</f>
        <v>0</v>
      </c>
      <c r="D296">
        <f>SUMIFS('data (1)'!$M:$M,'data (1)'!$J:$J,"="&amp;$A296,'data (1)'!$A:$A,"="&amp;вариация!D$2)</f>
        <v>0</v>
      </c>
      <c r="E296">
        <f>SUMIFS('data (1)'!$M:$M,'data (1)'!$J:$J,"="&amp;$A296,'data (1)'!$A:$A,"="&amp;вариация!E$2)</f>
        <v>0</v>
      </c>
      <c r="F296">
        <f>SUMIFS('data (1)'!$M:$M,'data (1)'!$J:$J,"="&amp;$A296,'data (1)'!$A:$A,"="&amp;вариация!F$2)</f>
        <v>0</v>
      </c>
      <c r="G296">
        <f>SUMIFS('data (1)'!$M:$M,'data (1)'!$J:$J,"="&amp;$A296,'data (1)'!$A:$A,"="&amp;вариация!G$2)</f>
        <v>2</v>
      </c>
      <c r="H296" t="str">
        <f t="shared" si="9"/>
        <v>No</v>
      </c>
    </row>
    <row r="297" spans="1:8" x14ac:dyDescent="0.25">
      <c r="A297" s="7" t="s">
        <v>381</v>
      </c>
      <c r="B297" s="25">
        <f t="shared" si="8"/>
        <v>2.2360679774997894</v>
      </c>
      <c r="C297">
        <f>SUMIFS('data (1)'!$M:$M,'data (1)'!$J:$J,"="&amp;$A297,'data (1)'!$A:$A,"="&amp;вариация!C$2)</f>
        <v>2</v>
      </c>
      <c r="D297">
        <f>SUMIFS('data (1)'!$M:$M,'data (1)'!$J:$J,"="&amp;$A297,'data (1)'!$A:$A,"="&amp;вариация!D$2)</f>
        <v>0</v>
      </c>
      <c r="E297">
        <f>SUMIFS('data (1)'!$M:$M,'data (1)'!$J:$J,"="&amp;$A297,'data (1)'!$A:$A,"="&amp;вариация!E$2)</f>
        <v>0</v>
      </c>
      <c r="F297">
        <f>SUMIFS('data (1)'!$M:$M,'data (1)'!$J:$J,"="&amp;$A297,'data (1)'!$A:$A,"="&amp;вариация!F$2)</f>
        <v>0</v>
      </c>
      <c r="G297">
        <f>SUMIFS('data (1)'!$M:$M,'data (1)'!$J:$J,"="&amp;$A297,'data (1)'!$A:$A,"="&amp;вариация!G$2)</f>
        <v>0</v>
      </c>
      <c r="H297" t="str">
        <f t="shared" si="9"/>
        <v>No</v>
      </c>
    </row>
    <row r="298" spans="1:8" x14ac:dyDescent="0.25">
      <c r="A298" s="7" t="s">
        <v>387</v>
      </c>
      <c r="B298" s="25">
        <f t="shared" si="8"/>
        <v>2.2360679774997894</v>
      </c>
      <c r="C298">
        <f>SUMIFS('data (1)'!$M:$M,'data (1)'!$J:$J,"="&amp;$A298,'data (1)'!$A:$A,"="&amp;вариация!C$2)</f>
        <v>1</v>
      </c>
      <c r="D298">
        <f>SUMIFS('data (1)'!$M:$M,'data (1)'!$J:$J,"="&amp;$A298,'data (1)'!$A:$A,"="&amp;вариация!D$2)</f>
        <v>0</v>
      </c>
      <c r="E298">
        <f>SUMIFS('data (1)'!$M:$M,'data (1)'!$J:$J,"="&amp;$A298,'data (1)'!$A:$A,"="&amp;вариация!E$2)</f>
        <v>0</v>
      </c>
      <c r="F298">
        <f>SUMIFS('data (1)'!$M:$M,'data (1)'!$J:$J,"="&amp;$A298,'data (1)'!$A:$A,"="&amp;вариация!F$2)</f>
        <v>0</v>
      </c>
      <c r="G298">
        <f>SUMIFS('data (1)'!$M:$M,'data (1)'!$J:$J,"="&amp;$A298,'data (1)'!$A:$A,"="&amp;вариация!G$2)</f>
        <v>0</v>
      </c>
      <c r="H298" t="str">
        <f t="shared" si="9"/>
        <v>No</v>
      </c>
    </row>
    <row r="299" spans="1:8" x14ac:dyDescent="0.25">
      <c r="A299" s="7" t="s">
        <v>857</v>
      </c>
      <c r="B299" s="25">
        <f t="shared" si="8"/>
        <v>1.3693063937629151</v>
      </c>
      <c r="C299">
        <f>SUMIFS('data (1)'!$M:$M,'data (1)'!$J:$J,"="&amp;$A299,'data (1)'!$A:$A,"="&amp;вариация!C$2)</f>
        <v>0</v>
      </c>
      <c r="D299">
        <f>SUMIFS('data (1)'!$M:$M,'data (1)'!$J:$J,"="&amp;$A299,'data (1)'!$A:$A,"="&amp;вариация!D$2)</f>
        <v>0</v>
      </c>
      <c r="E299">
        <f>SUMIFS('data (1)'!$M:$M,'data (1)'!$J:$J,"="&amp;$A299,'data (1)'!$A:$A,"="&amp;вариация!E$2)</f>
        <v>1</v>
      </c>
      <c r="F299">
        <f>SUMIFS('data (1)'!$M:$M,'data (1)'!$J:$J,"="&amp;$A299,'data (1)'!$A:$A,"="&amp;вариация!F$2)</f>
        <v>0</v>
      </c>
      <c r="G299">
        <f>SUMIFS('data (1)'!$M:$M,'data (1)'!$J:$J,"="&amp;$A299,'data (1)'!$A:$A,"="&amp;вариация!G$2)</f>
        <v>1</v>
      </c>
      <c r="H299" t="str">
        <f t="shared" si="9"/>
        <v>No</v>
      </c>
    </row>
    <row r="300" spans="1:8" x14ac:dyDescent="0.25">
      <c r="A300" s="7" t="s">
        <v>889</v>
      </c>
      <c r="B300" s="25">
        <f t="shared" si="8"/>
        <v>2.2360679774997894</v>
      </c>
      <c r="C300">
        <f>SUMIFS('data (1)'!$M:$M,'data (1)'!$J:$J,"="&amp;$A300,'data (1)'!$A:$A,"="&amp;вариация!C$2)</f>
        <v>0</v>
      </c>
      <c r="D300">
        <f>SUMIFS('data (1)'!$M:$M,'data (1)'!$J:$J,"="&amp;$A300,'data (1)'!$A:$A,"="&amp;вариация!D$2)</f>
        <v>0</v>
      </c>
      <c r="E300">
        <f>SUMIFS('data (1)'!$M:$M,'data (1)'!$J:$J,"="&amp;$A300,'data (1)'!$A:$A,"="&amp;вариация!E$2)</f>
        <v>1</v>
      </c>
      <c r="F300">
        <f>SUMIFS('data (1)'!$M:$M,'data (1)'!$J:$J,"="&amp;$A300,'data (1)'!$A:$A,"="&amp;вариация!F$2)</f>
        <v>0</v>
      </c>
      <c r="G300">
        <f>SUMIFS('data (1)'!$M:$M,'data (1)'!$J:$J,"="&amp;$A300,'data (1)'!$A:$A,"="&amp;вариация!G$2)</f>
        <v>0</v>
      </c>
      <c r="H300" t="str">
        <f t="shared" si="9"/>
        <v>No</v>
      </c>
    </row>
    <row r="301" spans="1:8" x14ac:dyDescent="0.25">
      <c r="A301" s="7" t="s">
        <v>782</v>
      </c>
      <c r="B301" s="25">
        <f t="shared" si="8"/>
        <v>2.2360679774997894</v>
      </c>
      <c r="C301">
        <f>SUMIFS('data (1)'!$M:$M,'data (1)'!$J:$J,"="&amp;$A301,'data (1)'!$A:$A,"="&amp;вариация!C$2)</f>
        <v>0</v>
      </c>
      <c r="D301">
        <f>SUMIFS('data (1)'!$M:$M,'data (1)'!$J:$J,"="&amp;$A301,'data (1)'!$A:$A,"="&amp;вариация!D$2)</f>
        <v>0</v>
      </c>
      <c r="E301">
        <f>SUMIFS('data (1)'!$M:$M,'data (1)'!$J:$J,"="&amp;$A301,'data (1)'!$A:$A,"="&amp;вариация!E$2)</f>
        <v>2</v>
      </c>
      <c r="F301">
        <f>SUMIFS('data (1)'!$M:$M,'data (1)'!$J:$J,"="&amp;$A301,'data (1)'!$A:$A,"="&amp;вариация!F$2)</f>
        <v>0</v>
      </c>
      <c r="G301">
        <f>SUMIFS('data (1)'!$M:$M,'data (1)'!$J:$J,"="&amp;$A301,'data (1)'!$A:$A,"="&amp;вариация!G$2)</f>
        <v>0</v>
      </c>
      <c r="H301" t="str">
        <f t="shared" si="9"/>
        <v>No</v>
      </c>
    </row>
    <row r="302" spans="1:8" x14ac:dyDescent="0.25">
      <c r="A302" s="7" t="s">
        <v>975</v>
      </c>
      <c r="B302" s="25">
        <f t="shared" si="8"/>
        <v>2.2360679774997894</v>
      </c>
      <c r="C302">
        <f>SUMIFS('data (1)'!$M:$M,'data (1)'!$J:$J,"="&amp;$A302,'data (1)'!$A:$A,"="&amp;вариация!C$2)</f>
        <v>0</v>
      </c>
      <c r="D302">
        <f>SUMIFS('data (1)'!$M:$M,'data (1)'!$J:$J,"="&amp;$A302,'data (1)'!$A:$A,"="&amp;вариация!D$2)</f>
        <v>0</v>
      </c>
      <c r="E302">
        <f>SUMIFS('data (1)'!$M:$M,'data (1)'!$J:$J,"="&amp;$A302,'data (1)'!$A:$A,"="&amp;вариация!E$2)</f>
        <v>0</v>
      </c>
      <c r="F302">
        <f>SUMIFS('data (1)'!$M:$M,'data (1)'!$J:$J,"="&amp;$A302,'data (1)'!$A:$A,"="&amp;вариация!F$2)</f>
        <v>2</v>
      </c>
      <c r="G302">
        <f>SUMIFS('data (1)'!$M:$M,'data (1)'!$J:$J,"="&amp;$A302,'data (1)'!$A:$A,"="&amp;вариация!G$2)</f>
        <v>0</v>
      </c>
      <c r="H302" t="str">
        <f t="shared" si="9"/>
        <v>No</v>
      </c>
    </row>
    <row r="303" spans="1:8" x14ac:dyDescent="0.25">
      <c r="A303" s="7" t="s">
        <v>201</v>
      </c>
      <c r="B303" s="25">
        <f t="shared" si="8"/>
        <v>2.2360679774997894</v>
      </c>
      <c r="C303">
        <f>SUMIFS('data (1)'!$M:$M,'data (1)'!$J:$J,"="&amp;$A303,'data (1)'!$A:$A,"="&amp;вариация!C$2)</f>
        <v>2</v>
      </c>
      <c r="D303">
        <f>SUMIFS('data (1)'!$M:$M,'data (1)'!$J:$J,"="&amp;$A303,'data (1)'!$A:$A,"="&amp;вариация!D$2)</f>
        <v>0</v>
      </c>
      <c r="E303">
        <f>SUMIFS('data (1)'!$M:$M,'data (1)'!$J:$J,"="&amp;$A303,'data (1)'!$A:$A,"="&amp;вариация!E$2)</f>
        <v>0</v>
      </c>
      <c r="F303">
        <f>SUMIFS('data (1)'!$M:$M,'data (1)'!$J:$J,"="&amp;$A303,'data (1)'!$A:$A,"="&amp;вариация!F$2)</f>
        <v>0</v>
      </c>
      <c r="G303">
        <f>SUMIFS('data (1)'!$M:$M,'data (1)'!$J:$J,"="&amp;$A303,'data (1)'!$A:$A,"="&amp;вариация!G$2)</f>
        <v>0</v>
      </c>
      <c r="H303" t="str">
        <f t="shared" si="9"/>
        <v>No</v>
      </c>
    </row>
    <row r="304" spans="1:8" x14ac:dyDescent="0.25">
      <c r="A304" s="7" t="s">
        <v>1073</v>
      </c>
      <c r="B304" s="25">
        <f t="shared" si="8"/>
        <v>2.2360679774997894</v>
      </c>
      <c r="C304">
        <f>SUMIFS('data (1)'!$M:$M,'data (1)'!$J:$J,"="&amp;$A304,'data (1)'!$A:$A,"="&amp;вариация!C$2)</f>
        <v>0</v>
      </c>
      <c r="D304">
        <f>SUMIFS('data (1)'!$M:$M,'data (1)'!$J:$J,"="&amp;$A304,'data (1)'!$A:$A,"="&amp;вариация!D$2)</f>
        <v>0</v>
      </c>
      <c r="E304">
        <f>SUMIFS('data (1)'!$M:$M,'data (1)'!$J:$J,"="&amp;$A304,'data (1)'!$A:$A,"="&amp;вариация!E$2)</f>
        <v>0</v>
      </c>
      <c r="F304">
        <f>SUMIFS('data (1)'!$M:$M,'data (1)'!$J:$J,"="&amp;$A304,'data (1)'!$A:$A,"="&amp;вариация!F$2)</f>
        <v>1</v>
      </c>
      <c r="G304">
        <f>SUMIFS('data (1)'!$M:$M,'data (1)'!$J:$J,"="&amp;$A304,'data (1)'!$A:$A,"="&amp;вариация!G$2)</f>
        <v>0</v>
      </c>
      <c r="H304" t="str">
        <f t="shared" si="9"/>
        <v>No</v>
      </c>
    </row>
    <row r="305" spans="1:8" x14ac:dyDescent="0.25">
      <c r="A305" s="7" t="s">
        <v>1103</v>
      </c>
      <c r="B305" s="25">
        <f t="shared" si="8"/>
        <v>2.2360679774997894</v>
      </c>
      <c r="C305">
        <f>SUMIFS('data (1)'!$M:$M,'data (1)'!$J:$J,"="&amp;$A305,'data (1)'!$A:$A,"="&amp;вариация!C$2)</f>
        <v>0</v>
      </c>
      <c r="D305">
        <f>SUMIFS('data (1)'!$M:$M,'data (1)'!$J:$J,"="&amp;$A305,'data (1)'!$A:$A,"="&amp;вариация!D$2)</f>
        <v>0</v>
      </c>
      <c r="E305">
        <f>SUMIFS('data (1)'!$M:$M,'data (1)'!$J:$J,"="&amp;$A305,'data (1)'!$A:$A,"="&amp;вариация!E$2)</f>
        <v>0</v>
      </c>
      <c r="F305">
        <f>SUMIFS('data (1)'!$M:$M,'data (1)'!$J:$J,"="&amp;$A305,'data (1)'!$A:$A,"="&amp;вариация!F$2)</f>
        <v>0</v>
      </c>
      <c r="G305">
        <f>SUMIFS('data (1)'!$M:$M,'data (1)'!$J:$J,"="&amp;$A305,'data (1)'!$A:$A,"="&amp;вариация!G$2)</f>
        <v>1</v>
      </c>
      <c r="H305" t="str">
        <f t="shared" si="9"/>
        <v>No</v>
      </c>
    </row>
    <row r="306" spans="1:8" x14ac:dyDescent="0.25">
      <c r="A306" s="7" t="s">
        <v>1180</v>
      </c>
      <c r="B306" s="25">
        <f t="shared" si="8"/>
        <v>2.2360679774997894</v>
      </c>
      <c r="C306">
        <f>SUMIFS('data (1)'!$M:$M,'data (1)'!$J:$J,"="&amp;$A306,'data (1)'!$A:$A,"="&amp;вариация!C$2)</f>
        <v>0</v>
      </c>
      <c r="D306">
        <f>SUMIFS('data (1)'!$M:$M,'data (1)'!$J:$J,"="&amp;$A306,'data (1)'!$A:$A,"="&amp;вариация!D$2)</f>
        <v>0</v>
      </c>
      <c r="E306">
        <f>SUMIFS('data (1)'!$M:$M,'data (1)'!$J:$J,"="&amp;$A306,'data (1)'!$A:$A,"="&amp;вариация!E$2)</f>
        <v>0</v>
      </c>
      <c r="F306">
        <f>SUMIFS('data (1)'!$M:$M,'data (1)'!$J:$J,"="&amp;$A306,'data (1)'!$A:$A,"="&amp;вариация!F$2)</f>
        <v>0</v>
      </c>
      <c r="G306">
        <f>SUMIFS('data (1)'!$M:$M,'data (1)'!$J:$J,"="&amp;$A306,'data (1)'!$A:$A,"="&amp;вариация!G$2)</f>
        <v>1</v>
      </c>
      <c r="H306" t="str">
        <f t="shared" si="9"/>
        <v>No</v>
      </c>
    </row>
    <row r="307" spans="1:8" x14ac:dyDescent="0.25">
      <c r="A307" s="7" t="s">
        <v>1122</v>
      </c>
      <c r="B307" s="25">
        <f t="shared" si="8"/>
        <v>2.2360679774997894</v>
      </c>
      <c r="C307">
        <f>SUMIFS('data (1)'!$M:$M,'data (1)'!$J:$J,"="&amp;$A307,'data (1)'!$A:$A,"="&amp;вариация!C$2)</f>
        <v>0</v>
      </c>
      <c r="D307">
        <f>SUMIFS('data (1)'!$M:$M,'data (1)'!$J:$J,"="&amp;$A307,'data (1)'!$A:$A,"="&amp;вариация!D$2)</f>
        <v>0</v>
      </c>
      <c r="E307">
        <f>SUMIFS('data (1)'!$M:$M,'data (1)'!$J:$J,"="&amp;$A307,'data (1)'!$A:$A,"="&amp;вариация!E$2)</f>
        <v>0</v>
      </c>
      <c r="F307">
        <f>SUMIFS('data (1)'!$M:$M,'data (1)'!$J:$J,"="&amp;$A307,'data (1)'!$A:$A,"="&amp;вариация!F$2)</f>
        <v>0</v>
      </c>
      <c r="G307">
        <f>SUMIFS('data (1)'!$M:$M,'data (1)'!$J:$J,"="&amp;$A307,'data (1)'!$A:$A,"="&amp;вариация!G$2)</f>
        <v>1</v>
      </c>
      <c r="H307" t="str">
        <f t="shared" si="9"/>
        <v>No</v>
      </c>
    </row>
    <row r="308" spans="1:8" x14ac:dyDescent="0.25">
      <c r="A308" s="7" t="s">
        <v>143</v>
      </c>
      <c r="B308" s="25">
        <f t="shared" si="8"/>
        <v>0.37267799624996489</v>
      </c>
      <c r="C308">
        <f>SUMIFS('data (1)'!$M:$M,'data (1)'!$J:$J,"="&amp;$A308,'data (1)'!$A:$A,"="&amp;вариация!C$2)</f>
        <v>3</v>
      </c>
      <c r="D308">
        <f>SUMIFS('data (1)'!$M:$M,'data (1)'!$J:$J,"="&amp;$A308,'data (1)'!$A:$A,"="&amp;вариация!D$2)</f>
        <v>1</v>
      </c>
      <c r="E308">
        <f>SUMIFS('data (1)'!$M:$M,'data (1)'!$J:$J,"="&amp;$A308,'data (1)'!$A:$A,"="&amp;вариация!E$2)</f>
        <v>3</v>
      </c>
      <c r="F308">
        <f>SUMIFS('data (1)'!$M:$M,'data (1)'!$J:$J,"="&amp;$A308,'data (1)'!$A:$A,"="&amp;вариация!F$2)</f>
        <v>2</v>
      </c>
      <c r="G308">
        <f>SUMIFS('data (1)'!$M:$M,'data (1)'!$J:$J,"="&amp;$A308,'data (1)'!$A:$A,"="&amp;вариация!G$2)</f>
        <v>3</v>
      </c>
      <c r="H308" t="str">
        <f t="shared" si="9"/>
        <v>Yes</v>
      </c>
    </row>
    <row r="309" spans="1:8" x14ac:dyDescent="0.25">
      <c r="A309" s="7" t="s">
        <v>994</v>
      </c>
      <c r="B309" s="25">
        <f t="shared" si="8"/>
        <v>1.3693063937629151</v>
      </c>
      <c r="C309">
        <f>SUMIFS('data (1)'!$M:$M,'data (1)'!$J:$J,"="&amp;$A309,'data (1)'!$A:$A,"="&amp;вариация!C$2)</f>
        <v>0</v>
      </c>
      <c r="D309">
        <f>SUMIFS('data (1)'!$M:$M,'data (1)'!$J:$J,"="&amp;$A309,'data (1)'!$A:$A,"="&amp;вариация!D$2)</f>
        <v>0</v>
      </c>
      <c r="E309">
        <f>SUMIFS('data (1)'!$M:$M,'data (1)'!$J:$J,"="&amp;$A309,'data (1)'!$A:$A,"="&amp;вариация!E$2)</f>
        <v>0</v>
      </c>
      <c r="F309">
        <f>SUMIFS('data (1)'!$M:$M,'data (1)'!$J:$J,"="&amp;$A309,'data (1)'!$A:$A,"="&amp;вариация!F$2)</f>
        <v>1</v>
      </c>
      <c r="G309">
        <f>SUMIFS('data (1)'!$M:$M,'data (1)'!$J:$J,"="&amp;$A309,'data (1)'!$A:$A,"="&amp;вариация!G$2)</f>
        <v>1</v>
      </c>
      <c r="H309" t="str">
        <f t="shared" si="9"/>
        <v>No</v>
      </c>
    </row>
    <row r="310" spans="1:8" x14ac:dyDescent="0.25">
      <c r="A310" s="7" t="s">
        <v>461</v>
      </c>
      <c r="B310" s="25">
        <f t="shared" si="8"/>
        <v>2.2360679774997894</v>
      </c>
      <c r="C310">
        <f>SUMIFS('data (1)'!$M:$M,'data (1)'!$J:$J,"="&amp;$A310,'data (1)'!$A:$A,"="&amp;вариация!C$2)</f>
        <v>1</v>
      </c>
      <c r="D310">
        <f>SUMIFS('data (1)'!$M:$M,'data (1)'!$J:$J,"="&amp;$A310,'data (1)'!$A:$A,"="&amp;вариация!D$2)</f>
        <v>0</v>
      </c>
      <c r="E310">
        <f>SUMIFS('data (1)'!$M:$M,'data (1)'!$J:$J,"="&amp;$A310,'data (1)'!$A:$A,"="&amp;вариация!E$2)</f>
        <v>0</v>
      </c>
      <c r="F310">
        <f>SUMIFS('data (1)'!$M:$M,'data (1)'!$J:$J,"="&amp;$A310,'data (1)'!$A:$A,"="&amp;вариация!F$2)</f>
        <v>0</v>
      </c>
      <c r="G310">
        <f>SUMIFS('data (1)'!$M:$M,'data (1)'!$J:$J,"="&amp;$A310,'data (1)'!$A:$A,"="&amp;вариация!G$2)</f>
        <v>0</v>
      </c>
      <c r="H310" t="str">
        <f t="shared" si="9"/>
        <v>No</v>
      </c>
    </row>
    <row r="311" spans="1:8" x14ac:dyDescent="0.25">
      <c r="A311" s="7" t="s">
        <v>861</v>
      </c>
      <c r="B311" s="25">
        <f t="shared" si="8"/>
        <v>2.2360679774997894</v>
      </c>
      <c r="C311">
        <f>SUMIFS('data (1)'!$M:$M,'data (1)'!$J:$J,"="&amp;$A311,'data (1)'!$A:$A,"="&amp;вариация!C$2)</f>
        <v>0</v>
      </c>
      <c r="D311">
        <f>SUMIFS('data (1)'!$M:$M,'data (1)'!$J:$J,"="&amp;$A311,'data (1)'!$A:$A,"="&amp;вариация!D$2)</f>
        <v>0</v>
      </c>
      <c r="E311">
        <f>SUMIFS('data (1)'!$M:$M,'data (1)'!$J:$J,"="&amp;$A311,'data (1)'!$A:$A,"="&amp;вариация!E$2)</f>
        <v>2</v>
      </c>
      <c r="F311">
        <f>SUMIFS('data (1)'!$M:$M,'data (1)'!$J:$J,"="&amp;$A311,'data (1)'!$A:$A,"="&amp;вариация!F$2)</f>
        <v>0</v>
      </c>
      <c r="G311">
        <f>SUMIFS('data (1)'!$M:$M,'data (1)'!$J:$J,"="&amp;$A311,'data (1)'!$A:$A,"="&amp;вариация!G$2)</f>
        <v>0</v>
      </c>
      <c r="H311" t="str">
        <f t="shared" si="9"/>
        <v>No</v>
      </c>
    </row>
    <row r="312" spans="1:8" x14ac:dyDescent="0.25">
      <c r="A312" s="7" t="s">
        <v>841</v>
      </c>
      <c r="B312" s="25">
        <f t="shared" si="8"/>
        <v>2.2360679774997894</v>
      </c>
      <c r="C312">
        <f>SUMIFS('data (1)'!$M:$M,'data (1)'!$J:$J,"="&amp;$A312,'data (1)'!$A:$A,"="&amp;вариация!C$2)</f>
        <v>0</v>
      </c>
      <c r="D312">
        <f>SUMIFS('data (1)'!$M:$M,'data (1)'!$J:$J,"="&amp;$A312,'data (1)'!$A:$A,"="&amp;вариация!D$2)</f>
        <v>0</v>
      </c>
      <c r="E312">
        <f>SUMIFS('data (1)'!$M:$M,'data (1)'!$J:$J,"="&amp;$A312,'data (1)'!$A:$A,"="&amp;вариация!E$2)</f>
        <v>1</v>
      </c>
      <c r="F312">
        <f>SUMIFS('data (1)'!$M:$M,'data (1)'!$J:$J,"="&amp;$A312,'data (1)'!$A:$A,"="&amp;вариация!F$2)</f>
        <v>0</v>
      </c>
      <c r="G312">
        <f>SUMIFS('data (1)'!$M:$M,'data (1)'!$J:$J,"="&amp;$A312,'data (1)'!$A:$A,"="&amp;вариация!G$2)</f>
        <v>0</v>
      </c>
      <c r="H312" t="str">
        <f t="shared" si="9"/>
        <v>No</v>
      </c>
    </row>
    <row r="313" spans="1:8" x14ac:dyDescent="0.25">
      <c r="A313" s="7" t="s">
        <v>111</v>
      </c>
      <c r="B313" s="25">
        <f t="shared" si="8"/>
        <v>2.2360679774997894</v>
      </c>
      <c r="C313">
        <f>SUMIFS('data (1)'!$M:$M,'data (1)'!$J:$J,"="&amp;$A313,'data (1)'!$A:$A,"="&amp;вариация!C$2)</f>
        <v>1</v>
      </c>
      <c r="D313">
        <f>SUMIFS('data (1)'!$M:$M,'data (1)'!$J:$J,"="&amp;$A313,'data (1)'!$A:$A,"="&amp;вариация!D$2)</f>
        <v>0</v>
      </c>
      <c r="E313">
        <f>SUMIFS('data (1)'!$M:$M,'data (1)'!$J:$J,"="&amp;$A313,'data (1)'!$A:$A,"="&amp;вариация!E$2)</f>
        <v>0</v>
      </c>
      <c r="F313">
        <f>SUMIFS('data (1)'!$M:$M,'data (1)'!$J:$J,"="&amp;$A313,'data (1)'!$A:$A,"="&amp;вариация!F$2)</f>
        <v>0</v>
      </c>
      <c r="G313">
        <f>SUMIFS('data (1)'!$M:$M,'data (1)'!$J:$J,"="&amp;$A313,'data (1)'!$A:$A,"="&amp;вариация!G$2)</f>
        <v>0</v>
      </c>
      <c r="H313" t="str">
        <f t="shared" si="9"/>
        <v>No</v>
      </c>
    </row>
    <row r="314" spans="1:8" x14ac:dyDescent="0.25">
      <c r="A314" s="7" t="s">
        <v>414</v>
      </c>
      <c r="B314" s="25">
        <f t="shared" si="8"/>
        <v>2.2360679774997894</v>
      </c>
      <c r="C314">
        <f>SUMIFS('data (1)'!$M:$M,'data (1)'!$J:$J,"="&amp;$A314,'data (1)'!$A:$A,"="&amp;вариация!C$2)</f>
        <v>1</v>
      </c>
      <c r="D314">
        <f>SUMIFS('data (1)'!$M:$M,'data (1)'!$J:$J,"="&amp;$A314,'data (1)'!$A:$A,"="&amp;вариация!D$2)</f>
        <v>0</v>
      </c>
      <c r="E314">
        <f>SUMIFS('data (1)'!$M:$M,'data (1)'!$J:$J,"="&amp;$A314,'data (1)'!$A:$A,"="&amp;вариация!E$2)</f>
        <v>0</v>
      </c>
      <c r="F314">
        <f>SUMIFS('data (1)'!$M:$M,'data (1)'!$J:$J,"="&amp;$A314,'data (1)'!$A:$A,"="&amp;вариация!F$2)</f>
        <v>0</v>
      </c>
      <c r="G314">
        <f>SUMIFS('data (1)'!$M:$M,'data (1)'!$J:$J,"="&amp;$A314,'data (1)'!$A:$A,"="&amp;вариация!G$2)</f>
        <v>0</v>
      </c>
      <c r="H314" t="str">
        <f t="shared" si="9"/>
        <v>No</v>
      </c>
    </row>
    <row r="315" spans="1:8" x14ac:dyDescent="0.25">
      <c r="A315" s="7" t="s">
        <v>439</v>
      </c>
      <c r="B315" s="25">
        <f t="shared" si="8"/>
        <v>2.2360679774997894</v>
      </c>
      <c r="C315">
        <f>SUMIFS('data (1)'!$M:$M,'data (1)'!$J:$J,"="&amp;$A315,'data (1)'!$A:$A,"="&amp;вариация!C$2)</f>
        <v>1</v>
      </c>
      <c r="D315">
        <f>SUMIFS('data (1)'!$M:$M,'data (1)'!$J:$J,"="&amp;$A315,'data (1)'!$A:$A,"="&amp;вариация!D$2)</f>
        <v>0</v>
      </c>
      <c r="E315">
        <f>SUMIFS('data (1)'!$M:$M,'data (1)'!$J:$J,"="&amp;$A315,'data (1)'!$A:$A,"="&amp;вариация!E$2)</f>
        <v>0</v>
      </c>
      <c r="F315">
        <f>SUMIFS('data (1)'!$M:$M,'data (1)'!$J:$J,"="&amp;$A315,'data (1)'!$A:$A,"="&amp;вариация!F$2)</f>
        <v>0</v>
      </c>
      <c r="G315">
        <f>SUMIFS('data (1)'!$M:$M,'data (1)'!$J:$J,"="&amp;$A315,'data (1)'!$A:$A,"="&amp;вариация!G$2)</f>
        <v>0</v>
      </c>
      <c r="H315" t="str">
        <f t="shared" si="9"/>
        <v>No</v>
      </c>
    </row>
    <row r="316" spans="1:8" x14ac:dyDescent="0.25">
      <c r="A316" s="7" t="s">
        <v>411</v>
      </c>
      <c r="B316" s="25">
        <f t="shared" si="8"/>
        <v>0.69721668877839638</v>
      </c>
      <c r="C316">
        <f>SUMIFS('data (1)'!$M:$M,'data (1)'!$J:$J,"="&amp;$A316,'data (1)'!$A:$A,"="&amp;вариация!C$2)</f>
        <v>1</v>
      </c>
      <c r="D316">
        <f>SUMIFS('data (1)'!$M:$M,'data (1)'!$J:$J,"="&amp;$A316,'data (1)'!$A:$A,"="&amp;вариация!D$2)</f>
        <v>0</v>
      </c>
      <c r="E316">
        <f>SUMIFS('data (1)'!$M:$M,'data (1)'!$J:$J,"="&amp;$A316,'data (1)'!$A:$A,"="&amp;вариация!E$2)</f>
        <v>2</v>
      </c>
      <c r="F316">
        <f>SUMIFS('data (1)'!$M:$M,'data (1)'!$J:$J,"="&amp;$A316,'data (1)'!$A:$A,"="&amp;вариация!F$2)</f>
        <v>1</v>
      </c>
      <c r="G316">
        <f>SUMIFS('data (1)'!$M:$M,'data (1)'!$J:$J,"="&amp;$A316,'data (1)'!$A:$A,"="&amp;вариация!G$2)</f>
        <v>2</v>
      </c>
      <c r="H316" t="str">
        <f t="shared" si="9"/>
        <v>Yes</v>
      </c>
    </row>
    <row r="317" spans="1:8" x14ac:dyDescent="0.25">
      <c r="A317" s="7" t="s">
        <v>1158</v>
      </c>
      <c r="B317" s="25">
        <f t="shared" si="8"/>
        <v>2.2360679774997894</v>
      </c>
      <c r="C317">
        <f>SUMIFS('data (1)'!$M:$M,'data (1)'!$J:$J,"="&amp;$A317,'data (1)'!$A:$A,"="&amp;вариация!C$2)</f>
        <v>0</v>
      </c>
      <c r="D317">
        <f>SUMIFS('data (1)'!$M:$M,'data (1)'!$J:$J,"="&amp;$A317,'data (1)'!$A:$A,"="&amp;вариация!D$2)</f>
        <v>0</v>
      </c>
      <c r="E317">
        <f>SUMIFS('data (1)'!$M:$M,'data (1)'!$J:$J,"="&amp;$A317,'data (1)'!$A:$A,"="&amp;вариация!E$2)</f>
        <v>0</v>
      </c>
      <c r="F317">
        <f>SUMIFS('data (1)'!$M:$M,'data (1)'!$J:$J,"="&amp;$A317,'data (1)'!$A:$A,"="&amp;вариация!F$2)</f>
        <v>0</v>
      </c>
      <c r="G317">
        <f>SUMIFS('data (1)'!$M:$M,'data (1)'!$J:$J,"="&amp;$A317,'data (1)'!$A:$A,"="&amp;вариация!G$2)</f>
        <v>1</v>
      </c>
      <c r="H317" t="str">
        <f t="shared" si="9"/>
        <v>No</v>
      </c>
    </row>
    <row r="318" spans="1:8" x14ac:dyDescent="0.25">
      <c r="A318" s="7" t="s">
        <v>1157</v>
      </c>
      <c r="B318" s="25">
        <f t="shared" si="8"/>
        <v>2.2360679774997894</v>
      </c>
      <c r="C318">
        <f>SUMIFS('data (1)'!$M:$M,'data (1)'!$J:$J,"="&amp;$A318,'data (1)'!$A:$A,"="&amp;вариация!C$2)</f>
        <v>0</v>
      </c>
      <c r="D318">
        <f>SUMIFS('data (1)'!$M:$M,'data (1)'!$J:$J,"="&amp;$A318,'data (1)'!$A:$A,"="&amp;вариация!D$2)</f>
        <v>0</v>
      </c>
      <c r="E318">
        <f>SUMIFS('data (1)'!$M:$M,'data (1)'!$J:$J,"="&amp;$A318,'data (1)'!$A:$A,"="&amp;вариация!E$2)</f>
        <v>0</v>
      </c>
      <c r="F318">
        <f>SUMIFS('data (1)'!$M:$M,'data (1)'!$J:$J,"="&amp;$A318,'data (1)'!$A:$A,"="&amp;вариация!F$2)</f>
        <v>0</v>
      </c>
      <c r="G318">
        <f>SUMIFS('data (1)'!$M:$M,'data (1)'!$J:$J,"="&amp;$A318,'data (1)'!$A:$A,"="&amp;вариация!G$2)</f>
        <v>1</v>
      </c>
      <c r="H318" t="str">
        <f t="shared" si="9"/>
        <v>No</v>
      </c>
    </row>
    <row r="319" spans="1:8" x14ac:dyDescent="0.25">
      <c r="A319" s="7" t="s">
        <v>772</v>
      </c>
      <c r="B319" s="25">
        <f t="shared" si="8"/>
        <v>2.2360679774997894</v>
      </c>
      <c r="C319">
        <f>SUMIFS('data (1)'!$M:$M,'data (1)'!$J:$J,"="&amp;$A319,'data (1)'!$A:$A,"="&amp;вариация!C$2)</f>
        <v>0</v>
      </c>
      <c r="D319">
        <f>SUMIFS('data (1)'!$M:$M,'data (1)'!$J:$J,"="&amp;$A319,'data (1)'!$A:$A,"="&amp;вариация!D$2)</f>
        <v>0</v>
      </c>
      <c r="E319">
        <f>SUMIFS('data (1)'!$M:$M,'data (1)'!$J:$J,"="&amp;$A319,'data (1)'!$A:$A,"="&amp;вариация!E$2)</f>
        <v>1</v>
      </c>
      <c r="F319">
        <f>SUMIFS('data (1)'!$M:$M,'data (1)'!$J:$J,"="&amp;$A319,'data (1)'!$A:$A,"="&amp;вариация!F$2)</f>
        <v>0</v>
      </c>
      <c r="G319">
        <f>SUMIFS('data (1)'!$M:$M,'data (1)'!$J:$J,"="&amp;$A319,'data (1)'!$A:$A,"="&amp;вариация!G$2)</f>
        <v>0</v>
      </c>
      <c r="H319" t="str">
        <f t="shared" si="9"/>
        <v>No</v>
      </c>
    </row>
    <row r="320" spans="1:8" x14ac:dyDescent="0.25">
      <c r="A320" s="7" t="s">
        <v>843</v>
      </c>
      <c r="B320" s="25">
        <f t="shared" si="8"/>
        <v>2.2360679774997894</v>
      </c>
      <c r="C320">
        <f>SUMIFS('data (1)'!$M:$M,'data (1)'!$J:$J,"="&amp;$A320,'data (1)'!$A:$A,"="&amp;вариация!C$2)</f>
        <v>0</v>
      </c>
      <c r="D320">
        <f>SUMIFS('data (1)'!$M:$M,'data (1)'!$J:$J,"="&amp;$A320,'data (1)'!$A:$A,"="&amp;вариация!D$2)</f>
        <v>0</v>
      </c>
      <c r="E320">
        <f>SUMIFS('data (1)'!$M:$M,'data (1)'!$J:$J,"="&amp;$A320,'data (1)'!$A:$A,"="&amp;вариация!E$2)</f>
        <v>1</v>
      </c>
      <c r="F320">
        <f>SUMIFS('data (1)'!$M:$M,'data (1)'!$J:$J,"="&amp;$A320,'data (1)'!$A:$A,"="&amp;вариация!F$2)</f>
        <v>0</v>
      </c>
      <c r="G320">
        <f>SUMIFS('data (1)'!$M:$M,'data (1)'!$J:$J,"="&amp;$A320,'data (1)'!$A:$A,"="&amp;вариация!G$2)</f>
        <v>0</v>
      </c>
      <c r="H320" t="str">
        <f t="shared" si="9"/>
        <v>No</v>
      </c>
    </row>
    <row r="321" spans="1:8" x14ac:dyDescent="0.25">
      <c r="A321" s="7" t="s">
        <v>692</v>
      </c>
      <c r="B321" s="25">
        <f t="shared" si="8"/>
        <v>2.2360679774997894</v>
      </c>
      <c r="C321">
        <f>SUMIFS('data (1)'!$M:$M,'data (1)'!$J:$J,"="&amp;$A321,'data (1)'!$A:$A,"="&amp;вариация!C$2)</f>
        <v>0</v>
      </c>
      <c r="D321">
        <f>SUMIFS('data (1)'!$M:$M,'data (1)'!$J:$J,"="&amp;$A321,'data (1)'!$A:$A,"="&amp;вариация!D$2)</f>
        <v>2</v>
      </c>
      <c r="E321">
        <f>SUMIFS('data (1)'!$M:$M,'data (1)'!$J:$J,"="&amp;$A321,'data (1)'!$A:$A,"="&amp;вариация!E$2)</f>
        <v>0</v>
      </c>
      <c r="F321">
        <f>SUMIFS('data (1)'!$M:$M,'data (1)'!$J:$J,"="&amp;$A321,'data (1)'!$A:$A,"="&amp;вариация!F$2)</f>
        <v>0</v>
      </c>
      <c r="G321">
        <f>SUMIFS('data (1)'!$M:$M,'data (1)'!$J:$J,"="&amp;$A321,'data (1)'!$A:$A,"="&amp;вариация!G$2)</f>
        <v>0</v>
      </c>
      <c r="H321" t="str">
        <f t="shared" si="9"/>
        <v>No</v>
      </c>
    </row>
    <row r="322" spans="1:8" x14ac:dyDescent="0.25">
      <c r="A322" s="7" t="s">
        <v>187</v>
      </c>
      <c r="B322" s="25">
        <f t="shared" si="8"/>
        <v>2.2360679774997894</v>
      </c>
      <c r="C322">
        <f>SUMIFS('data (1)'!$M:$M,'data (1)'!$J:$J,"="&amp;$A322,'data (1)'!$A:$A,"="&amp;вариация!C$2)</f>
        <v>1</v>
      </c>
      <c r="D322">
        <f>SUMIFS('data (1)'!$M:$M,'data (1)'!$J:$J,"="&amp;$A322,'data (1)'!$A:$A,"="&amp;вариация!D$2)</f>
        <v>0</v>
      </c>
      <c r="E322">
        <f>SUMIFS('data (1)'!$M:$M,'data (1)'!$J:$J,"="&amp;$A322,'data (1)'!$A:$A,"="&amp;вариация!E$2)</f>
        <v>0</v>
      </c>
      <c r="F322">
        <f>SUMIFS('data (1)'!$M:$M,'data (1)'!$J:$J,"="&amp;$A322,'data (1)'!$A:$A,"="&amp;вариация!F$2)</f>
        <v>0</v>
      </c>
      <c r="G322">
        <f>SUMIFS('data (1)'!$M:$M,'data (1)'!$J:$J,"="&amp;$A322,'data (1)'!$A:$A,"="&amp;вариация!G$2)</f>
        <v>0</v>
      </c>
      <c r="H322" t="str">
        <f t="shared" si="9"/>
        <v>No</v>
      </c>
    </row>
    <row r="323" spans="1:8" x14ac:dyDescent="0.25">
      <c r="A323" s="7" t="s">
        <v>36</v>
      </c>
      <c r="B323" s="25">
        <f t="shared" si="8"/>
        <v>0.55901699437494734</v>
      </c>
      <c r="C323">
        <f>SUMIFS('data (1)'!$M:$M,'data (1)'!$J:$J,"="&amp;$A323,'data (1)'!$A:$A,"="&amp;вариация!C$2)</f>
        <v>1</v>
      </c>
      <c r="D323">
        <f>SUMIFS('data (1)'!$M:$M,'data (1)'!$J:$J,"="&amp;$A323,'data (1)'!$A:$A,"="&amp;вариация!D$2)</f>
        <v>1</v>
      </c>
      <c r="E323">
        <f>SUMIFS('data (1)'!$M:$M,'data (1)'!$J:$J,"="&amp;$A323,'data (1)'!$A:$A,"="&amp;вариация!E$2)</f>
        <v>0</v>
      </c>
      <c r="F323">
        <f>SUMIFS('data (1)'!$M:$M,'data (1)'!$J:$J,"="&amp;$A323,'data (1)'!$A:$A,"="&amp;вариация!F$2)</f>
        <v>1</v>
      </c>
      <c r="G323">
        <f>SUMIFS('data (1)'!$M:$M,'data (1)'!$J:$J,"="&amp;$A323,'data (1)'!$A:$A,"="&amp;вариация!G$2)</f>
        <v>1</v>
      </c>
      <c r="H323" t="str">
        <f t="shared" si="9"/>
        <v>Yes</v>
      </c>
    </row>
    <row r="324" spans="1:8" x14ac:dyDescent="0.25">
      <c r="A324" s="7" t="s">
        <v>53</v>
      </c>
      <c r="B324" s="25">
        <f t="shared" ref="B324:B387" si="10">_xlfn.STDEV.S(C324:G324)/AVERAGE(C324:G324)</f>
        <v>2.2360679774997894</v>
      </c>
      <c r="C324">
        <f>SUMIFS('data (1)'!$M:$M,'data (1)'!$J:$J,"="&amp;$A324,'data (1)'!$A:$A,"="&amp;вариация!C$2)</f>
        <v>1</v>
      </c>
      <c r="D324">
        <f>SUMIFS('data (1)'!$M:$M,'data (1)'!$J:$J,"="&amp;$A324,'data (1)'!$A:$A,"="&amp;вариация!D$2)</f>
        <v>0</v>
      </c>
      <c r="E324">
        <f>SUMIFS('data (1)'!$M:$M,'data (1)'!$J:$J,"="&amp;$A324,'data (1)'!$A:$A,"="&amp;вариация!E$2)</f>
        <v>0</v>
      </c>
      <c r="F324">
        <f>SUMIFS('data (1)'!$M:$M,'data (1)'!$J:$J,"="&amp;$A324,'data (1)'!$A:$A,"="&amp;вариация!F$2)</f>
        <v>0</v>
      </c>
      <c r="G324">
        <f>SUMIFS('data (1)'!$M:$M,'data (1)'!$J:$J,"="&amp;$A324,'data (1)'!$A:$A,"="&amp;вариация!G$2)</f>
        <v>0</v>
      </c>
      <c r="H324" t="str">
        <f t="shared" ref="H324:H387" si="11">IF(COUNTIF(C324:G324,"&gt;0") &gt;=3, "Yes", "No")</f>
        <v>No</v>
      </c>
    </row>
    <row r="325" spans="1:8" x14ac:dyDescent="0.25">
      <c r="A325" s="7" t="s">
        <v>38</v>
      </c>
      <c r="B325" s="25">
        <f t="shared" si="10"/>
        <v>2.2360679774997894</v>
      </c>
      <c r="C325">
        <f>SUMIFS('data (1)'!$M:$M,'data (1)'!$J:$J,"="&amp;$A325,'data (1)'!$A:$A,"="&amp;вариация!C$2)</f>
        <v>1</v>
      </c>
      <c r="D325">
        <f>SUMIFS('data (1)'!$M:$M,'data (1)'!$J:$J,"="&amp;$A325,'data (1)'!$A:$A,"="&amp;вариация!D$2)</f>
        <v>0</v>
      </c>
      <c r="E325">
        <f>SUMIFS('data (1)'!$M:$M,'data (1)'!$J:$J,"="&amp;$A325,'data (1)'!$A:$A,"="&amp;вариация!E$2)</f>
        <v>0</v>
      </c>
      <c r="F325">
        <f>SUMIFS('data (1)'!$M:$M,'data (1)'!$J:$J,"="&amp;$A325,'data (1)'!$A:$A,"="&amp;вариация!F$2)</f>
        <v>0</v>
      </c>
      <c r="G325">
        <f>SUMIFS('data (1)'!$M:$M,'data (1)'!$J:$J,"="&amp;$A325,'data (1)'!$A:$A,"="&amp;вариация!G$2)</f>
        <v>0</v>
      </c>
      <c r="H325" t="str">
        <f t="shared" si="11"/>
        <v>No</v>
      </c>
    </row>
    <row r="326" spans="1:8" x14ac:dyDescent="0.25">
      <c r="A326" s="7" t="s">
        <v>1198</v>
      </c>
      <c r="B326" s="25">
        <f t="shared" si="10"/>
        <v>2.2360679774997894</v>
      </c>
      <c r="C326">
        <f>SUMIFS('data (1)'!$M:$M,'data (1)'!$J:$J,"="&amp;$A326,'data (1)'!$A:$A,"="&amp;вариация!C$2)</f>
        <v>0</v>
      </c>
      <c r="D326">
        <f>SUMIFS('data (1)'!$M:$M,'data (1)'!$J:$J,"="&amp;$A326,'data (1)'!$A:$A,"="&amp;вариация!D$2)</f>
        <v>0</v>
      </c>
      <c r="E326">
        <f>SUMIFS('data (1)'!$M:$M,'data (1)'!$J:$J,"="&amp;$A326,'data (1)'!$A:$A,"="&amp;вариация!E$2)</f>
        <v>0</v>
      </c>
      <c r="F326">
        <f>SUMIFS('data (1)'!$M:$M,'data (1)'!$J:$J,"="&amp;$A326,'data (1)'!$A:$A,"="&amp;вариация!F$2)</f>
        <v>0</v>
      </c>
      <c r="G326">
        <f>SUMIFS('data (1)'!$M:$M,'data (1)'!$J:$J,"="&amp;$A326,'data (1)'!$A:$A,"="&amp;вариация!G$2)</f>
        <v>1</v>
      </c>
      <c r="H326" t="str">
        <f t="shared" si="11"/>
        <v>No</v>
      </c>
    </row>
    <row r="327" spans="1:8" x14ac:dyDescent="0.25">
      <c r="A327" s="7" t="s">
        <v>1149</v>
      </c>
      <c r="B327" s="25">
        <f t="shared" si="10"/>
        <v>2.2360679774997894</v>
      </c>
      <c r="C327">
        <f>SUMIFS('data (1)'!$M:$M,'data (1)'!$J:$J,"="&amp;$A327,'data (1)'!$A:$A,"="&amp;вариация!C$2)</f>
        <v>0</v>
      </c>
      <c r="D327">
        <f>SUMIFS('data (1)'!$M:$M,'data (1)'!$J:$J,"="&amp;$A327,'data (1)'!$A:$A,"="&amp;вариация!D$2)</f>
        <v>0</v>
      </c>
      <c r="E327">
        <f>SUMIFS('data (1)'!$M:$M,'data (1)'!$J:$J,"="&amp;$A327,'data (1)'!$A:$A,"="&amp;вариация!E$2)</f>
        <v>0</v>
      </c>
      <c r="F327">
        <f>SUMIFS('data (1)'!$M:$M,'data (1)'!$J:$J,"="&amp;$A327,'data (1)'!$A:$A,"="&amp;вариация!F$2)</f>
        <v>0</v>
      </c>
      <c r="G327">
        <f>SUMIFS('data (1)'!$M:$M,'data (1)'!$J:$J,"="&amp;$A327,'data (1)'!$A:$A,"="&amp;вариация!G$2)</f>
        <v>1</v>
      </c>
      <c r="H327" t="str">
        <f t="shared" si="11"/>
        <v>No</v>
      </c>
    </row>
    <row r="328" spans="1:8" x14ac:dyDescent="0.25">
      <c r="A328" s="7" t="s">
        <v>283</v>
      </c>
      <c r="B328" s="25">
        <f t="shared" si="10"/>
        <v>2.2360679774997894</v>
      </c>
      <c r="C328">
        <f>SUMIFS('data (1)'!$M:$M,'data (1)'!$J:$J,"="&amp;$A328,'data (1)'!$A:$A,"="&amp;вариация!C$2)</f>
        <v>1</v>
      </c>
      <c r="D328">
        <f>SUMIFS('data (1)'!$M:$M,'data (1)'!$J:$J,"="&amp;$A328,'data (1)'!$A:$A,"="&amp;вариация!D$2)</f>
        <v>0</v>
      </c>
      <c r="E328">
        <f>SUMIFS('data (1)'!$M:$M,'data (1)'!$J:$J,"="&amp;$A328,'data (1)'!$A:$A,"="&amp;вариация!E$2)</f>
        <v>0</v>
      </c>
      <c r="F328">
        <f>SUMIFS('data (1)'!$M:$M,'data (1)'!$J:$J,"="&amp;$A328,'data (1)'!$A:$A,"="&amp;вариация!F$2)</f>
        <v>0</v>
      </c>
      <c r="G328">
        <f>SUMIFS('data (1)'!$M:$M,'data (1)'!$J:$J,"="&amp;$A328,'data (1)'!$A:$A,"="&amp;вариация!G$2)</f>
        <v>0</v>
      </c>
      <c r="H328" t="str">
        <f t="shared" si="11"/>
        <v>No</v>
      </c>
    </row>
    <row r="329" spans="1:8" x14ac:dyDescent="0.25">
      <c r="A329" s="7" t="s">
        <v>337</v>
      </c>
      <c r="B329" s="25">
        <f t="shared" si="10"/>
        <v>2.2360679774997898</v>
      </c>
      <c r="C329">
        <f>SUMIFS('data (1)'!$M:$M,'data (1)'!$J:$J,"="&amp;$A329,'data (1)'!$A:$A,"="&amp;вариация!C$2)</f>
        <v>3</v>
      </c>
      <c r="D329">
        <f>SUMIFS('data (1)'!$M:$M,'data (1)'!$J:$J,"="&amp;$A329,'data (1)'!$A:$A,"="&amp;вариация!D$2)</f>
        <v>0</v>
      </c>
      <c r="E329">
        <f>SUMIFS('data (1)'!$M:$M,'data (1)'!$J:$J,"="&amp;$A329,'data (1)'!$A:$A,"="&amp;вариация!E$2)</f>
        <v>0</v>
      </c>
      <c r="F329">
        <f>SUMIFS('data (1)'!$M:$M,'data (1)'!$J:$J,"="&amp;$A329,'data (1)'!$A:$A,"="&amp;вариация!F$2)</f>
        <v>0</v>
      </c>
      <c r="G329">
        <f>SUMIFS('data (1)'!$M:$M,'data (1)'!$J:$J,"="&amp;$A329,'data (1)'!$A:$A,"="&amp;вариация!G$2)</f>
        <v>0</v>
      </c>
      <c r="H329" t="str">
        <f t="shared" si="11"/>
        <v>No</v>
      </c>
    </row>
    <row r="330" spans="1:8" x14ac:dyDescent="0.25">
      <c r="A330" s="7" t="s">
        <v>936</v>
      </c>
      <c r="B330" s="25">
        <f t="shared" si="10"/>
        <v>2.2360679774997894</v>
      </c>
      <c r="C330">
        <f>SUMIFS('data (1)'!$M:$M,'data (1)'!$J:$J,"="&amp;$A330,'data (1)'!$A:$A,"="&amp;вариация!C$2)</f>
        <v>0</v>
      </c>
      <c r="D330">
        <f>SUMIFS('data (1)'!$M:$M,'data (1)'!$J:$J,"="&amp;$A330,'data (1)'!$A:$A,"="&amp;вариация!D$2)</f>
        <v>0</v>
      </c>
      <c r="E330">
        <f>SUMIFS('data (1)'!$M:$M,'data (1)'!$J:$J,"="&amp;$A330,'data (1)'!$A:$A,"="&amp;вариация!E$2)</f>
        <v>0</v>
      </c>
      <c r="F330">
        <f>SUMIFS('data (1)'!$M:$M,'data (1)'!$J:$J,"="&amp;$A330,'data (1)'!$A:$A,"="&amp;вариация!F$2)</f>
        <v>1</v>
      </c>
      <c r="G330">
        <f>SUMIFS('data (1)'!$M:$M,'data (1)'!$J:$J,"="&amp;$A330,'data (1)'!$A:$A,"="&amp;вариация!G$2)</f>
        <v>0</v>
      </c>
      <c r="H330" t="str">
        <f t="shared" si="11"/>
        <v>No</v>
      </c>
    </row>
    <row r="331" spans="1:8" x14ac:dyDescent="0.25">
      <c r="A331" s="7" t="s">
        <v>1213</v>
      </c>
      <c r="B331" s="25">
        <f t="shared" si="10"/>
        <v>2.2360679774997894</v>
      </c>
      <c r="C331">
        <f>SUMIFS('data (1)'!$M:$M,'data (1)'!$J:$J,"="&amp;$A331,'data (1)'!$A:$A,"="&amp;вариация!C$2)</f>
        <v>0</v>
      </c>
      <c r="D331">
        <f>SUMIFS('data (1)'!$M:$M,'data (1)'!$J:$J,"="&amp;$A331,'data (1)'!$A:$A,"="&amp;вариация!D$2)</f>
        <v>0</v>
      </c>
      <c r="E331">
        <f>SUMIFS('data (1)'!$M:$M,'data (1)'!$J:$J,"="&amp;$A331,'data (1)'!$A:$A,"="&amp;вариация!E$2)</f>
        <v>0</v>
      </c>
      <c r="F331">
        <f>SUMIFS('data (1)'!$M:$M,'data (1)'!$J:$J,"="&amp;$A331,'data (1)'!$A:$A,"="&amp;вариация!F$2)</f>
        <v>0</v>
      </c>
      <c r="G331">
        <f>SUMIFS('data (1)'!$M:$M,'data (1)'!$J:$J,"="&amp;$A331,'data (1)'!$A:$A,"="&amp;вариация!G$2)</f>
        <v>1</v>
      </c>
      <c r="H331" t="str">
        <f t="shared" si="11"/>
        <v>No</v>
      </c>
    </row>
    <row r="332" spans="1:8" x14ac:dyDescent="0.25">
      <c r="A332" s="7" t="s">
        <v>280</v>
      </c>
      <c r="B332" s="25">
        <f t="shared" si="10"/>
        <v>1.3693063937629151</v>
      </c>
      <c r="C332">
        <f>SUMIFS('data (1)'!$M:$M,'data (1)'!$J:$J,"="&amp;$A332,'data (1)'!$A:$A,"="&amp;вариация!C$2)</f>
        <v>1</v>
      </c>
      <c r="D332">
        <f>SUMIFS('data (1)'!$M:$M,'data (1)'!$J:$J,"="&amp;$A332,'data (1)'!$A:$A,"="&amp;вариация!D$2)</f>
        <v>0</v>
      </c>
      <c r="E332">
        <f>SUMIFS('data (1)'!$M:$M,'data (1)'!$J:$J,"="&amp;$A332,'data (1)'!$A:$A,"="&amp;вариация!E$2)</f>
        <v>0</v>
      </c>
      <c r="F332">
        <f>SUMIFS('data (1)'!$M:$M,'data (1)'!$J:$J,"="&amp;$A332,'data (1)'!$A:$A,"="&amp;вариация!F$2)</f>
        <v>1</v>
      </c>
      <c r="G332">
        <f>SUMIFS('data (1)'!$M:$M,'data (1)'!$J:$J,"="&amp;$A332,'data (1)'!$A:$A,"="&amp;вариация!G$2)</f>
        <v>0</v>
      </c>
      <c r="H332" t="str">
        <f t="shared" si="11"/>
        <v>No</v>
      </c>
    </row>
    <row r="333" spans="1:8" x14ac:dyDescent="0.25">
      <c r="A333" s="7" t="s">
        <v>196</v>
      </c>
      <c r="B333" s="25">
        <f t="shared" si="10"/>
        <v>2.2360679774997894</v>
      </c>
      <c r="C333">
        <f>SUMIFS('data (1)'!$M:$M,'data (1)'!$J:$J,"="&amp;$A333,'data (1)'!$A:$A,"="&amp;вариация!C$2)</f>
        <v>1</v>
      </c>
      <c r="D333">
        <f>SUMIFS('data (1)'!$M:$M,'data (1)'!$J:$J,"="&amp;$A333,'data (1)'!$A:$A,"="&amp;вариация!D$2)</f>
        <v>0</v>
      </c>
      <c r="E333">
        <f>SUMIFS('data (1)'!$M:$M,'data (1)'!$J:$J,"="&amp;$A333,'data (1)'!$A:$A,"="&amp;вариация!E$2)</f>
        <v>0</v>
      </c>
      <c r="F333">
        <f>SUMIFS('data (1)'!$M:$M,'data (1)'!$J:$J,"="&amp;$A333,'data (1)'!$A:$A,"="&amp;вариация!F$2)</f>
        <v>0</v>
      </c>
      <c r="G333">
        <f>SUMIFS('data (1)'!$M:$M,'data (1)'!$J:$J,"="&amp;$A333,'data (1)'!$A:$A,"="&amp;вариация!G$2)</f>
        <v>0</v>
      </c>
      <c r="H333" t="str">
        <f t="shared" si="11"/>
        <v>No</v>
      </c>
    </row>
    <row r="334" spans="1:8" x14ac:dyDescent="0.25">
      <c r="A334" s="7" t="s">
        <v>924</v>
      </c>
      <c r="B334" s="25">
        <f t="shared" si="10"/>
        <v>2.2360679774997894</v>
      </c>
      <c r="C334">
        <f>SUMIFS('data (1)'!$M:$M,'data (1)'!$J:$J,"="&amp;$A334,'data (1)'!$A:$A,"="&amp;вариация!C$2)</f>
        <v>0</v>
      </c>
      <c r="D334">
        <f>SUMIFS('data (1)'!$M:$M,'data (1)'!$J:$J,"="&amp;$A334,'data (1)'!$A:$A,"="&amp;вариация!D$2)</f>
        <v>0</v>
      </c>
      <c r="E334">
        <f>SUMIFS('data (1)'!$M:$M,'data (1)'!$J:$J,"="&amp;$A334,'data (1)'!$A:$A,"="&amp;вариация!E$2)</f>
        <v>1</v>
      </c>
      <c r="F334">
        <f>SUMIFS('data (1)'!$M:$M,'data (1)'!$J:$J,"="&amp;$A334,'data (1)'!$A:$A,"="&amp;вариация!F$2)</f>
        <v>0</v>
      </c>
      <c r="G334">
        <f>SUMIFS('data (1)'!$M:$M,'data (1)'!$J:$J,"="&amp;$A334,'data (1)'!$A:$A,"="&amp;вариация!G$2)</f>
        <v>0</v>
      </c>
      <c r="H334" t="str">
        <f t="shared" si="11"/>
        <v>No</v>
      </c>
    </row>
    <row r="335" spans="1:8" x14ac:dyDescent="0.25">
      <c r="A335" s="7" t="s">
        <v>557</v>
      </c>
      <c r="B335" s="25">
        <f t="shared" si="10"/>
        <v>2.2360679774997894</v>
      </c>
      <c r="C335">
        <f>SUMIFS('data (1)'!$M:$M,'data (1)'!$J:$J,"="&amp;$A335,'data (1)'!$A:$A,"="&amp;вариация!C$2)</f>
        <v>0</v>
      </c>
      <c r="D335">
        <f>SUMIFS('data (1)'!$M:$M,'data (1)'!$J:$J,"="&amp;$A335,'data (1)'!$A:$A,"="&amp;вариация!D$2)</f>
        <v>1</v>
      </c>
      <c r="E335">
        <f>SUMIFS('data (1)'!$M:$M,'data (1)'!$J:$J,"="&amp;$A335,'data (1)'!$A:$A,"="&amp;вариация!E$2)</f>
        <v>0</v>
      </c>
      <c r="F335">
        <f>SUMIFS('data (1)'!$M:$M,'data (1)'!$J:$J,"="&amp;$A335,'data (1)'!$A:$A,"="&amp;вариация!F$2)</f>
        <v>0</v>
      </c>
      <c r="G335">
        <f>SUMIFS('data (1)'!$M:$M,'data (1)'!$J:$J,"="&amp;$A335,'data (1)'!$A:$A,"="&amp;вариация!G$2)</f>
        <v>0</v>
      </c>
      <c r="H335" t="str">
        <f t="shared" si="11"/>
        <v>No</v>
      </c>
    </row>
    <row r="336" spans="1:8" x14ac:dyDescent="0.25">
      <c r="A336" s="7" t="s">
        <v>1156</v>
      </c>
      <c r="B336" s="25">
        <f t="shared" si="10"/>
        <v>2.2360679774997894</v>
      </c>
      <c r="C336">
        <f>SUMIFS('data (1)'!$M:$M,'data (1)'!$J:$J,"="&amp;$A336,'data (1)'!$A:$A,"="&amp;вариация!C$2)</f>
        <v>0</v>
      </c>
      <c r="D336">
        <f>SUMIFS('data (1)'!$M:$M,'data (1)'!$J:$J,"="&amp;$A336,'data (1)'!$A:$A,"="&amp;вариация!D$2)</f>
        <v>0</v>
      </c>
      <c r="E336">
        <f>SUMIFS('data (1)'!$M:$M,'data (1)'!$J:$J,"="&amp;$A336,'data (1)'!$A:$A,"="&amp;вариация!E$2)</f>
        <v>0</v>
      </c>
      <c r="F336">
        <f>SUMIFS('data (1)'!$M:$M,'data (1)'!$J:$J,"="&amp;$A336,'data (1)'!$A:$A,"="&amp;вариация!F$2)</f>
        <v>0</v>
      </c>
      <c r="G336">
        <f>SUMIFS('data (1)'!$M:$M,'data (1)'!$J:$J,"="&amp;$A336,'data (1)'!$A:$A,"="&amp;вариация!G$2)</f>
        <v>1</v>
      </c>
      <c r="H336" t="str">
        <f t="shared" si="11"/>
        <v>No</v>
      </c>
    </row>
    <row r="337" spans="1:8" x14ac:dyDescent="0.25">
      <c r="A337" s="7" t="s">
        <v>365</v>
      </c>
      <c r="B337" s="25">
        <f t="shared" si="10"/>
        <v>2.2360679774997894</v>
      </c>
      <c r="C337">
        <f>SUMIFS('data (1)'!$M:$M,'data (1)'!$J:$J,"="&amp;$A337,'data (1)'!$A:$A,"="&amp;вариация!C$2)</f>
        <v>1</v>
      </c>
      <c r="D337">
        <f>SUMIFS('data (1)'!$M:$M,'data (1)'!$J:$J,"="&amp;$A337,'data (1)'!$A:$A,"="&amp;вариация!D$2)</f>
        <v>0</v>
      </c>
      <c r="E337">
        <f>SUMIFS('data (1)'!$M:$M,'data (1)'!$J:$J,"="&amp;$A337,'data (1)'!$A:$A,"="&amp;вариация!E$2)</f>
        <v>0</v>
      </c>
      <c r="F337">
        <f>SUMIFS('data (1)'!$M:$M,'data (1)'!$J:$J,"="&amp;$A337,'data (1)'!$A:$A,"="&amp;вариация!F$2)</f>
        <v>0</v>
      </c>
      <c r="G337">
        <f>SUMIFS('data (1)'!$M:$M,'data (1)'!$J:$J,"="&amp;$A337,'data (1)'!$A:$A,"="&amp;вариация!G$2)</f>
        <v>0</v>
      </c>
      <c r="H337" t="str">
        <f t="shared" si="11"/>
        <v>No</v>
      </c>
    </row>
    <row r="338" spans="1:8" x14ac:dyDescent="0.25">
      <c r="A338" s="7" t="s">
        <v>156</v>
      </c>
      <c r="B338" s="25">
        <f t="shared" si="10"/>
        <v>0.99380798999990649</v>
      </c>
      <c r="C338">
        <f>SUMIFS('data (1)'!$M:$M,'data (1)'!$J:$J,"="&amp;$A338,'data (1)'!$A:$A,"="&amp;вариация!C$2)</f>
        <v>2</v>
      </c>
      <c r="D338">
        <f>SUMIFS('data (1)'!$M:$M,'data (1)'!$J:$J,"="&amp;$A338,'data (1)'!$A:$A,"="&amp;вариация!D$2)</f>
        <v>0</v>
      </c>
      <c r="E338">
        <f>SUMIFS('data (1)'!$M:$M,'data (1)'!$J:$J,"="&amp;$A338,'data (1)'!$A:$A,"="&amp;вариация!E$2)</f>
        <v>3</v>
      </c>
      <c r="F338">
        <f>SUMIFS('data (1)'!$M:$M,'data (1)'!$J:$J,"="&amp;$A338,'data (1)'!$A:$A,"="&amp;вариация!F$2)</f>
        <v>4</v>
      </c>
      <c r="G338">
        <f>SUMIFS('data (1)'!$M:$M,'data (1)'!$J:$J,"="&amp;$A338,'data (1)'!$A:$A,"="&amp;вариация!G$2)</f>
        <v>0</v>
      </c>
      <c r="H338" t="str">
        <f t="shared" si="11"/>
        <v>Yes</v>
      </c>
    </row>
    <row r="339" spans="1:8" x14ac:dyDescent="0.25">
      <c r="A339" s="7" t="s">
        <v>225</v>
      </c>
      <c r="B339" s="25">
        <f t="shared" si="10"/>
        <v>1.036523113726489</v>
      </c>
      <c r="C339">
        <f>SUMIFS('data (1)'!$M:$M,'data (1)'!$J:$J,"="&amp;$A339,'data (1)'!$A:$A,"="&amp;вариация!C$2)</f>
        <v>1</v>
      </c>
      <c r="D339">
        <f>SUMIFS('data (1)'!$M:$M,'data (1)'!$J:$J,"="&amp;$A339,'data (1)'!$A:$A,"="&amp;вариация!D$2)</f>
        <v>2</v>
      </c>
      <c r="E339">
        <f>SUMIFS('data (1)'!$M:$M,'data (1)'!$J:$J,"="&amp;$A339,'data (1)'!$A:$A,"="&amp;вариация!E$2)</f>
        <v>2</v>
      </c>
      <c r="F339">
        <f>SUMIFS('data (1)'!$M:$M,'data (1)'!$J:$J,"="&amp;$A339,'data (1)'!$A:$A,"="&amp;вариация!F$2)</f>
        <v>6</v>
      </c>
      <c r="G339">
        <f>SUMIFS('data (1)'!$M:$M,'data (1)'!$J:$J,"="&amp;$A339,'data (1)'!$A:$A,"="&amp;вариация!G$2)</f>
        <v>0</v>
      </c>
      <c r="H339" t="str">
        <f t="shared" si="11"/>
        <v>Yes</v>
      </c>
    </row>
    <row r="340" spans="1:8" x14ac:dyDescent="0.25">
      <c r="A340" s="7" t="s">
        <v>440</v>
      </c>
      <c r="B340" s="25">
        <f t="shared" si="10"/>
        <v>1.3693063937629151</v>
      </c>
      <c r="C340">
        <f>SUMIFS('data (1)'!$M:$M,'data (1)'!$J:$J,"="&amp;$A340,'data (1)'!$A:$A,"="&amp;вариация!C$2)</f>
        <v>1</v>
      </c>
      <c r="D340">
        <f>SUMIFS('data (1)'!$M:$M,'data (1)'!$J:$J,"="&amp;$A340,'data (1)'!$A:$A,"="&amp;вариация!D$2)</f>
        <v>1</v>
      </c>
      <c r="E340">
        <f>SUMIFS('data (1)'!$M:$M,'data (1)'!$J:$J,"="&amp;$A340,'data (1)'!$A:$A,"="&amp;вариация!E$2)</f>
        <v>0</v>
      </c>
      <c r="F340">
        <f>SUMIFS('data (1)'!$M:$M,'data (1)'!$J:$J,"="&amp;$A340,'data (1)'!$A:$A,"="&amp;вариация!F$2)</f>
        <v>0</v>
      </c>
      <c r="G340">
        <f>SUMIFS('data (1)'!$M:$M,'data (1)'!$J:$J,"="&amp;$A340,'data (1)'!$A:$A,"="&amp;вариация!G$2)</f>
        <v>0</v>
      </c>
      <c r="H340" t="str">
        <f t="shared" si="11"/>
        <v>No</v>
      </c>
    </row>
    <row r="341" spans="1:8" x14ac:dyDescent="0.25">
      <c r="A341" s="7" t="s">
        <v>223</v>
      </c>
      <c r="B341" s="25">
        <f t="shared" si="10"/>
        <v>2.2360679774997898</v>
      </c>
      <c r="C341">
        <f>SUMIFS('data (1)'!$M:$M,'data (1)'!$J:$J,"="&amp;$A341,'data (1)'!$A:$A,"="&amp;вариация!C$2)</f>
        <v>3</v>
      </c>
      <c r="D341">
        <f>SUMIFS('data (1)'!$M:$M,'data (1)'!$J:$J,"="&amp;$A341,'data (1)'!$A:$A,"="&amp;вариация!D$2)</f>
        <v>0</v>
      </c>
      <c r="E341">
        <f>SUMIFS('data (1)'!$M:$M,'data (1)'!$J:$J,"="&amp;$A341,'data (1)'!$A:$A,"="&amp;вариация!E$2)</f>
        <v>0</v>
      </c>
      <c r="F341">
        <f>SUMIFS('data (1)'!$M:$M,'data (1)'!$J:$J,"="&amp;$A341,'data (1)'!$A:$A,"="&amp;вариация!F$2)</f>
        <v>0</v>
      </c>
      <c r="G341">
        <f>SUMIFS('data (1)'!$M:$M,'data (1)'!$J:$J,"="&amp;$A341,'data (1)'!$A:$A,"="&amp;вариация!G$2)</f>
        <v>0</v>
      </c>
      <c r="H341" t="str">
        <f t="shared" si="11"/>
        <v>No</v>
      </c>
    </row>
    <row r="342" spans="1:8" x14ac:dyDescent="0.25">
      <c r="A342" s="7" t="s">
        <v>663</v>
      </c>
      <c r="B342" s="25">
        <f t="shared" si="10"/>
        <v>2.2360679774997894</v>
      </c>
      <c r="C342">
        <f>SUMIFS('data (1)'!$M:$M,'data (1)'!$J:$J,"="&amp;$A342,'data (1)'!$A:$A,"="&amp;вариация!C$2)</f>
        <v>0</v>
      </c>
      <c r="D342">
        <f>SUMIFS('data (1)'!$M:$M,'data (1)'!$J:$J,"="&amp;$A342,'data (1)'!$A:$A,"="&amp;вариация!D$2)</f>
        <v>1</v>
      </c>
      <c r="E342">
        <f>SUMIFS('data (1)'!$M:$M,'data (1)'!$J:$J,"="&amp;$A342,'data (1)'!$A:$A,"="&amp;вариация!E$2)</f>
        <v>0</v>
      </c>
      <c r="F342">
        <f>SUMIFS('data (1)'!$M:$M,'data (1)'!$J:$J,"="&amp;$A342,'data (1)'!$A:$A,"="&amp;вариация!F$2)</f>
        <v>0</v>
      </c>
      <c r="G342">
        <f>SUMIFS('data (1)'!$M:$M,'data (1)'!$J:$J,"="&amp;$A342,'data (1)'!$A:$A,"="&amp;вариация!G$2)</f>
        <v>0</v>
      </c>
      <c r="H342" t="str">
        <f t="shared" si="11"/>
        <v>No</v>
      </c>
    </row>
    <row r="343" spans="1:8" x14ac:dyDescent="0.25">
      <c r="A343" s="7" t="s">
        <v>334</v>
      </c>
      <c r="B343" s="25">
        <f t="shared" si="10"/>
        <v>0.85266688473666585</v>
      </c>
      <c r="C343">
        <f>SUMIFS('data (1)'!$M:$M,'data (1)'!$J:$J,"="&amp;$A343,'data (1)'!$A:$A,"="&amp;вариация!C$2)</f>
        <v>4</v>
      </c>
      <c r="D343">
        <f>SUMIFS('data (1)'!$M:$M,'data (1)'!$J:$J,"="&amp;$A343,'data (1)'!$A:$A,"="&amp;вариация!D$2)</f>
        <v>0</v>
      </c>
      <c r="E343">
        <f>SUMIFS('data (1)'!$M:$M,'data (1)'!$J:$J,"="&amp;$A343,'data (1)'!$A:$A,"="&amp;вариация!E$2)</f>
        <v>6</v>
      </c>
      <c r="F343">
        <f>SUMIFS('data (1)'!$M:$M,'data (1)'!$J:$J,"="&amp;$A343,'data (1)'!$A:$A,"="&amp;вариация!F$2)</f>
        <v>3</v>
      </c>
      <c r="G343">
        <f>SUMIFS('data (1)'!$M:$M,'data (1)'!$J:$J,"="&amp;$A343,'data (1)'!$A:$A,"="&amp;вариация!G$2)</f>
        <v>1</v>
      </c>
      <c r="H343" t="str">
        <f t="shared" si="11"/>
        <v>Yes</v>
      </c>
    </row>
    <row r="344" spans="1:8" x14ac:dyDescent="0.25">
      <c r="A344" s="7" t="s">
        <v>724</v>
      </c>
      <c r="B344" s="25">
        <f t="shared" si="10"/>
        <v>2.2360679774997894</v>
      </c>
      <c r="C344">
        <f>SUMIFS('data (1)'!$M:$M,'data (1)'!$J:$J,"="&amp;$A344,'data (1)'!$A:$A,"="&amp;вариация!C$2)</f>
        <v>0</v>
      </c>
      <c r="D344">
        <f>SUMIFS('data (1)'!$M:$M,'data (1)'!$J:$J,"="&amp;$A344,'data (1)'!$A:$A,"="&amp;вариация!D$2)</f>
        <v>0</v>
      </c>
      <c r="E344">
        <f>SUMIFS('data (1)'!$M:$M,'data (1)'!$J:$J,"="&amp;$A344,'data (1)'!$A:$A,"="&amp;вариация!E$2)</f>
        <v>2</v>
      </c>
      <c r="F344">
        <f>SUMIFS('data (1)'!$M:$M,'data (1)'!$J:$J,"="&amp;$A344,'data (1)'!$A:$A,"="&amp;вариация!F$2)</f>
        <v>0</v>
      </c>
      <c r="G344">
        <f>SUMIFS('data (1)'!$M:$M,'data (1)'!$J:$J,"="&amp;$A344,'data (1)'!$A:$A,"="&amp;вариация!G$2)</f>
        <v>0</v>
      </c>
      <c r="H344" t="str">
        <f t="shared" si="11"/>
        <v>No</v>
      </c>
    </row>
    <row r="345" spans="1:8" x14ac:dyDescent="0.25">
      <c r="A345" s="7" t="s">
        <v>976</v>
      </c>
      <c r="B345" s="25">
        <f t="shared" si="10"/>
        <v>2.2360679774997894</v>
      </c>
      <c r="C345">
        <f>SUMIFS('data (1)'!$M:$M,'data (1)'!$J:$J,"="&amp;$A345,'data (1)'!$A:$A,"="&amp;вариация!C$2)</f>
        <v>0</v>
      </c>
      <c r="D345">
        <f>SUMIFS('data (1)'!$M:$M,'data (1)'!$J:$J,"="&amp;$A345,'data (1)'!$A:$A,"="&amp;вариация!D$2)</f>
        <v>0</v>
      </c>
      <c r="E345">
        <f>SUMIFS('data (1)'!$M:$M,'data (1)'!$J:$J,"="&amp;$A345,'data (1)'!$A:$A,"="&amp;вариация!E$2)</f>
        <v>0</v>
      </c>
      <c r="F345">
        <f>SUMIFS('data (1)'!$M:$M,'data (1)'!$J:$J,"="&amp;$A345,'data (1)'!$A:$A,"="&amp;вариация!F$2)</f>
        <v>1</v>
      </c>
      <c r="G345">
        <f>SUMIFS('data (1)'!$M:$M,'data (1)'!$J:$J,"="&amp;$A345,'data (1)'!$A:$A,"="&amp;вариация!G$2)</f>
        <v>0</v>
      </c>
      <c r="H345" t="str">
        <f t="shared" si="11"/>
        <v>No</v>
      </c>
    </row>
    <row r="346" spans="1:8" x14ac:dyDescent="0.25">
      <c r="A346" s="7" t="s">
        <v>873</v>
      </c>
      <c r="B346" s="25">
        <f t="shared" si="10"/>
        <v>2.2360679774997894</v>
      </c>
      <c r="C346">
        <f>SUMIFS('data (1)'!$M:$M,'data (1)'!$J:$J,"="&amp;$A346,'data (1)'!$A:$A,"="&amp;вариация!C$2)</f>
        <v>0</v>
      </c>
      <c r="D346">
        <f>SUMIFS('data (1)'!$M:$M,'data (1)'!$J:$J,"="&amp;$A346,'data (1)'!$A:$A,"="&amp;вариация!D$2)</f>
        <v>0</v>
      </c>
      <c r="E346">
        <f>SUMIFS('data (1)'!$M:$M,'data (1)'!$J:$J,"="&amp;$A346,'data (1)'!$A:$A,"="&amp;вариация!E$2)</f>
        <v>1</v>
      </c>
      <c r="F346">
        <f>SUMIFS('data (1)'!$M:$M,'data (1)'!$J:$J,"="&amp;$A346,'data (1)'!$A:$A,"="&amp;вариация!F$2)</f>
        <v>0</v>
      </c>
      <c r="G346">
        <f>SUMIFS('data (1)'!$M:$M,'data (1)'!$J:$J,"="&amp;$A346,'data (1)'!$A:$A,"="&amp;вариация!G$2)</f>
        <v>0</v>
      </c>
      <c r="H346" t="str">
        <f t="shared" si="11"/>
        <v>No</v>
      </c>
    </row>
    <row r="347" spans="1:8" x14ac:dyDescent="0.25">
      <c r="A347" s="7" t="s">
        <v>342</v>
      </c>
      <c r="B347" s="25">
        <f t="shared" si="10"/>
        <v>1.3693063937629151</v>
      </c>
      <c r="C347">
        <f>SUMIFS('data (1)'!$M:$M,'data (1)'!$J:$J,"="&amp;$A347,'data (1)'!$A:$A,"="&amp;вариация!C$2)</f>
        <v>1</v>
      </c>
      <c r="D347">
        <f>SUMIFS('data (1)'!$M:$M,'data (1)'!$J:$J,"="&amp;$A347,'data (1)'!$A:$A,"="&amp;вариация!D$2)</f>
        <v>1</v>
      </c>
      <c r="E347">
        <f>SUMIFS('data (1)'!$M:$M,'data (1)'!$J:$J,"="&amp;$A347,'data (1)'!$A:$A,"="&amp;вариация!E$2)</f>
        <v>0</v>
      </c>
      <c r="F347">
        <f>SUMIFS('data (1)'!$M:$M,'data (1)'!$J:$J,"="&amp;$A347,'data (1)'!$A:$A,"="&amp;вариация!F$2)</f>
        <v>0</v>
      </c>
      <c r="G347">
        <f>SUMIFS('data (1)'!$M:$M,'data (1)'!$J:$J,"="&amp;$A347,'data (1)'!$A:$A,"="&amp;вариация!G$2)</f>
        <v>0</v>
      </c>
      <c r="H347" t="str">
        <f t="shared" si="11"/>
        <v>No</v>
      </c>
    </row>
    <row r="348" spans="1:8" x14ac:dyDescent="0.25">
      <c r="A348" s="7" t="s">
        <v>1032</v>
      </c>
      <c r="B348" s="25">
        <f t="shared" si="10"/>
        <v>2.2360679774997894</v>
      </c>
      <c r="C348">
        <f>SUMIFS('data (1)'!$M:$M,'data (1)'!$J:$J,"="&amp;$A348,'data (1)'!$A:$A,"="&amp;вариация!C$2)</f>
        <v>0</v>
      </c>
      <c r="D348">
        <f>SUMIFS('data (1)'!$M:$M,'data (1)'!$J:$J,"="&amp;$A348,'data (1)'!$A:$A,"="&amp;вариация!D$2)</f>
        <v>0</v>
      </c>
      <c r="E348">
        <f>SUMIFS('data (1)'!$M:$M,'data (1)'!$J:$J,"="&amp;$A348,'data (1)'!$A:$A,"="&amp;вариация!E$2)</f>
        <v>0</v>
      </c>
      <c r="F348">
        <f>SUMIFS('data (1)'!$M:$M,'data (1)'!$J:$J,"="&amp;$A348,'data (1)'!$A:$A,"="&amp;вариация!F$2)</f>
        <v>1</v>
      </c>
      <c r="G348">
        <f>SUMIFS('data (1)'!$M:$M,'data (1)'!$J:$J,"="&amp;$A348,'data (1)'!$A:$A,"="&amp;вариация!G$2)</f>
        <v>0</v>
      </c>
      <c r="H348" t="str">
        <f t="shared" si="11"/>
        <v>No</v>
      </c>
    </row>
    <row r="349" spans="1:8" x14ac:dyDescent="0.25">
      <c r="A349" s="7" t="s">
        <v>324</v>
      </c>
      <c r="B349" s="25">
        <f t="shared" si="10"/>
        <v>1.4907119849998598</v>
      </c>
      <c r="C349">
        <f>SUMIFS('data (1)'!$M:$M,'data (1)'!$J:$J,"="&amp;$A349,'data (1)'!$A:$A,"="&amp;вариация!C$2)</f>
        <v>2</v>
      </c>
      <c r="D349">
        <f>SUMIFS('data (1)'!$M:$M,'data (1)'!$J:$J,"="&amp;$A349,'data (1)'!$A:$A,"="&amp;вариация!D$2)</f>
        <v>0</v>
      </c>
      <c r="E349">
        <f>SUMIFS('data (1)'!$M:$M,'data (1)'!$J:$J,"="&amp;$A349,'data (1)'!$A:$A,"="&amp;вариация!E$2)</f>
        <v>1</v>
      </c>
      <c r="F349">
        <f>SUMIFS('data (1)'!$M:$M,'data (1)'!$J:$J,"="&amp;$A349,'data (1)'!$A:$A,"="&amp;вариация!F$2)</f>
        <v>0</v>
      </c>
      <c r="G349">
        <f>SUMIFS('data (1)'!$M:$M,'data (1)'!$J:$J,"="&amp;$A349,'data (1)'!$A:$A,"="&amp;вариация!G$2)</f>
        <v>0</v>
      </c>
      <c r="H349" t="str">
        <f t="shared" si="11"/>
        <v>No</v>
      </c>
    </row>
    <row r="350" spans="1:8" x14ac:dyDescent="0.25">
      <c r="A350" s="7" t="s">
        <v>1056</v>
      </c>
      <c r="B350" s="25">
        <f t="shared" si="10"/>
        <v>2.2360679774997894</v>
      </c>
      <c r="C350">
        <f>SUMIFS('data (1)'!$M:$M,'data (1)'!$J:$J,"="&amp;$A350,'data (1)'!$A:$A,"="&amp;вариация!C$2)</f>
        <v>0</v>
      </c>
      <c r="D350">
        <f>SUMIFS('data (1)'!$M:$M,'data (1)'!$J:$J,"="&amp;$A350,'data (1)'!$A:$A,"="&amp;вариация!D$2)</f>
        <v>0</v>
      </c>
      <c r="E350">
        <f>SUMIFS('data (1)'!$M:$M,'data (1)'!$J:$J,"="&amp;$A350,'data (1)'!$A:$A,"="&amp;вариация!E$2)</f>
        <v>0</v>
      </c>
      <c r="F350">
        <f>SUMIFS('data (1)'!$M:$M,'data (1)'!$J:$J,"="&amp;$A350,'data (1)'!$A:$A,"="&amp;вариация!F$2)</f>
        <v>1</v>
      </c>
      <c r="G350">
        <f>SUMIFS('data (1)'!$M:$M,'data (1)'!$J:$J,"="&amp;$A350,'data (1)'!$A:$A,"="&amp;вариация!G$2)</f>
        <v>0</v>
      </c>
      <c r="H350" t="str">
        <f t="shared" si="11"/>
        <v>No</v>
      </c>
    </row>
    <row r="351" spans="1:8" x14ac:dyDescent="0.25">
      <c r="A351" s="7" t="s">
        <v>808</v>
      </c>
      <c r="B351" s="25">
        <f t="shared" si="10"/>
        <v>2.2360679774997894</v>
      </c>
      <c r="C351">
        <f>SUMIFS('data (1)'!$M:$M,'data (1)'!$J:$J,"="&amp;$A351,'data (1)'!$A:$A,"="&amp;вариация!C$2)</f>
        <v>0</v>
      </c>
      <c r="D351">
        <f>SUMIFS('data (1)'!$M:$M,'data (1)'!$J:$J,"="&amp;$A351,'data (1)'!$A:$A,"="&amp;вариация!D$2)</f>
        <v>0</v>
      </c>
      <c r="E351">
        <f>SUMIFS('data (1)'!$M:$M,'data (1)'!$J:$J,"="&amp;$A351,'data (1)'!$A:$A,"="&amp;вариация!E$2)</f>
        <v>1</v>
      </c>
      <c r="F351">
        <f>SUMIFS('data (1)'!$M:$M,'data (1)'!$J:$J,"="&amp;$A351,'data (1)'!$A:$A,"="&amp;вариация!F$2)</f>
        <v>0</v>
      </c>
      <c r="G351">
        <f>SUMIFS('data (1)'!$M:$M,'data (1)'!$J:$J,"="&amp;$A351,'data (1)'!$A:$A,"="&amp;вариация!G$2)</f>
        <v>0</v>
      </c>
      <c r="H351" t="str">
        <f t="shared" si="11"/>
        <v>No</v>
      </c>
    </row>
    <row r="352" spans="1:8" x14ac:dyDescent="0.25">
      <c r="A352" s="7" t="s">
        <v>644</v>
      </c>
      <c r="B352" s="25">
        <f t="shared" si="10"/>
        <v>2.2360679774997894</v>
      </c>
      <c r="C352">
        <f>SUMIFS('data (1)'!$M:$M,'data (1)'!$J:$J,"="&amp;$A352,'data (1)'!$A:$A,"="&amp;вариация!C$2)</f>
        <v>0</v>
      </c>
      <c r="D352">
        <f>SUMIFS('data (1)'!$M:$M,'data (1)'!$J:$J,"="&amp;$A352,'data (1)'!$A:$A,"="&amp;вариация!D$2)</f>
        <v>1</v>
      </c>
      <c r="E352">
        <f>SUMIFS('data (1)'!$M:$M,'data (1)'!$J:$J,"="&amp;$A352,'data (1)'!$A:$A,"="&amp;вариация!E$2)</f>
        <v>0</v>
      </c>
      <c r="F352">
        <f>SUMIFS('data (1)'!$M:$M,'data (1)'!$J:$J,"="&amp;$A352,'data (1)'!$A:$A,"="&amp;вариация!F$2)</f>
        <v>0</v>
      </c>
      <c r="G352">
        <f>SUMIFS('data (1)'!$M:$M,'data (1)'!$J:$J,"="&amp;$A352,'data (1)'!$A:$A,"="&amp;вариация!G$2)</f>
        <v>0</v>
      </c>
      <c r="H352" t="str">
        <f t="shared" si="11"/>
        <v>No</v>
      </c>
    </row>
    <row r="353" spans="1:8" x14ac:dyDescent="0.25">
      <c r="A353" s="7" t="s">
        <v>376</v>
      </c>
      <c r="B353" s="25">
        <f t="shared" si="10"/>
        <v>2.2360679774997894</v>
      </c>
      <c r="C353">
        <f>SUMIFS('data (1)'!$M:$M,'data (1)'!$J:$J,"="&amp;$A353,'data (1)'!$A:$A,"="&amp;вариация!C$2)</f>
        <v>0.33333333999999998</v>
      </c>
      <c r="D353">
        <f>SUMIFS('data (1)'!$M:$M,'data (1)'!$J:$J,"="&amp;$A353,'data (1)'!$A:$A,"="&amp;вариация!D$2)</f>
        <v>0</v>
      </c>
      <c r="E353">
        <f>SUMIFS('data (1)'!$M:$M,'data (1)'!$J:$J,"="&amp;$A353,'data (1)'!$A:$A,"="&amp;вариация!E$2)</f>
        <v>0</v>
      </c>
      <c r="F353">
        <f>SUMIFS('data (1)'!$M:$M,'data (1)'!$J:$J,"="&amp;$A353,'data (1)'!$A:$A,"="&amp;вариация!F$2)</f>
        <v>0</v>
      </c>
      <c r="G353">
        <f>SUMIFS('data (1)'!$M:$M,'data (1)'!$J:$J,"="&amp;$A353,'data (1)'!$A:$A,"="&amp;вариация!G$2)</f>
        <v>0</v>
      </c>
      <c r="H353" t="str">
        <f t="shared" si="11"/>
        <v>No</v>
      </c>
    </row>
    <row r="354" spans="1:8" x14ac:dyDescent="0.25">
      <c r="A354" s="7" t="s">
        <v>317</v>
      </c>
      <c r="B354" s="25">
        <f t="shared" si="10"/>
        <v>2.2360679774997894</v>
      </c>
      <c r="C354">
        <f>SUMIFS('data (1)'!$M:$M,'data (1)'!$J:$J,"="&amp;$A354,'data (1)'!$A:$A,"="&amp;вариация!C$2)</f>
        <v>0.14285713999999999</v>
      </c>
      <c r="D354">
        <f>SUMIFS('data (1)'!$M:$M,'data (1)'!$J:$J,"="&amp;$A354,'data (1)'!$A:$A,"="&amp;вариация!D$2)</f>
        <v>0</v>
      </c>
      <c r="E354">
        <f>SUMIFS('data (1)'!$M:$M,'data (1)'!$J:$J,"="&amp;$A354,'data (1)'!$A:$A,"="&amp;вариация!E$2)</f>
        <v>0</v>
      </c>
      <c r="F354">
        <f>SUMIFS('data (1)'!$M:$M,'data (1)'!$J:$J,"="&amp;$A354,'data (1)'!$A:$A,"="&amp;вариация!F$2)</f>
        <v>0</v>
      </c>
      <c r="G354">
        <f>SUMIFS('data (1)'!$M:$M,'data (1)'!$J:$J,"="&amp;$A354,'data (1)'!$A:$A,"="&amp;вариация!G$2)</f>
        <v>0</v>
      </c>
      <c r="H354" t="str">
        <f t="shared" si="11"/>
        <v>No</v>
      </c>
    </row>
    <row r="355" spans="1:8" x14ac:dyDescent="0.25">
      <c r="A355" s="7" t="s">
        <v>1222</v>
      </c>
      <c r="B355" s="25">
        <f t="shared" si="10"/>
        <v>2.2360679774997894</v>
      </c>
      <c r="C355">
        <f>SUMIFS('data (1)'!$M:$M,'data (1)'!$J:$J,"="&amp;$A355,'data (1)'!$A:$A,"="&amp;вариация!C$2)</f>
        <v>0</v>
      </c>
      <c r="D355">
        <f>SUMIFS('data (1)'!$M:$M,'data (1)'!$J:$J,"="&amp;$A355,'data (1)'!$A:$A,"="&amp;вариация!D$2)</f>
        <v>0</v>
      </c>
      <c r="E355">
        <f>SUMIFS('data (1)'!$M:$M,'data (1)'!$J:$J,"="&amp;$A355,'data (1)'!$A:$A,"="&amp;вариация!E$2)</f>
        <v>0</v>
      </c>
      <c r="F355">
        <f>SUMIFS('data (1)'!$M:$M,'data (1)'!$J:$J,"="&amp;$A355,'data (1)'!$A:$A,"="&amp;вариация!F$2)</f>
        <v>0</v>
      </c>
      <c r="G355">
        <f>SUMIFS('data (1)'!$M:$M,'data (1)'!$J:$J,"="&amp;$A355,'data (1)'!$A:$A,"="&amp;вариация!G$2)</f>
        <v>1</v>
      </c>
      <c r="H355" t="str">
        <f t="shared" si="11"/>
        <v>No</v>
      </c>
    </row>
    <row r="356" spans="1:8" x14ac:dyDescent="0.25">
      <c r="A356" s="7" t="s">
        <v>211</v>
      </c>
      <c r="B356" s="25">
        <f t="shared" si="10"/>
        <v>2.2360679774997894</v>
      </c>
      <c r="C356">
        <f>SUMIFS('data (1)'!$M:$M,'data (1)'!$J:$J,"="&amp;$A356,'data (1)'!$A:$A,"="&amp;вариация!C$2)</f>
        <v>1</v>
      </c>
      <c r="D356">
        <f>SUMIFS('data (1)'!$M:$M,'data (1)'!$J:$J,"="&amp;$A356,'data (1)'!$A:$A,"="&amp;вариация!D$2)</f>
        <v>0</v>
      </c>
      <c r="E356">
        <f>SUMIFS('data (1)'!$M:$M,'data (1)'!$J:$J,"="&amp;$A356,'data (1)'!$A:$A,"="&amp;вариация!E$2)</f>
        <v>0</v>
      </c>
      <c r="F356">
        <f>SUMIFS('data (1)'!$M:$M,'data (1)'!$J:$J,"="&amp;$A356,'data (1)'!$A:$A,"="&amp;вариация!F$2)</f>
        <v>0</v>
      </c>
      <c r="G356">
        <f>SUMIFS('data (1)'!$M:$M,'data (1)'!$J:$J,"="&amp;$A356,'data (1)'!$A:$A,"="&amp;вариация!G$2)</f>
        <v>0</v>
      </c>
      <c r="H356" t="str">
        <f t="shared" si="11"/>
        <v>No</v>
      </c>
    </row>
    <row r="357" spans="1:8" x14ac:dyDescent="0.25">
      <c r="A357" s="7" t="s">
        <v>42</v>
      </c>
      <c r="B357" s="25">
        <f t="shared" si="10"/>
        <v>2.2360679774997894</v>
      </c>
      <c r="C357">
        <f>SUMIFS('data (1)'!$M:$M,'data (1)'!$J:$J,"="&amp;$A357,'data (1)'!$A:$A,"="&amp;вариация!C$2)</f>
        <v>1</v>
      </c>
      <c r="D357">
        <f>SUMIFS('data (1)'!$M:$M,'data (1)'!$J:$J,"="&amp;$A357,'data (1)'!$A:$A,"="&amp;вариация!D$2)</f>
        <v>0</v>
      </c>
      <c r="E357">
        <f>SUMIFS('data (1)'!$M:$M,'data (1)'!$J:$J,"="&amp;$A357,'data (1)'!$A:$A,"="&amp;вариация!E$2)</f>
        <v>0</v>
      </c>
      <c r="F357">
        <f>SUMIFS('data (1)'!$M:$M,'data (1)'!$J:$J,"="&amp;$A357,'data (1)'!$A:$A,"="&amp;вариация!F$2)</f>
        <v>0</v>
      </c>
      <c r="G357">
        <f>SUMIFS('data (1)'!$M:$M,'data (1)'!$J:$J,"="&amp;$A357,'data (1)'!$A:$A,"="&amp;вариация!G$2)</f>
        <v>0</v>
      </c>
      <c r="H357" t="str">
        <f t="shared" si="11"/>
        <v>No</v>
      </c>
    </row>
    <row r="358" spans="1:8" x14ac:dyDescent="0.25">
      <c r="A358" s="7" t="s">
        <v>79</v>
      </c>
      <c r="B358" s="25">
        <f t="shared" si="10"/>
        <v>1.3693063937629151</v>
      </c>
      <c r="C358">
        <f>SUMIFS('data (1)'!$M:$M,'data (1)'!$J:$J,"="&amp;$A358,'data (1)'!$A:$A,"="&amp;вариация!C$2)</f>
        <v>1</v>
      </c>
      <c r="D358">
        <f>SUMIFS('data (1)'!$M:$M,'data (1)'!$J:$J,"="&amp;$A358,'data (1)'!$A:$A,"="&amp;вариация!D$2)</f>
        <v>0</v>
      </c>
      <c r="E358">
        <f>SUMIFS('data (1)'!$M:$M,'data (1)'!$J:$J,"="&amp;$A358,'data (1)'!$A:$A,"="&amp;вариация!E$2)</f>
        <v>0</v>
      </c>
      <c r="F358">
        <f>SUMIFS('data (1)'!$M:$M,'data (1)'!$J:$J,"="&amp;$A358,'data (1)'!$A:$A,"="&amp;вариация!F$2)</f>
        <v>1</v>
      </c>
      <c r="G358">
        <f>SUMIFS('data (1)'!$M:$M,'data (1)'!$J:$J,"="&amp;$A358,'data (1)'!$A:$A,"="&amp;вариация!G$2)</f>
        <v>0</v>
      </c>
      <c r="H358" t="str">
        <f t="shared" si="11"/>
        <v>No</v>
      </c>
    </row>
    <row r="359" spans="1:8" x14ac:dyDescent="0.25">
      <c r="A359" s="7" t="s">
        <v>907</v>
      </c>
      <c r="B359" s="25">
        <f t="shared" si="10"/>
        <v>2.2360679774997894</v>
      </c>
      <c r="C359">
        <f>SUMIFS('data (1)'!$M:$M,'data (1)'!$J:$J,"="&amp;$A359,'data (1)'!$A:$A,"="&amp;вариация!C$2)</f>
        <v>0</v>
      </c>
      <c r="D359">
        <f>SUMIFS('data (1)'!$M:$M,'data (1)'!$J:$J,"="&amp;$A359,'data (1)'!$A:$A,"="&amp;вариация!D$2)</f>
        <v>0</v>
      </c>
      <c r="E359">
        <f>SUMIFS('data (1)'!$M:$M,'data (1)'!$J:$J,"="&amp;$A359,'data (1)'!$A:$A,"="&amp;вариация!E$2)</f>
        <v>1</v>
      </c>
      <c r="F359">
        <f>SUMIFS('data (1)'!$M:$M,'data (1)'!$J:$J,"="&amp;$A359,'data (1)'!$A:$A,"="&amp;вариация!F$2)</f>
        <v>0</v>
      </c>
      <c r="G359">
        <f>SUMIFS('data (1)'!$M:$M,'data (1)'!$J:$J,"="&amp;$A359,'data (1)'!$A:$A,"="&amp;вариация!G$2)</f>
        <v>0</v>
      </c>
      <c r="H359" t="str">
        <f t="shared" si="11"/>
        <v>No</v>
      </c>
    </row>
    <row r="360" spans="1:8" x14ac:dyDescent="0.25">
      <c r="A360" s="7" t="s">
        <v>323</v>
      </c>
      <c r="B360" s="25">
        <f t="shared" si="10"/>
        <v>2.2360679774997894</v>
      </c>
      <c r="C360">
        <f>SUMIFS('data (1)'!$M:$M,'data (1)'!$J:$J,"="&amp;$A360,'data (1)'!$A:$A,"="&amp;вариация!C$2)</f>
        <v>1</v>
      </c>
      <c r="D360">
        <f>SUMIFS('data (1)'!$M:$M,'data (1)'!$J:$J,"="&amp;$A360,'data (1)'!$A:$A,"="&amp;вариация!D$2)</f>
        <v>0</v>
      </c>
      <c r="E360">
        <f>SUMIFS('data (1)'!$M:$M,'data (1)'!$J:$J,"="&amp;$A360,'data (1)'!$A:$A,"="&amp;вариация!E$2)</f>
        <v>0</v>
      </c>
      <c r="F360">
        <f>SUMIFS('data (1)'!$M:$M,'data (1)'!$J:$J,"="&amp;$A360,'data (1)'!$A:$A,"="&amp;вариация!F$2)</f>
        <v>0</v>
      </c>
      <c r="G360">
        <f>SUMIFS('data (1)'!$M:$M,'data (1)'!$J:$J,"="&amp;$A360,'data (1)'!$A:$A,"="&amp;вариация!G$2)</f>
        <v>0</v>
      </c>
      <c r="H360" t="str">
        <f t="shared" si="11"/>
        <v>No</v>
      </c>
    </row>
    <row r="361" spans="1:8" x14ac:dyDescent="0.25">
      <c r="A361" s="7" t="s">
        <v>321</v>
      </c>
      <c r="B361" s="25">
        <f t="shared" si="10"/>
        <v>2.2360679774997894</v>
      </c>
      <c r="C361">
        <f>SUMIFS('data (1)'!$M:$M,'data (1)'!$J:$J,"="&amp;$A361,'data (1)'!$A:$A,"="&amp;вариация!C$2)</f>
        <v>2</v>
      </c>
      <c r="D361">
        <f>SUMIFS('data (1)'!$M:$M,'data (1)'!$J:$J,"="&amp;$A361,'data (1)'!$A:$A,"="&amp;вариация!D$2)</f>
        <v>0</v>
      </c>
      <c r="E361">
        <f>SUMIFS('data (1)'!$M:$M,'data (1)'!$J:$J,"="&amp;$A361,'data (1)'!$A:$A,"="&amp;вариация!E$2)</f>
        <v>0</v>
      </c>
      <c r="F361">
        <f>SUMIFS('data (1)'!$M:$M,'data (1)'!$J:$J,"="&amp;$A361,'data (1)'!$A:$A,"="&amp;вариация!F$2)</f>
        <v>0</v>
      </c>
      <c r="G361">
        <f>SUMIFS('data (1)'!$M:$M,'data (1)'!$J:$J,"="&amp;$A361,'data (1)'!$A:$A,"="&amp;вариация!G$2)</f>
        <v>0</v>
      </c>
      <c r="H361" t="str">
        <f t="shared" si="11"/>
        <v>No</v>
      </c>
    </row>
    <row r="362" spans="1:8" x14ac:dyDescent="0.25">
      <c r="A362" s="7" t="s">
        <v>1123</v>
      </c>
      <c r="B362" s="25">
        <f t="shared" si="10"/>
        <v>2.2360679774997894</v>
      </c>
      <c r="C362">
        <f>SUMIFS('data (1)'!$M:$M,'data (1)'!$J:$J,"="&amp;$A362,'data (1)'!$A:$A,"="&amp;вариация!C$2)</f>
        <v>0</v>
      </c>
      <c r="D362">
        <f>SUMIFS('data (1)'!$M:$M,'data (1)'!$J:$J,"="&amp;$A362,'data (1)'!$A:$A,"="&amp;вариация!D$2)</f>
        <v>0</v>
      </c>
      <c r="E362">
        <f>SUMIFS('data (1)'!$M:$M,'data (1)'!$J:$J,"="&amp;$A362,'data (1)'!$A:$A,"="&amp;вариация!E$2)</f>
        <v>0</v>
      </c>
      <c r="F362">
        <f>SUMIFS('data (1)'!$M:$M,'data (1)'!$J:$J,"="&amp;$A362,'data (1)'!$A:$A,"="&amp;вариация!F$2)</f>
        <v>0</v>
      </c>
      <c r="G362">
        <f>SUMIFS('data (1)'!$M:$M,'data (1)'!$J:$J,"="&amp;$A362,'data (1)'!$A:$A,"="&amp;вариация!G$2)</f>
        <v>1</v>
      </c>
      <c r="H362" t="str">
        <f t="shared" si="11"/>
        <v>No</v>
      </c>
    </row>
    <row r="363" spans="1:8" x14ac:dyDescent="0.25">
      <c r="A363" s="7" t="s">
        <v>395</v>
      </c>
      <c r="B363" s="25">
        <f t="shared" si="10"/>
        <v>1.4907119849998598</v>
      </c>
      <c r="C363">
        <f>SUMIFS('data (1)'!$M:$M,'data (1)'!$J:$J,"="&amp;$A363,'data (1)'!$A:$A,"="&amp;вариация!C$2)</f>
        <v>2</v>
      </c>
      <c r="D363">
        <f>SUMIFS('data (1)'!$M:$M,'data (1)'!$J:$J,"="&amp;$A363,'data (1)'!$A:$A,"="&amp;вариация!D$2)</f>
        <v>0</v>
      </c>
      <c r="E363">
        <f>SUMIFS('data (1)'!$M:$M,'data (1)'!$J:$J,"="&amp;$A363,'data (1)'!$A:$A,"="&amp;вариация!E$2)</f>
        <v>0</v>
      </c>
      <c r="F363">
        <f>SUMIFS('data (1)'!$M:$M,'data (1)'!$J:$J,"="&amp;$A363,'data (1)'!$A:$A,"="&amp;вариация!F$2)</f>
        <v>1</v>
      </c>
      <c r="G363">
        <f>SUMIFS('data (1)'!$M:$M,'data (1)'!$J:$J,"="&amp;$A363,'data (1)'!$A:$A,"="&amp;вариация!G$2)</f>
        <v>0</v>
      </c>
      <c r="H363" t="str">
        <f t="shared" si="11"/>
        <v>No</v>
      </c>
    </row>
    <row r="364" spans="1:8" x14ac:dyDescent="0.25">
      <c r="A364" s="7" t="s">
        <v>1053</v>
      </c>
      <c r="B364" s="25">
        <f t="shared" si="10"/>
        <v>1.3693063937629151</v>
      </c>
      <c r="C364">
        <f>SUMIFS('data (1)'!$M:$M,'data (1)'!$J:$J,"="&amp;$A364,'data (1)'!$A:$A,"="&amp;вариация!C$2)</f>
        <v>0</v>
      </c>
      <c r="D364">
        <f>SUMIFS('data (1)'!$M:$M,'data (1)'!$J:$J,"="&amp;$A364,'data (1)'!$A:$A,"="&amp;вариация!D$2)</f>
        <v>0</v>
      </c>
      <c r="E364">
        <f>SUMIFS('data (1)'!$M:$M,'data (1)'!$J:$J,"="&amp;$A364,'data (1)'!$A:$A,"="&amp;вариация!E$2)</f>
        <v>0</v>
      </c>
      <c r="F364">
        <f>SUMIFS('data (1)'!$M:$M,'data (1)'!$J:$J,"="&amp;$A364,'data (1)'!$A:$A,"="&amp;вариация!F$2)</f>
        <v>1</v>
      </c>
      <c r="G364">
        <f>SUMIFS('data (1)'!$M:$M,'data (1)'!$J:$J,"="&amp;$A364,'data (1)'!$A:$A,"="&amp;вариация!G$2)</f>
        <v>1</v>
      </c>
      <c r="H364" t="str">
        <f t="shared" si="11"/>
        <v>No</v>
      </c>
    </row>
    <row r="365" spans="1:8" x14ac:dyDescent="0.25">
      <c r="A365" s="7" t="s">
        <v>1166</v>
      </c>
      <c r="B365" s="25">
        <f t="shared" si="10"/>
        <v>2.2360679774997894</v>
      </c>
      <c r="C365">
        <f>SUMIFS('data (1)'!$M:$M,'data (1)'!$J:$J,"="&amp;$A365,'data (1)'!$A:$A,"="&amp;вариация!C$2)</f>
        <v>0</v>
      </c>
      <c r="D365">
        <f>SUMIFS('data (1)'!$M:$M,'data (1)'!$J:$J,"="&amp;$A365,'data (1)'!$A:$A,"="&amp;вариация!D$2)</f>
        <v>0</v>
      </c>
      <c r="E365">
        <f>SUMIFS('data (1)'!$M:$M,'data (1)'!$J:$J,"="&amp;$A365,'data (1)'!$A:$A,"="&amp;вариация!E$2)</f>
        <v>0</v>
      </c>
      <c r="F365">
        <f>SUMIFS('data (1)'!$M:$M,'data (1)'!$J:$J,"="&amp;$A365,'data (1)'!$A:$A,"="&amp;вариация!F$2)</f>
        <v>0</v>
      </c>
      <c r="G365">
        <f>SUMIFS('data (1)'!$M:$M,'data (1)'!$J:$J,"="&amp;$A365,'data (1)'!$A:$A,"="&amp;вариация!G$2)</f>
        <v>2</v>
      </c>
      <c r="H365" t="str">
        <f t="shared" si="11"/>
        <v>No</v>
      </c>
    </row>
    <row r="366" spans="1:8" x14ac:dyDescent="0.25">
      <c r="A366" s="7" t="s">
        <v>307</v>
      </c>
      <c r="B366" s="25">
        <f t="shared" si="10"/>
        <v>1.4907119849998598</v>
      </c>
      <c r="C366">
        <f>SUMIFS('data (1)'!$M:$M,'data (1)'!$J:$J,"="&amp;$A366,'data (1)'!$A:$A,"="&amp;вариация!C$2)</f>
        <v>1</v>
      </c>
      <c r="D366">
        <f>SUMIFS('data (1)'!$M:$M,'data (1)'!$J:$J,"="&amp;$A366,'data (1)'!$A:$A,"="&amp;вариация!D$2)</f>
        <v>2</v>
      </c>
      <c r="E366">
        <f>SUMIFS('data (1)'!$M:$M,'data (1)'!$J:$J,"="&amp;$A366,'data (1)'!$A:$A,"="&amp;вариация!E$2)</f>
        <v>0</v>
      </c>
      <c r="F366">
        <f>SUMIFS('data (1)'!$M:$M,'data (1)'!$J:$J,"="&amp;$A366,'data (1)'!$A:$A,"="&amp;вариация!F$2)</f>
        <v>0</v>
      </c>
      <c r="G366">
        <f>SUMIFS('data (1)'!$M:$M,'data (1)'!$J:$J,"="&amp;$A366,'data (1)'!$A:$A,"="&amp;вариация!G$2)</f>
        <v>0</v>
      </c>
      <c r="H366" t="str">
        <f t="shared" si="11"/>
        <v>No</v>
      </c>
    </row>
    <row r="367" spans="1:8" x14ac:dyDescent="0.25">
      <c r="A367" s="7" t="s">
        <v>1115</v>
      </c>
      <c r="B367" s="25">
        <f t="shared" si="10"/>
        <v>2.2360679774997894</v>
      </c>
      <c r="C367">
        <f>SUMIFS('data (1)'!$M:$M,'data (1)'!$J:$J,"="&amp;$A367,'data (1)'!$A:$A,"="&amp;вариация!C$2)</f>
        <v>0</v>
      </c>
      <c r="D367">
        <f>SUMIFS('data (1)'!$M:$M,'data (1)'!$J:$J,"="&amp;$A367,'data (1)'!$A:$A,"="&amp;вариация!D$2)</f>
        <v>0</v>
      </c>
      <c r="E367">
        <f>SUMIFS('data (1)'!$M:$M,'data (1)'!$J:$J,"="&amp;$A367,'data (1)'!$A:$A,"="&amp;вариация!E$2)</f>
        <v>0</v>
      </c>
      <c r="F367">
        <f>SUMIFS('data (1)'!$M:$M,'data (1)'!$J:$J,"="&amp;$A367,'data (1)'!$A:$A,"="&amp;вариация!F$2)</f>
        <v>0</v>
      </c>
      <c r="G367">
        <f>SUMIFS('data (1)'!$M:$M,'data (1)'!$J:$J,"="&amp;$A367,'data (1)'!$A:$A,"="&amp;вариация!G$2)</f>
        <v>1</v>
      </c>
      <c r="H367" t="str">
        <f t="shared" si="11"/>
        <v>No</v>
      </c>
    </row>
    <row r="368" spans="1:8" x14ac:dyDescent="0.25">
      <c r="A368" s="7" t="s">
        <v>1097</v>
      </c>
      <c r="B368" s="25">
        <f t="shared" si="10"/>
        <v>2.2360679774997894</v>
      </c>
      <c r="C368">
        <f>SUMIFS('data (1)'!$M:$M,'data (1)'!$J:$J,"="&amp;$A368,'data (1)'!$A:$A,"="&amp;вариация!C$2)</f>
        <v>0</v>
      </c>
      <c r="D368">
        <f>SUMIFS('data (1)'!$M:$M,'data (1)'!$J:$J,"="&amp;$A368,'data (1)'!$A:$A,"="&amp;вариация!D$2)</f>
        <v>0</v>
      </c>
      <c r="E368">
        <f>SUMIFS('data (1)'!$M:$M,'data (1)'!$J:$J,"="&amp;$A368,'data (1)'!$A:$A,"="&amp;вариация!E$2)</f>
        <v>0</v>
      </c>
      <c r="F368">
        <f>SUMIFS('data (1)'!$M:$M,'data (1)'!$J:$J,"="&amp;$A368,'data (1)'!$A:$A,"="&amp;вариация!F$2)</f>
        <v>0</v>
      </c>
      <c r="G368">
        <f>SUMIFS('data (1)'!$M:$M,'data (1)'!$J:$J,"="&amp;$A368,'data (1)'!$A:$A,"="&amp;вариация!G$2)</f>
        <v>2</v>
      </c>
      <c r="H368" t="str">
        <f t="shared" si="11"/>
        <v>No</v>
      </c>
    </row>
    <row r="369" spans="1:8" x14ac:dyDescent="0.25">
      <c r="A369" s="7" t="s">
        <v>675</v>
      </c>
      <c r="B369" s="25">
        <f t="shared" si="10"/>
        <v>1.3693063937629151</v>
      </c>
      <c r="C369">
        <f>SUMIFS('data (1)'!$M:$M,'data (1)'!$J:$J,"="&amp;$A369,'data (1)'!$A:$A,"="&amp;вариация!C$2)</f>
        <v>0</v>
      </c>
      <c r="D369">
        <f>SUMIFS('data (1)'!$M:$M,'data (1)'!$J:$J,"="&amp;$A369,'data (1)'!$A:$A,"="&amp;вариация!D$2)</f>
        <v>1</v>
      </c>
      <c r="E369">
        <f>SUMIFS('data (1)'!$M:$M,'data (1)'!$J:$J,"="&amp;$A369,'data (1)'!$A:$A,"="&amp;вариация!E$2)</f>
        <v>0</v>
      </c>
      <c r="F369">
        <f>SUMIFS('data (1)'!$M:$M,'data (1)'!$J:$J,"="&amp;$A369,'data (1)'!$A:$A,"="&amp;вариация!F$2)</f>
        <v>0</v>
      </c>
      <c r="G369">
        <f>SUMIFS('data (1)'!$M:$M,'data (1)'!$J:$J,"="&amp;$A369,'data (1)'!$A:$A,"="&amp;вариация!G$2)</f>
        <v>1</v>
      </c>
      <c r="H369" t="str">
        <f t="shared" si="11"/>
        <v>No</v>
      </c>
    </row>
    <row r="370" spans="1:8" x14ac:dyDescent="0.25">
      <c r="A370" s="7" t="s">
        <v>268</v>
      </c>
      <c r="B370" s="25">
        <f t="shared" si="10"/>
        <v>0.55901699437494734</v>
      </c>
      <c r="C370">
        <f>SUMIFS('data (1)'!$M:$M,'data (1)'!$J:$J,"="&amp;$A370,'data (1)'!$A:$A,"="&amp;вариация!C$2)</f>
        <v>1</v>
      </c>
      <c r="D370">
        <f>SUMIFS('data (1)'!$M:$M,'data (1)'!$J:$J,"="&amp;$A370,'data (1)'!$A:$A,"="&amp;вариация!D$2)</f>
        <v>1</v>
      </c>
      <c r="E370">
        <f>SUMIFS('data (1)'!$M:$M,'data (1)'!$J:$J,"="&amp;$A370,'data (1)'!$A:$A,"="&amp;вариация!E$2)</f>
        <v>1</v>
      </c>
      <c r="F370">
        <f>SUMIFS('data (1)'!$M:$M,'data (1)'!$J:$J,"="&amp;$A370,'data (1)'!$A:$A,"="&amp;вариация!F$2)</f>
        <v>0</v>
      </c>
      <c r="G370">
        <f>SUMIFS('data (1)'!$M:$M,'data (1)'!$J:$J,"="&amp;$A370,'data (1)'!$A:$A,"="&amp;вариация!G$2)</f>
        <v>1</v>
      </c>
      <c r="H370" t="str">
        <f t="shared" si="11"/>
        <v>Yes</v>
      </c>
    </row>
    <row r="371" spans="1:8" x14ac:dyDescent="0.25">
      <c r="A371" s="7" t="s">
        <v>736</v>
      </c>
      <c r="B371" s="25">
        <f t="shared" si="10"/>
        <v>2.2360679774997894</v>
      </c>
      <c r="C371">
        <f>SUMIFS('data (1)'!$M:$M,'data (1)'!$J:$J,"="&amp;$A371,'data (1)'!$A:$A,"="&amp;вариация!C$2)</f>
        <v>0</v>
      </c>
      <c r="D371">
        <f>SUMIFS('data (1)'!$M:$M,'data (1)'!$J:$J,"="&amp;$A371,'data (1)'!$A:$A,"="&amp;вариация!D$2)</f>
        <v>0</v>
      </c>
      <c r="E371">
        <f>SUMIFS('data (1)'!$M:$M,'data (1)'!$J:$J,"="&amp;$A371,'data (1)'!$A:$A,"="&amp;вариация!E$2)</f>
        <v>1</v>
      </c>
      <c r="F371">
        <f>SUMIFS('data (1)'!$M:$M,'data (1)'!$J:$J,"="&amp;$A371,'data (1)'!$A:$A,"="&amp;вариация!F$2)</f>
        <v>0</v>
      </c>
      <c r="G371">
        <f>SUMIFS('data (1)'!$M:$M,'data (1)'!$J:$J,"="&amp;$A371,'data (1)'!$A:$A,"="&amp;вариация!G$2)</f>
        <v>0</v>
      </c>
      <c r="H371" t="str">
        <f t="shared" si="11"/>
        <v>No</v>
      </c>
    </row>
    <row r="372" spans="1:8" x14ac:dyDescent="0.25">
      <c r="A372" s="7" t="s">
        <v>454</v>
      </c>
      <c r="B372" s="25">
        <f t="shared" si="10"/>
        <v>2.2360679774997894</v>
      </c>
      <c r="C372">
        <f>SUMIFS('data (1)'!$M:$M,'data (1)'!$J:$J,"="&amp;$A372,'data (1)'!$A:$A,"="&amp;вариация!C$2)</f>
        <v>2</v>
      </c>
      <c r="D372">
        <f>SUMIFS('data (1)'!$M:$M,'data (1)'!$J:$J,"="&amp;$A372,'data (1)'!$A:$A,"="&amp;вариация!D$2)</f>
        <v>0</v>
      </c>
      <c r="E372">
        <f>SUMIFS('data (1)'!$M:$M,'data (1)'!$J:$J,"="&amp;$A372,'data (1)'!$A:$A,"="&amp;вариация!E$2)</f>
        <v>0</v>
      </c>
      <c r="F372">
        <f>SUMIFS('data (1)'!$M:$M,'data (1)'!$J:$J,"="&amp;$A372,'data (1)'!$A:$A,"="&amp;вариация!F$2)</f>
        <v>0</v>
      </c>
      <c r="G372">
        <f>SUMIFS('data (1)'!$M:$M,'data (1)'!$J:$J,"="&amp;$A372,'data (1)'!$A:$A,"="&amp;вариация!G$2)</f>
        <v>0</v>
      </c>
      <c r="H372" t="str">
        <f t="shared" si="11"/>
        <v>No</v>
      </c>
    </row>
    <row r="373" spans="1:8" x14ac:dyDescent="0.25">
      <c r="A373" s="7" t="s">
        <v>378</v>
      </c>
      <c r="B373" s="25">
        <f t="shared" si="10"/>
        <v>0.89693827541040638</v>
      </c>
      <c r="C373">
        <f>SUMIFS('data (1)'!$M:$M,'data (1)'!$J:$J,"="&amp;$A373,'data (1)'!$A:$A,"="&amp;вариация!C$2)</f>
        <v>24</v>
      </c>
      <c r="D373">
        <f>SUMIFS('data (1)'!$M:$M,'data (1)'!$J:$J,"="&amp;$A373,'data (1)'!$A:$A,"="&amp;вариация!D$2)</f>
        <v>0</v>
      </c>
      <c r="E373">
        <f>SUMIFS('data (1)'!$M:$M,'data (1)'!$J:$J,"="&amp;$A373,'data (1)'!$A:$A,"="&amp;вариация!E$2)</f>
        <v>4</v>
      </c>
      <c r="F373">
        <f>SUMIFS('data (1)'!$M:$M,'data (1)'!$J:$J,"="&amp;$A373,'data (1)'!$A:$A,"="&amp;вариация!F$2)</f>
        <v>12</v>
      </c>
      <c r="G373">
        <f>SUMIFS('data (1)'!$M:$M,'data (1)'!$J:$J,"="&amp;$A373,'data (1)'!$A:$A,"="&amp;вариация!G$2)</f>
        <v>28</v>
      </c>
      <c r="H373" t="str">
        <f t="shared" si="11"/>
        <v>Yes</v>
      </c>
    </row>
    <row r="374" spans="1:8" x14ac:dyDescent="0.25">
      <c r="A374" s="7" t="s">
        <v>1046</v>
      </c>
      <c r="B374" s="25">
        <f t="shared" si="10"/>
        <v>1.5649215928719031</v>
      </c>
      <c r="C374">
        <f>SUMIFS('data (1)'!$M:$M,'data (1)'!$J:$J,"="&amp;$A374,'data (1)'!$A:$A,"="&amp;вариация!C$2)</f>
        <v>0</v>
      </c>
      <c r="D374">
        <f>SUMIFS('data (1)'!$M:$M,'data (1)'!$J:$J,"="&amp;$A374,'data (1)'!$A:$A,"="&amp;вариация!D$2)</f>
        <v>0</v>
      </c>
      <c r="E374">
        <f>SUMIFS('data (1)'!$M:$M,'data (1)'!$J:$J,"="&amp;$A374,'data (1)'!$A:$A,"="&amp;вариация!E$2)</f>
        <v>0</v>
      </c>
      <c r="F374">
        <f>SUMIFS('data (1)'!$M:$M,'data (1)'!$J:$J,"="&amp;$A374,'data (1)'!$A:$A,"="&amp;вариация!F$2)</f>
        <v>10</v>
      </c>
      <c r="G374">
        <f>SUMIFS('data (1)'!$M:$M,'data (1)'!$J:$J,"="&amp;$A374,'data (1)'!$A:$A,"="&amp;вариация!G$2)</f>
        <v>4</v>
      </c>
      <c r="H374" t="str">
        <f t="shared" si="11"/>
        <v>No</v>
      </c>
    </row>
    <row r="375" spans="1:8" x14ac:dyDescent="0.25">
      <c r="A375" s="7" t="s">
        <v>451</v>
      </c>
      <c r="B375" s="25">
        <f t="shared" si="10"/>
        <v>1.6676525683599077</v>
      </c>
      <c r="C375">
        <f>SUMIFS('data (1)'!$M:$M,'data (1)'!$J:$J,"="&amp;$A375,'data (1)'!$A:$A,"="&amp;вариация!C$2)</f>
        <v>10</v>
      </c>
      <c r="D375">
        <f>SUMIFS('data (1)'!$M:$M,'data (1)'!$J:$J,"="&amp;$A375,'data (1)'!$A:$A,"="&amp;вариация!D$2)</f>
        <v>0</v>
      </c>
      <c r="E375">
        <f>SUMIFS('data (1)'!$M:$M,'data (1)'!$J:$J,"="&amp;$A375,'data (1)'!$A:$A,"="&amp;вариация!E$2)</f>
        <v>0</v>
      </c>
      <c r="F375">
        <f>SUMIFS('data (1)'!$M:$M,'data (1)'!$J:$J,"="&amp;$A375,'data (1)'!$A:$A,"="&amp;вариация!F$2)</f>
        <v>3</v>
      </c>
      <c r="G375">
        <f>SUMIFS('data (1)'!$M:$M,'data (1)'!$J:$J,"="&amp;$A375,'data (1)'!$A:$A,"="&amp;вариация!G$2)</f>
        <v>0</v>
      </c>
      <c r="H375" t="str">
        <f t="shared" si="11"/>
        <v>No</v>
      </c>
    </row>
    <row r="376" spans="1:8" x14ac:dyDescent="0.25">
      <c r="A376" s="7" t="s">
        <v>650</v>
      </c>
      <c r="B376" s="25">
        <f t="shared" si="10"/>
        <v>2.2360679774997894</v>
      </c>
      <c r="C376">
        <f>SUMIFS('data (1)'!$M:$M,'data (1)'!$J:$J,"="&amp;$A376,'data (1)'!$A:$A,"="&amp;вариация!C$2)</f>
        <v>0</v>
      </c>
      <c r="D376">
        <f>SUMIFS('data (1)'!$M:$M,'data (1)'!$J:$J,"="&amp;$A376,'data (1)'!$A:$A,"="&amp;вариация!D$2)</f>
        <v>1</v>
      </c>
      <c r="E376">
        <f>SUMIFS('data (1)'!$M:$M,'data (1)'!$J:$J,"="&amp;$A376,'data (1)'!$A:$A,"="&amp;вариация!E$2)</f>
        <v>0</v>
      </c>
      <c r="F376">
        <f>SUMIFS('data (1)'!$M:$M,'data (1)'!$J:$J,"="&amp;$A376,'data (1)'!$A:$A,"="&amp;вариация!F$2)</f>
        <v>0</v>
      </c>
      <c r="G376">
        <f>SUMIFS('data (1)'!$M:$M,'data (1)'!$J:$J,"="&amp;$A376,'data (1)'!$A:$A,"="&amp;вариация!G$2)</f>
        <v>0</v>
      </c>
      <c r="H376" t="str">
        <f t="shared" si="11"/>
        <v>No</v>
      </c>
    </row>
    <row r="377" spans="1:8" x14ac:dyDescent="0.25">
      <c r="A377" s="7" t="s">
        <v>952</v>
      </c>
      <c r="B377" s="25">
        <f t="shared" si="10"/>
        <v>2.2360679774997894</v>
      </c>
      <c r="C377">
        <f>SUMIFS('data (1)'!$M:$M,'data (1)'!$J:$J,"="&amp;$A377,'data (1)'!$A:$A,"="&amp;вариация!C$2)</f>
        <v>0</v>
      </c>
      <c r="D377">
        <f>SUMIFS('data (1)'!$M:$M,'data (1)'!$J:$J,"="&amp;$A377,'data (1)'!$A:$A,"="&amp;вариация!D$2)</f>
        <v>0</v>
      </c>
      <c r="E377">
        <f>SUMIFS('data (1)'!$M:$M,'data (1)'!$J:$J,"="&amp;$A377,'data (1)'!$A:$A,"="&amp;вариация!E$2)</f>
        <v>0</v>
      </c>
      <c r="F377">
        <f>SUMIFS('data (1)'!$M:$M,'data (1)'!$J:$J,"="&amp;$A377,'data (1)'!$A:$A,"="&amp;вариация!F$2)</f>
        <v>1</v>
      </c>
      <c r="G377">
        <f>SUMIFS('data (1)'!$M:$M,'data (1)'!$J:$J,"="&amp;$A377,'data (1)'!$A:$A,"="&amp;вариация!G$2)</f>
        <v>0</v>
      </c>
      <c r="H377" t="str">
        <f t="shared" si="11"/>
        <v>No</v>
      </c>
    </row>
    <row r="378" spans="1:8" x14ac:dyDescent="0.25">
      <c r="A378" s="7" t="s">
        <v>398</v>
      </c>
      <c r="B378" s="25">
        <f t="shared" si="10"/>
        <v>1.3693063937629151</v>
      </c>
      <c r="C378">
        <f>SUMIFS('data (1)'!$M:$M,'data (1)'!$J:$J,"="&amp;$A378,'data (1)'!$A:$A,"="&amp;вариация!C$2)</f>
        <v>1</v>
      </c>
      <c r="D378">
        <f>SUMIFS('data (1)'!$M:$M,'data (1)'!$J:$J,"="&amp;$A378,'data (1)'!$A:$A,"="&amp;вариация!D$2)</f>
        <v>0</v>
      </c>
      <c r="E378">
        <f>SUMIFS('data (1)'!$M:$M,'data (1)'!$J:$J,"="&amp;$A378,'data (1)'!$A:$A,"="&amp;вариация!E$2)</f>
        <v>1</v>
      </c>
      <c r="F378">
        <f>SUMIFS('data (1)'!$M:$M,'data (1)'!$J:$J,"="&amp;$A378,'data (1)'!$A:$A,"="&amp;вариация!F$2)</f>
        <v>0</v>
      </c>
      <c r="G378">
        <f>SUMIFS('data (1)'!$M:$M,'data (1)'!$J:$J,"="&amp;$A378,'data (1)'!$A:$A,"="&amp;вариация!G$2)</f>
        <v>0</v>
      </c>
      <c r="H378" t="str">
        <f t="shared" si="11"/>
        <v>No</v>
      </c>
    </row>
    <row r="379" spans="1:8" x14ac:dyDescent="0.25">
      <c r="A379" s="7" t="s">
        <v>1035</v>
      </c>
      <c r="B379" s="25">
        <f t="shared" si="10"/>
        <v>2.2360679774997894</v>
      </c>
      <c r="C379">
        <f>SUMIFS('data (1)'!$M:$M,'data (1)'!$J:$J,"="&amp;$A379,'data (1)'!$A:$A,"="&amp;вариация!C$2)</f>
        <v>0</v>
      </c>
      <c r="D379">
        <f>SUMIFS('data (1)'!$M:$M,'data (1)'!$J:$J,"="&amp;$A379,'data (1)'!$A:$A,"="&amp;вариация!D$2)</f>
        <v>0</v>
      </c>
      <c r="E379">
        <f>SUMIFS('data (1)'!$M:$M,'data (1)'!$J:$J,"="&amp;$A379,'data (1)'!$A:$A,"="&amp;вариация!E$2)</f>
        <v>0</v>
      </c>
      <c r="F379">
        <f>SUMIFS('data (1)'!$M:$M,'data (1)'!$J:$J,"="&amp;$A379,'data (1)'!$A:$A,"="&amp;вариация!F$2)</f>
        <v>1</v>
      </c>
      <c r="G379">
        <f>SUMIFS('data (1)'!$M:$M,'data (1)'!$J:$J,"="&amp;$A379,'data (1)'!$A:$A,"="&amp;вариация!G$2)</f>
        <v>0</v>
      </c>
      <c r="H379" t="str">
        <f t="shared" si="11"/>
        <v>No</v>
      </c>
    </row>
    <row r="380" spans="1:8" x14ac:dyDescent="0.25">
      <c r="A380" s="7" t="s">
        <v>954</v>
      </c>
      <c r="B380" s="25">
        <f t="shared" si="10"/>
        <v>2.2360679774997894</v>
      </c>
      <c r="C380">
        <f>SUMIFS('data (1)'!$M:$M,'data (1)'!$J:$J,"="&amp;$A380,'data (1)'!$A:$A,"="&amp;вариация!C$2)</f>
        <v>0</v>
      </c>
      <c r="D380">
        <f>SUMIFS('data (1)'!$M:$M,'data (1)'!$J:$J,"="&amp;$A380,'data (1)'!$A:$A,"="&amp;вариация!D$2)</f>
        <v>0</v>
      </c>
      <c r="E380">
        <f>SUMIFS('data (1)'!$M:$M,'data (1)'!$J:$J,"="&amp;$A380,'data (1)'!$A:$A,"="&amp;вариация!E$2)</f>
        <v>0</v>
      </c>
      <c r="F380">
        <f>SUMIFS('data (1)'!$M:$M,'data (1)'!$J:$J,"="&amp;$A380,'data (1)'!$A:$A,"="&amp;вариация!F$2)</f>
        <v>1</v>
      </c>
      <c r="G380">
        <f>SUMIFS('data (1)'!$M:$M,'data (1)'!$J:$J,"="&amp;$A380,'data (1)'!$A:$A,"="&amp;вариация!G$2)</f>
        <v>0</v>
      </c>
      <c r="H380" t="str">
        <f t="shared" si="11"/>
        <v>No</v>
      </c>
    </row>
    <row r="381" spans="1:8" x14ac:dyDescent="0.25">
      <c r="A381" s="7" t="s">
        <v>1197</v>
      </c>
      <c r="B381" s="25">
        <f t="shared" si="10"/>
        <v>2.2360679774997894</v>
      </c>
      <c r="C381">
        <f>SUMIFS('data (1)'!$M:$M,'data (1)'!$J:$J,"="&amp;$A381,'data (1)'!$A:$A,"="&amp;вариация!C$2)</f>
        <v>0</v>
      </c>
      <c r="D381">
        <f>SUMIFS('data (1)'!$M:$M,'data (1)'!$J:$J,"="&amp;$A381,'data (1)'!$A:$A,"="&amp;вариация!D$2)</f>
        <v>0</v>
      </c>
      <c r="E381">
        <f>SUMIFS('data (1)'!$M:$M,'data (1)'!$J:$J,"="&amp;$A381,'data (1)'!$A:$A,"="&amp;вариация!E$2)</f>
        <v>0</v>
      </c>
      <c r="F381">
        <f>SUMIFS('data (1)'!$M:$M,'data (1)'!$J:$J,"="&amp;$A381,'data (1)'!$A:$A,"="&amp;вариация!F$2)</f>
        <v>0</v>
      </c>
      <c r="G381">
        <f>SUMIFS('data (1)'!$M:$M,'data (1)'!$J:$J,"="&amp;$A381,'data (1)'!$A:$A,"="&amp;вариация!G$2)</f>
        <v>1</v>
      </c>
      <c r="H381" t="str">
        <f t="shared" si="11"/>
        <v>No</v>
      </c>
    </row>
    <row r="382" spans="1:8" x14ac:dyDescent="0.25">
      <c r="A382" s="7" t="s">
        <v>747</v>
      </c>
      <c r="B382" s="25">
        <f t="shared" si="10"/>
        <v>2.2360679774997894</v>
      </c>
      <c r="C382">
        <f>SUMIFS('data (1)'!$M:$M,'data (1)'!$J:$J,"="&amp;$A382,'data (1)'!$A:$A,"="&amp;вариация!C$2)</f>
        <v>0</v>
      </c>
      <c r="D382">
        <f>SUMIFS('data (1)'!$M:$M,'data (1)'!$J:$J,"="&amp;$A382,'data (1)'!$A:$A,"="&amp;вариация!D$2)</f>
        <v>0</v>
      </c>
      <c r="E382">
        <f>SUMIFS('data (1)'!$M:$M,'data (1)'!$J:$J,"="&amp;$A382,'data (1)'!$A:$A,"="&amp;вариация!E$2)</f>
        <v>1</v>
      </c>
      <c r="F382">
        <f>SUMIFS('data (1)'!$M:$M,'data (1)'!$J:$J,"="&amp;$A382,'data (1)'!$A:$A,"="&amp;вариация!F$2)</f>
        <v>0</v>
      </c>
      <c r="G382">
        <f>SUMIFS('data (1)'!$M:$M,'data (1)'!$J:$J,"="&amp;$A382,'data (1)'!$A:$A,"="&amp;вариация!G$2)</f>
        <v>0</v>
      </c>
      <c r="H382" t="str">
        <f t="shared" si="11"/>
        <v>No</v>
      </c>
    </row>
    <row r="383" spans="1:8" x14ac:dyDescent="0.25">
      <c r="A383" s="7" t="s">
        <v>712</v>
      </c>
      <c r="B383" s="25">
        <f t="shared" si="10"/>
        <v>2.2360679774997894</v>
      </c>
      <c r="C383">
        <f>SUMIFS('data (1)'!$M:$M,'data (1)'!$J:$J,"="&amp;$A383,'data (1)'!$A:$A,"="&amp;вариация!C$2)</f>
        <v>0</v>
      </c>
      <c r="D383">
        <f>SUMIFS('data (1)'!$M:$M,'data (1)'!$J:$J,"="&amp;$A383,'data (1)'!$A:$A,"="&amp;вариация!D$2)</f>
        <v>0</v>
      </c>
      <c r="E383">
        <f>SUMIFS('data (1)'!$M:$M,'data (1)'!$J:$J,"="&amp;$A383,'data (1)'!$A:$A,"="&amp;вариация!E$2)</f>
        <v>2</v>
      </c>
      <c r="F383">
        <f>SUMIFS('data (1)'!$M:$M,'data (1)'!$J:$J,"="&amp;$A383,'data (1)'!$A:$A,"="&amp;вариация!F$2)</f>
        <v>0</v>
      </c>
      <c r="G383">
        <f>SUMIFS('data (1)'!$M:$M,'data (1)'!$J:$J,"="&amp;$A383,'data (1)'!$A:$A,"="&amp;вариация!G$2)</f>
        <v>0</v>
      </c>
      <c r="H383" t="str">
        <f t="shared" si="11"/>
        <v>No</v>
      </c>
    </row>
    <row r="384" spans="1:8" x14ac:dyDescent="0.25">
      <c r="A384" s="7" t="s">
        <v>853</v>
      </c>
      <c r="B384" s="25">
        <f t="shared" si="10"/>
        <v>2.2360679774997894</v>
      </c>
      <c r="C384">
        <f>SUMIFS('data (1)'!$M:$M,'data (1)'!$J:$J,"="&amp;$A384,'data (1)'!$A:$A,"="&amp;вариация!C$2)</f>
        <v>0</v>
      </c>
      <c r="D384">
        <f>SUMIFS('data (1)'!$M:$M,'data (1)'!$J:$J,"="&amp;$A384,'data (1)'!$A:$A,"="&amp;вариация!D$2)</f>
        <v>0</v>
      </c>
      <c r="E384">
        <f>SUMIFS('data (1)'!$M:$M,'data (1)'!$J:$J,"="&amp;$A384,'data (1)'!$A:$A,"="&amp;вариация!E$2)</f>
        <v>1</v>
      </c>
      <c r="F384">
        <f>SUMIFS('data (1)'!$M:$M,'data (1)'!$J:$J,"="&amp;$A384,'data (1)'!$A:$A,"="&amp;вариация!F$2)</f>
        <v>0</v>
      </c>
      <c r="G384">
        <f>SUMIFS('data (1)'!$M:$M,'data (1)'!$J:$J,"="&amp;$A384,'data (1)'!$A:$A,"="&amp;вариация!G$2)</f>
        <v>0</v>
      </c>
      <c r="H384" t="str">
        <f t="shared" si="11"/>
        <v>No</v>
      </c>
    </row>
    <row r="385" spans="1:8" x14ac:dyDescent="0.25">
      <c r="A385" s="7" t="s">
        <v>945</v>
      </c>
      <c r="B385" s="25">
        <f t="shared" si="10"/>
        <v>2.2360679774997894</v>
      </c>
      <c r="C385">
        <f>SUMIFS('data (1)'!$M:$M,'data (1)'!$J:$J,"="&amp;$A385,'data (1)'!$A:$A,"="&amp;вариация!C$2)</f>
        <v>0</v>
      </c>
      <c r="D385">
        <f>SUMIFS('data (1)'!$M:$M,'data (1)'!$J:$J,"="&amp;$A385,'data (1)'!$A:$A,"="&amp;вариация!D$2)</f>
        <v>0</v>
      </c>
      <c r="E385">
        <f>SUMIFS('data (1)'!$M:$M,'data (1)'!$J:$J,"="&amp;$A385,'data (1)'!$A:$A,"="&amp;вариация!E$2)</f>
        <v>0</v>
      </c>
      <c r="F385">
        <f>SUMIFS('data (1)'!$M:$M,'data (1)'!$J:$J,"="&amp;$A385,'data (1)'!$A:$A,"="&amp;вариация!F$2)</f>
        <v>1</v>
      </c>
      <c r="G385">
        <f>SUMIFS('data (1)'!$M:$M,'data (1)'!$J:$J,"="&amp;$A385,'data (1)'!$A:$A,"="&amp;вариация!G$2)</f>
        <v>0</v>
      </c>
      <c r="H385" t="str">
        <f t="shared" si="11"/>
        <v>No</v>
      </c>
    </row>
    <row r="386" spans="1:8" x14ac:dyDescent="0.25">
      <c r="A386" s="7" t="s">
        <v>433</v>
      </c>
      <c r="B386" s="25">
        <f t="shared" si="10"/>
        <v>1.4907119849998598</v>
      </c>
      <c r="C386">
        <f>SUMIFS('data (1)'!$M:$M,'data (1)'!$J:$J,"="&amp;$A386,'data (1)'!$A:$A,"="&amp;вариация!C$2)</f>
        <v>2</v>
      </c>
      <c r="D386">
        <f>SUMIFS('data (1)'!$M:$M,'data (1)'!$J:$J,"="&amp;$A386,'data (1)'!$A:$A,"="&amp;вариация!D$2)</f>
        <v>0</v>
      </c>
      <c r="E386">
        <f>SUMIFS('data (1)'!$M:$M,'data (1)'!$J:$J,"="&amp;$A386,'data (1)'!$A:$A,"="&amp;вариация!E$2)</f>
        <v>1</v>
      </c>
      <c r="F386">
        <f>SUMIFS('data (1)'!$M:$M,'data (1)'!$J:$J,"="&amp;$A386,'data (1)'!$A:$A,"="&amp;вариация!F$2)</f>
        <v>0</v>
      </c>
      <c r="G386">
        <f>SUMIFS('data (1)'!$M:$M,'data (1)'!$J:$J,"="&amp;$A386,'data (1)'!$A:$A,"="&amp;вариация!G$2)</f>
        <v>0</v>
      </c>
      <c r="H386" t="str">
        <f t="shared" si="11"/>
        <v>No</v>
      </c>
    </row>
    <row r="387" spans="1:8" x14ac:dyDescent="0.25">
      <c r="A387" s="7" t="s">
        <v>560</v>
      </c>
      <c r="B387" s="25">
        <f t="shared" si="10"/>
        <v>2.2360679774997894</v>
      </c>
      <c r="C387">
        <f>SUMIFS('data (1)'!$M:$M,'data (1)'!$J:$J,"="&amp;$A387,'data (1)'!$A:$A,"="&amp;вариация!C$2)</f>
        <v>0</v>
      </c>
      <c r="D387">
        <f>SUMIFS('data (1)'!$M:$M,'data (1)'!$J:$J,"="&amp;$A387,'data (1)'!$A:$A,"="&amp;вариация!D$2)</f>
        <v>1</v>
      </c>
      <c r="E387">
        <f>SUMIFS('data (1)'!$M:$M,'data (1)'!$J:$J,"="&amp;$A387,'data (1)'!$A:$A,"="&amp;вариация!E$2)</f>
        <v>0</v>
      </c>
      <c r="F387">
        <f>SUMIFS('data (1)'!$M:$M,'data (1)'!$J:$J,"="&amp;$A387,'data (1)'!$A:$A,"="&amp;вариация!F$2)</f>
        <v>0</v>
      </c>
      <c r="G387">
        <f>SUMIFS('data (1)'!$M:$M,'data (1)'!$J:$J,"="&amp;$A387,'data (1)'!$A:$A,"="&amp;вариация!G$2)</f>
        <v>0</v>
      </c>
      <c r="H387" t="str">
        <f t="shared" si="11"/>
        <v>No</v>
      </c>
    </row>
    <row r="388" spans="1:8" x14ac:dyDescent="0.25">
      <c r="A388" s="7" t="s">
        <v>1148</v>
      </c>
      <c r="B388" s="25">
        <f t="shared" ref="B388:B451" si="12">_xlfn.STDEV.S(C388:G388)/AVERAGE(C388:G388)</f>
        <v>2.2360679774997894</v>
      </c>
      <c r="C388">
        <f>SUMIFS('data (1)'!$M:$M,'data (1)'!$J:$J,"="&amp;$A388,'data (1)'!$A:$A,"="&amp;вариация!C$2)</f>
        <v>0</v>
      </c>
      <c r="D388">
        <f>SUMIFS('data (1)'!$M:$M,'data (1)'!$J:$J,"="&amp;$A388,'data (1)'!$A:$A,"="&amp;вариация!D$2)</f>
        <v>0</v>
      </c>
      <c r="E388">
        <f>SUMIFS('data (1)'!$M:$M,'data (1)'!$J:$J,"="&amp;$A388,'data (1)'!$A:$A,"="&amp;вариация!E$2)</f>
        <v>0</v>
      </c>
      <c r="F388">
        <f>SUMIFS('data (1)'!$M:$M,'data (1)'!$J:$J,"="&amp;$A388,'data (1)'!$A:$A,"="&amp;вариация!F$2)</f>
        <v>0</v>
      </c>
      <c r="G388">
        <f>SUMIFS('data (1)'!$M:$M,'data (1)'!$J:$J,"="&amp;$A388,'data (1)'!$A:$A,"="&amp;вариация!G$2)</f>
        <v>1</v>
      </c>
      <c r="H388" t="str">
        <f t="shared" ref="H388:H451" si="13">IF(COUNTIF(C388:G388,"&gt;0") &gt;=3, "Yes", "No")</f>
        <v>No</v>
      </c>
    </row>
    <row r="389" spans="1:8" x14ac:dyDescent="0.25">
      <c r="A389" s="7" t="s">
        <v>683</v>
      </c>
      <c r="B389" s="25">
        <f t="shared" si="12"/>
        <v>2.2360679774997894</v>
      </c>
      <c r="C389">
        <f>SUMIFS('data (1)'!$M:$M,'data (1)'!$J:$J,"="&amp;$A389,'data (1)'!$A:$A,"="&amp;вариация!C$2)</f>
        <v>0</v>
      </c>
      <c r="D389">
        <f>SUMIFS('data (1)'!$M:$M,'data (1)'!$J:$J,"="&amp;$A389,'data (1)'!$A:$A,"="&amp;вариация!D$2)</f>
        <v>1</v>
      </c>
      <c r="E389">
        <f>SUMIFS('data (1)'!$M:$M,'data (1)'!$J:$J,"="&amp;$A389,'data (1)'!$A:$A,"="&amp;вариация!E$2)</f>
        <v>0</v>
      </c>
      <c r="F389">
        <f>SUMIFS('data (1)'!$M:$M,'data (1)'!$J:$J,"="&amp;$A389,'data (1)'!$A:$A,"="&amp;вариация!F$2)</f>
        <v>0</v>
      </c>
      <c r="G389">
        <f>SUMIFS('data (1)'!$M:$M,'data (1)'!$J:$J,"="&amp;$A389,'data (1)'!$A:$A,"="&amp;вариация!G$2)</f>
        <v>0</v>
      </c>
      <c r="H389" t="str">
        <f t="shared" si="13"/>
        <v>No</v>
      </c>
    </row>
    <row r="390" spans="1:8" x14ac:dyDescent="0.25">
      <c r="A390" s="7" t="s">
        <v>535</v>
      </c>
      <c r="B390" s="25">
        <f t="shared" si="12"/>
        <v>2.2360679774997894</v>
      </c>
      <c r="C390">
        <f>SUMIFS('data (1)'!$M:$M,'data (1)'!$J:$J,"="&amp;$A390,'data (1)'!$A:$A,"="&amp;вариация!C$2)</f>
        <v>0</v>
      </c>
      <c r="D390">
        <f>SUMIFS('data (1)'!$M:$M,'data (1)'!$J:$J,"="&amp;$A390,'data (1)'!$A:$A,"="&amp;вариация!D$2)</f>
        <v>1</v>
      </c>
      <c r="E390">
        <f>SUMIFS('data (1)'!$M:$M,'data (1)'!$J:$J,"="&amp;$A390,'data (1)'!$A:$A,"="&amp;вариация!E$2)</f>
        <v>0</v>
      </c>
      <c r="F390">
        <f>SUMIFS('data (1)'!$M:$M,'data (1)'!$J:$J,"="&amp;$A390,'data (1)'!$A:$A,"="&amp;вариация!F$2)</f>
        <v>0</v>
      </c>
      <c r="G390">
        <f>SUMIFS('data (1)'!$M:$M,'data (1)'!$J:$J,"="&amp;$A390,'data (1)'!$A:$A,"="&amp;вариация!G$2)</f>
        <v>0</v>
      </c>
      <c r="H390" t="str">
        <f t="shared" si="13"/>
        <v>No</v>
      </c>
    </row>
    <row r="391" spans="1:8" x14ac:dyDescent="0.25">
      <c r="A391" s="7" t="s">
        <v>661</v>
      </c>
      <c r="B391" s="25">
        <f t="shared" si="12"/>
        <v>2.2360679774997894</v>
      </c>
      <c r="C391">
        <f>SUMIFS('data (1)'!$M:$M,'data (1)'!$J:$J,"="&amp;$A391,'data (1)'!$A:$A,"="&amp;вариация!C$2)</f>
        <v>0</v>
      </c>
      <c r="D391">
        <f>SUMIFS('data (1)'!$M:$M,'data (1)'!$J:$J,"="&amp;$A391,'data (1)'!$A:$A,"="&amp;вариация!D$2)</f>
        <v>1</v>
      </c>
      <c r="E391">
        <f>SUMIFS('data (1)'!$M:$M,'data (1)'!$J:$J,"="&amp;$A391,'data (1)'!$A:$A,"="&amp;вариация!E$2)</f>
        <v>0</v>
      </c>
      <c r="F391">
        <f>SUMIFS('data (1)'!$M:$M,'data (1)'!$J:$J,"="&amp;$A391,'data (1)'!$A:$A,"="&amp;вариация!F$2)</f>
        <v>0</v>
      </c>
      <c r="G391">
        <f>SUMIFS('data (1)'!$M:$M,'data (1)'!$J:$J,"="&amp;$A391,'data (1)'!$A:$A,"="&amp;вариация!G$2)</f>
        <v>0</v>
      </c>
      <c r="H391" t="str">
        <f t="shared" si="13"/>
        <v>No</v>
      </c>
    </row>
    <row r="392" spans="1:8" x14ac:dyDescent="0.25">
      <c r="A392" s="7" t="s">
        <v>753</v>
      </c>
      <c r="B392" s="25">
        <f t="shared" si="12"/>
        <v>2.2360679774997894</v>
      </c>
      <c r="C392">
        <f>SUMIFS('data (1)'!$M:$M,'data (1)'!$J:$J,"="&amp;$A392,'data (1)'!$A:$A,"="&amp;вариация!C$2)</f>
        <v>0</v>
      </c>
      <c r="D392">
        <f>SUMIFS('data (1)'!$M:$M,'data (1)'!$J:$J,"="&amp;$A392,'data (1)'!$A:$A,"="&amp;вариация!D$2)</f>
        <v>0</v>
      </c>
      <c r="E392">
        <f>SUMIFS('data (1)'!$M:$M,'data (1)'!$J:$J,"="&amp;$A392,'data (1)'!$A:$A,"="&amp;вариация!E$2)</f>
        <v>1</v>
      </c>
      <c r="F392">
        <f>SUMIFS('data (1)'!$M:$M,'data (1)'!$J:$J,"="&amp;$A392,'data (1)'!$A:$A,"="&amp;вариация!F$2)</f>
        <v>0</v>
      </c>
      <c r="G392">
        <f>SUMIFS('data (1)'!$M:$M,'data (1)'!$J:$J,"="&amp;$A392,'data (1)'!$A:$A,"="&amp;вариация!G$2)</f>
        <v>0</v>
      </c>
      <c r="H392" t="str">
        <f t="shared" si="13"/>
        <v>No</v>
      </c>
    </row>
    <row r="393" spans="1:8" x14ac:dyDescent="0.25">
      <c r="A393" s="7" t="s">
        <v>946</v>
      </c>
      <c r="B393" s="25">
        <f t="shared" si="12"/>
        <v>2.2360679774997894</v>
      </c>
      <c r="C393">
        <f>SUMIFS('data (1)'!$M:$M,'data (1)'!$J:$J,"="&amp;$A393,'data (1)'!$A:$A,"="&amp;вариация!C$2)</f>
        <v>0</v>
      </c>
      <c r="D393">
        <f>SUMIFS('data (1)'!$M:$M,'data (1)'!$J:$J,"="&amp;$A393,'data (1)'!$A:$A,"="&amp;вариация!D$2)</f>
        <v>0</v>
      </c>
      <c r="E393">
        <f>SUMIFS('data (1)'!$M:$M,'data (1)'!$J:$J,"="&amp;$A393,'data (1)'!$A:$A,"="&amp;вариация!E$2)</f>
        <v>0</v>
      </c>
      <c r="F393">
        <f>SUMIFS('data (1)'!$M:$M,'data (1)'!$J:$J,"="&amp;$A393,'data (1)'!$A:$A,"="&amp;вариация!F$2)</f>
        <v>1</v>
      </c>
      <c r="G393">
        <f>SUMIFS('data (1)'!$M:$M,'data (1)'!$J:$J,"="&amp;$A393,'data (1)'!$A:$A,"="&amp;вариация!G$2)</f>
        <v>0</v>
      </c>
      <c r="H393" t="str">
        <f t="shared" si="13"/>
        <v>No</v>
      </c>
    </row>
    <row r="394" spans="1:8" x14ac:dyDescent="0.25">
      <c r="A394" s="7" t="s">
        <v>432</v>
      </c>
      <c r="B394" s="25">
        <f t="shared" si="12"/>
        <v>2.2360679774997894</v>
      </c>
      <c r="C394">
        <f>SUMIFS('data (1)'!$M:$M,'data (1)'!$J:$J,"="&amp;$A394,'data (1)'!$A:$A,"="&amp;вариация!C$2)</f>
        <v>1</v>
      </c>
      <c r="D394">
        <f>SUMIFS('data (1)'!$M:$M,'data (1)'!$J:$J,"="&amp;$A394,'data (1)'!$A:$A,"="&amp;вариация!D$2)</f>
        <v>0</v>
      </c>
      <c r="E394">
        <f>SUMIFS('data (1)'!$M:$M,'data (1)'!$J:$J,"="&amp;$A394,'data (1)'!$A:$A,"="&amp;вариация!E$2)</f>
        <v>0</v>
      </c>
      <c r="F394">
        <f>SUMIFS('data (1)'!$M:$M,'data (1)'!$J:$J,"="&amp;$A394,'data (1)'!$A:$A,"="&amp;вариация!F$2)</f>
        <v>0</v>
      </c>
      <c r="G394">
        <f>SUMIFS('data (1)'!$M:$M,'data (1)'!$J:$J,"="&amp;$A394,'data (1)'!$A:$A,"="&amp;вариация!G$2)</f>
        <v>0</v>
      </c>
      <c r="H394" t="str">
        <f t="shared" si="13"/>
        <v>No</v>
      </c>
    </row>
    <row r="395" spans="1:8" x14ac:dyDescent="0.25">
      <c r="A395" s="7" t="s">
        <v>254</v>
      </c>
      <c r="B395" s="25">
        <f t="shared" si="12"/>
        <v>0.72435582280029431</v>
      </c>
      <c r="C395">
        <f>SUMIFS('data (1)'!$M:$M,'data (1)'!$J:$J,"="&amp;$A395,'data (1)'!$A:$A,"="&amp;вариация!C$2)</f>
        <v>2</v>
      </c>
      <c r="D395">
        <f>SUMIFS('data (1)'!$M:$M,'data (1)'!$J:$J,"="&amp;$A395,'data (1)'!$A:$A,"="&amp;вариация!D$2)</f>
        <v>1</v>
      </c>
      <c r="E395">
        <f>SUMIFS('data (1)'!$M:$M,'data (1)'!$J:$J,"="&amp;$A395,'data (1)'!$A:$A,"="&amp;вариация!E$2)</f>
        <v>0</v>
      </c>
      <c r="F395">
        <f>SUMIFS('data (1)'!$M:$M,'data (1)'!$J:$J,"="&amp;$A395,'data (1)'!$A:$A,"="&amp;вариация!F$2)</f>
        <v>3</v>
      </c>
      <c r="G395">
        <f>SUMIFS('data (1)'!$M:$M,'data (1)'!$J:$J,"="&amp;$A395,'data (1)'!$A:$A,"="&amp;вариация!G$2)</f>
        <v>3</v>
      </c>
      <c r="H395" t="str">
        <f t="shared" si="13"/>
        <v>Yes</v>
      </c>
    </row>
    <row r="396" spans="1:8" x14ac:dyDescent="0.25">
      <c r="A396" s="7" t="s">
        <v>327</v>
      </c>
      <c r="B396" s="25">
        <f t="shared" si="12"/>
        <v>2.2360679774997894</v>
      </c>
      <c r="C396">
        <f>SUMIFS('data (1)'!$M:$M,'data (1)'!$J:$J,"="&amp;$A396,'data (1)'!$A:$A,"="&amp;вариация!C$2)</f>
        <v>1</v>
      </c>
      <c r="D396">
        <f>SUMIFS('data (1)'!$M:$M,'data (1)'!$J:$J,"="&amp;$A396,'data (1)'!$A:$A,"="&amp;вариация!D$2)</f>
        <v>0</v>
      </c>
      <c r="E396">
        <f>SUMIFS('data (1)'!$M:$M,'data (1)'!$J:$J,"="&amp;$A396,'data (1)'!$A:$A,"="&amp;вариация!E$2)</f>
        <v>0</v>
      </c>
      <c r="F396">
        <f>SUMIFS('data (1)'!$M:$M,'data (1)'!$J:$J,"="&amp;$A396,'data (1)'!$A:$A,"="&amp;вариация!F$2)</f>
        <v>0</v>
      </c>
      <c r="G396">
        <f>SUMIFS('data (1)'!$M:$M,'data (1)'!$J:$J,"="&amp;$A396,'data (1)'!$A:$A,"="&amp;вариация!G$2)</f>
        <v>0</v>
      </c>
      <c r="H396" t="str">
        <f t="shared" si="13"/>
        <v>No</v>
      </c>
    </row>
    <row r="397" spans="1:8" x14ac:dyDescent="0.25">
      <c r="A397" s="7" t="s">
        <v>193</v>
      </c>
      <c r="B397" s="25">
        <f t="shared" si="12"/>
        <v>2.2360679774997894</v>
      </c>
      <c r="C397">
        <f>SUMIFS('data (1)'!$M:$M,'data (1)'!$J:$J,"="&amp;$A397,'data (1)'!$A:$A,"="&amp;вариация!C$2)</f>
        <v>1</v>
      </c>
      <c r="D397">
        <f>SUMIFS('data (1)'!$M:$M,'data (1)'!$J:$J,"="&amp;$A397,'data (1)'!$A:$A,"="&amp;вариация!D$2)</f>
        <v>0</v>
      </c>
      <c r="E397">
        <f>SUMIFS('data (1)'!$M:$M,'data (1)'!$J:$J,"="&amp;$A397,'data (1)'!$A:$A,"="&amp;вариация!E$2)</f>
        <v>0</v>
      </c>
      <c r="F397">
        <f>SUMIFS('data (1)'!$M:$M,'data (1)'!$J:$J,"="&amp;$A397,'data (1)'!$A:$A,"="&amp;вариация!F$2)</f>
        <v>0</v>
      </c>
      <c r="G397">
        <f>SUMIFS('data (1)'!$M:$M,'data (1)'!$J:$J,"="&amp;$A397,'data (1)'!$A:$A,"="&amp;вариация!G$2)</f>
        <v>0</v>
      </c>
      <c r="H397" t="str">
        <f t="shared" si="13"/>
        <v>No</v>
      </c>
    </row>
    <row r="398" spans="1:8" x14ac:dyDescent="0.25">
      <c r="A398" s="7" t="s">
        <v>502</v>
      </c>
      <c r="B398" s="25">
        <f t="shared" si="12"/>
        <v>2.2360679774997894</v>
      </c>
      <c r="C398">
        <f>SUMIFS('data (1)'!$M:$M,'data (1)'!$J:$J,"="&amp;$A398,'data (1)'!$A:$A,"="&amp;вариация!C$2)</f>
        <v>0</v>
      </c>
      <c r="D398">
        <f>SUMIFS('data (1)'!$M:$M,'data (1)'!$J:$J,"="&amp;$A398,'data (1)'!$A:$A,"="&amp;вариация!D$2)</f>
        <v>1</v>
      </c>
      <c r="E398">
        <f>SUMIFS('data (1)'!$M:$M,'data (1)'!$J:$J,"="&amp;$A398,'data (1)'!$A:$A,"="&amp;вариация!E$2)</f>
        <v>0</v>
      </c>
      <c r="F398">
        <f>SUMIFS('data (1)'!$M:$M,'data (1)'!$J:$J,"="&amp;$A398,'data (1)'!$A:$A,"="&amp;вариация!F$2)</f>
        <v>0</v>
      </c>
      <c r="G398">
        <f>SUMIFS('data (1)'!$M:$M,'data (1)'!$J:$J,"="&amp;$A398,'data (1)'!$A:$A,"="&amp;вариация!G$2)</f>
        <v>0</v>
      </c>
      <c r="H398" t="str">
        <f t="shared" si="13"/>
        <v>No</v>
      </c>
    </row>
    <row r="399" spans="1:8" x14ac:dyDescent="0.25">
      <c r="A399" s="7" t="s">
        <v>876</v>
      </c>
      <c r="B399" s="25">
        <f t="shared" si="12"/>
        <v>2.2360679774997894</v>
      </c>
      <c r="C399">
        <f>SUMIFS('data (1)'!$M:$M,'data (1)'!$J:$J,"="&amp;$A399,'data (1)'!$A:$A,"="&amp;вариация!C$2)</f>
        <v>0</v>
      </c>
      <c r="D399">
        <f>SUMIFS('data (1)'!$M:$M,'data (1)'!$J:$J,"="&amp;$A399,'data (1)'!$A:$A,"="&amp;вариация!D$2)</f>
        <v>0</v>
      </c>
      <c r="E399">
        <f>SUMIFS('data (1)'!$M:$M,'data (1)'!$J:$J,"="&amp;$A399,'data (1)'!$A:$A,"="&amp;вариация!E$2)</f>
        <v>1</v>
      </c>
      <c r="F399">
        <f>SUMIFS('data (1)'!$M:$M,'data (1)'!$J:$J,"="&amp;$A399,'data (1)'!$A:$A,"="&amp;вариация!F$2)</f>
        <v>0</v>
      </c>
      <c r="G399">
        <f>SUMIFS('data (1)'!$M:$M,'data (1)'!$J:$J,"="&amp;$A399,'data (1)'!$A:$A,"="&amp;вариация!G$2)</f>
        <v>0</v>
      </c>
      <c r="H399" t="str">
        <f t="shared" si="13"/>
        <v>No</v>
      </c>
    </row>
    <row r="400" spans="1:8" x14ac:dyDescent="0.25">
      <c r="A400" s="7" t="s">
        <v>1047</v>
      </c>
      <c r="B400" s="25">
        <f t="shared" si="12"/>
        <v>2.2360679774997894</v>
      </c>
      <c r="C400">
        <f>SUMIFS('data (1)'!$M:$M,'data (1)'!$J:$J,"="&amp;$A400,'data (1)'!$A:$A,"="&amp;вариация!C$2)</f>
        <v>0</v>
      </c>
      <c r="D400">
        <f>SUMIFS('data (1)'!$M:$M,'data (1)'!$J:$J,"="&amp;$A400,'data (1)'!$A:$A,"="&amp;вариация!D$2)</f>
        <v>0</v>
      </c>
      <c r="E400">
        <f>SUMIFS('data (1)'!$M:$M,'data (1)'!$J:$J,"="&amp;$A400,'data (1)'!$A:$A,"="&amp;вариация!E$2)</f>
        <v>0</v>
      </c>
      <c r="F400">
        <f>SUMIFS('data (1)'!$M:$M,'data (1)'!$J:$J,"="&amp;$A400,'data (1)'!$A:$A,"="&amp;вариация!F$2)</f>
        <v>1</v>
      </c>
      <c r="G400">
        <f>SUMIFS('data (1)'!$M:$M,'data (1)'!$J:$J,"="&amp;$A400,'data (1)'!$A:$A,"="&amp;вариация!G$2)</f>
        <v>0</v>
      </c>
      <c r="H400" t="str">
        <f t="shared" si="13"/>
        <v>No</v>
      </c>
    </row>
    <row r="401" spans="1:8" x14ac:dyDescent="0.25">
      <c r="A401" s="7" t="s">
        <v>555</v>
      </c>
      <c r="B401" s="25">
        <f t="shared" si="12"/>
        <v>1.4142135623730951</v>
      </c>
      <c r="C401">
        <f>SUMIFS('data (1)'!$M:$M,'data (1)'!$J:$J,"="&amp;$A401,'data (1)'!$A:$A,"="&amp;вариация!C$2)</f>
        <v>0</v>
      </c>
      <c r="D401">
        <f>SUMIFS('data (1)'!$M:$M,'data (1)'!$J:$J,"="&amp;$A401,'data (1)'!$A:$A,"="&amp;вариация!D$2)</f>
        <v>2</v>
      </c>
      <c r="E401">
        <f>SUMIFS('data (1)'!$M:$M,'data (1)'!$J:$J,"="&amp;$A401,'data (1)'!$A:$A,"="&amp;вариация!E$2)</f>
        <v>3</v>
      </c>
      <c r="F401">
        <f>SUMIFS('data (1)'!$M:$M,'data (1)'!$J:$J,"="&amp;$A401,'data (1)'!$A:$A,"="&amp;вариация!F$2)</f>
        <v>0</v>
      </c>
      <c r="G401">
        <f>SUMIFS('data (1)'!$M:$M,'data (1)'!$J:$J,"="&amp;$A401,'data (1)'!$A:$A,"="&amp;вариация!G$2)</f>
        <v>0</v>
      </c>
      <c r="H401" t="str">
        <f t="shared" si="13"/>
        <v>No</v>
      </c>
    </row>
    <row r="402" spans="1:8" x14ac:dyDescent="0.25">
      <c r="A402" s="7" t="s">
        <v>943</v>
      </c>
      <c r="B402" s="25">
        <f t="shared" si="12"/>
        <v>2.2360679774997894</v>
      </c>
      <c r="C402">
        <f>SUMIFS('data (1)'!$M:$M,'data (1)'!$J:$J,"="&amp;$A402,'data (1)'!$A:$A,"="&amp;вариация!C$2)</f>
        <v>0</v>
      </c>
      <c r="D402">
        <f>SUMIFS('data (1)'!$M:$M,'data (1)'!$J:$J,"="&amp;$A402,'data (1)'!$A:$A,"="&amp;вариация!D$2)</f>
        <v>0</v>
      </c>
      <c r="E402">
        <f>SUMIFS('data (1)'!$M:$M,'data (1)'!$J:$J,"="&amp;$A402,'data (1)'!$A:$A,"="&amp;вариация!E$2)</f>
        <v>0</v>
      </c>
      <c r="F402">
        <f>SUMIFS('data (1)'!$M:$M,'data (1)'!$J:$J,"="&amp;$A402,'data (1)'!$A:$A,"="&amp;вариация!F$2)</f>
        <v>2</v>
      </c>
      <c r="G402">
        <f>SUMIFS('data (1)'!$M:$M,'data (1)'!$J:$J,"="&amp;$A402,'data (1)'!$A:$A,"="&amp;вариация!G$2)</f>
        <v>0</v>
      </c>
      <c r="H402" t="str">
        <f t="shared" si="13"/>
        <v>No</v>
      </c>
    </row>
    <row r="403" spans="1:8" x14ac:dyDescent="0.25">
      <c r="A403" s="7" t="s">
        <v>606</v>
      </c>
      <c r="B403" s="25">
        <f t="shared" si="12"/>
        <v>2.2360679774997894</v>
      </c>
      <c r="C403">
        <f>SUMIFS('data (1)'!$M:$M,'data (1)'!$J:$J,"="&amp;$A403,'data (1)'!$A:$A,"="&amp;вариация!C$2)</f>
        <v>0</v>
      </c>
      <c r="D403">
        <f>SUMIFS('data (1)'!$M:$M,'data (1)'!$J:$J,"="&amp;$A403,'data (1)'!$A:$A,"="&amp;вариация!D$2)</f>
        <v>1</v>
      </c>
      <c r="E403">
        <f>SUMIFS('data (1)'!$M:$M,'data (1)'!$J:$J,"="&amp;$A403,'data (1)'!$A:$A,"="&amp;вариация!E$2)</f>
        <v>0</v>
      </c>
      <c r="F403">
        <f>SUMIFS('data (1)'!$M:$M,'data (1)'!$J:$J,"="&amp;$A403,'data (1)'!$A:$A,"="&amp;вариация!F$2)</f>
        <v>0</v>
      </c>
      <c r="G403">
        <f>SUMIFS('data (1)'!$M:$M,'data (1)'!$J:$J,"="&amp;$A403,'data (1)'!$A:$A,"="&amp;вариация!G$2)</f>
        <v>0</v>
      </c>
      <c r="H403" t="str">
        <f t="shared" si="13"/>
        <v>No</v>
      </c>
    </row>
    <row r="404" spans="1:8" x14ac:dyDescent="0.25">
      <c r="A404" s="7" t="s">
        <v>66</v>
      </c>
      <c r="B404" s="25">
        <f t="shared" si="12"/>
        <v>1.3693063937629151</v>
      </c>
      <c r="C404">
        <f>SUMIFS('data (1)'!$M:$M,'data (1)'!$J:$J,"="&amp;$A404,'data (1)'!$A:$A,"="&amp;вариация!C$2)</f>
        <v>1</v>
      </c>
      <c r="D404">
        <f>SUMIFS('data (1)'!$M:$M,'data (1)'!$J:$J,"="&amp;$A404,'data (1)'!$A:$A,"="&amp;вариация!D$2)</f>
        <v>1</v>
      </c>
      <c r="E404">
        <f>SUMIFS('data (1)'!$M:$M,'data (1)'!$J:$J,"="&amp;$A404,'data (1)'!$A:$A,"="&amp;вариация!E$2)</f>
        <v>0</v>
      </c>
      <c r="F404">
        <f>SUMIFS('data (1)'!$M:$M,'data (1)'!$J:$J,"="&amp;$A404,'data (1)'!$A:$A,"="&amp;вариация!F$2)</f>
        <v>0</v>
      </c>
      <c r="G404">
        <f>SUMIFS('data (1)'!$M:$M,'data (1)'!$J:$J,"="&amp;$A404,'data (1)'!$A:$A,"="&amp;вариация!G$2)</f>
        <v>0</v>
      </c>
      <c r="H404" t="str">
        <f t="shared" si="13"/>
        <v>No</v>
      </c>
    </row>
    <row r="405" spans="1:8" x14ac:dyDescent="0.25">
      <c r="A405" s="7" t="s">
        <v>940</v>
      </c>
      <c r="B405" s="25">
        <f t="shared" si="12"/>
        <v>2.2360679774997894</v>
      </c>
      <c r="C405">
        <f>SUMIFS('data (1)'!$M:$M,'data (1)'!$J:$J,"="&amp;$A405,'data (1)'!$A:$A,"="&amp;вариация!C$2)</f>
        <v>0</v>
      </c>
      <c r="D405">
        <f>SUMIFS('data (1)'!$M:$M,'data (1)'!$J:$J,"="&amp;$A405,'data (1)'!$A:$A,"="&amp;вариация!D$2)</f>
        <v>0</v>
      </c>
      <c r="E405">
        <f>SUMIFS('data (1)'!$M:$M,'data (1)'!$J:$J,"="&amp;$A405,'data (1)'!$A:$A,"="&amp;вариация!E$2)</f>
        <v>0</v>
      </c>
      <c r="F405">
        <f>SUMIFS('data (1)'!$M:$M,'data (1)'!$J:$J,"="&amp;$A405,'data (1)'!$A:$A,"="&amp;вариация!F$2)</f>
        <v>1</v>
      </c>
      <c r="G405">
        <f>SUMIFS('data (1)'!$M:$M,'data (1)'!$J:$J,"="&amp;$A405,'data (1)'!$A:$A,"="&amp;вариация!G$2)</f>
        <v>0</v>
      </c>
      <c r="H405" t="str">
        <f t="shared" si="13"/>
        <v>No</v>
      </c>
    </row>
    <row r="406" spans="1:8" x14ac:dyDescent="0.25">
      <c r="A406" s="7" t="s">
        <v>1095</v>
      </c>
      <c r="B406" s="25">
        <f t="shared" si="12"/>
        <v>2.2360679774997894</v>
      </c>
      <c r="C406">
        <f>SUMIFS('data (1)'!$M:$M,'data (1)'!$J:$J,"="&amp;$A406,'data (1)'!$A:$A,"="&amp;вариация!C$2)</f>
        <v>0</v>
      </c>
      <c r="D406">
        <f>SUMIFS('data (1)'!$M:$M,'data (1)'!$J:$J,"="&amp;$A406,'data (1)'!$A:$A,"="&amp;вариация!D$2)</f>
        <v>0</v>
      </c>
      <c r="E406">
        <f>SUMIFS('data (1)'!$M:$M,'data (1)'!$J:$J,"="&amp;$A406,'data (1)'!$A:$A,"="&amp;вариация!E$2)</f>
        <v>0</v>
      </c>
      <c r="F406">
        <f>SUMIFS('data (1)'!$M:$M,'data (1)'!$J:$J,"="&amp;$A406,'data (1)'!$A:$A,"="&amp;вариация!F$2)</f>
        <v>0</v>
      </c>
      <c r="G406">
        <f>SUMIFS('data (1)'!$M:$M,'data (1)'!$J:$J,"="&amp;$A406,'data (1)'!$A:$A,"="&amp;вариация!G$2)</f>
        <v>1</v>
      </c>
      <c r="H406" t="str">
        <f t="shared" si="13"/>
        <v>No</v>
      </c>
    </row>
    <row r="407" spans="1:8" x14ac:dyDescent="0.25">
      <c r="A407" s="7" t="s">
        <v>693</v>
      </c>
      <c r="B407" s="25">
        <f t="shared" si="12"/>
        <v>2.2360679774997894</v>
      </c>
      <c r="C407">
        <f>SUMIFS('data (1)'!$M:$M,'data (1)'!$J:$J,"="&amp;$A407,'data (1)'!$A:$A,"="&amp;вариация!C$2)</f>
        <v>0</v>
      </c>
      <c r="D407">
        <f>SUMIFS('data (1)'!$M:$M,'data (1)'!$J:$J,"="&amp;$A407,'data (1)'!$A:$A,"="&amp;вариация!D$2)</f>
        <v>1</v>
      </c>
      <c r="E407">
        <f>SUMIFS('data (1)'!$M:$M,'data (1)'!$J:$J,"="&amp;$A407,'data (1)'!$A:$A,"="&amp;вариация!E$2)</f>
        <v>0</v>
      </c>
      <c r="F407">
        <f>SUMIFS('data (1)'!$M:$M,'data (1)'!$J:$J,"="&amp;$A407,'data (1)'!$A:$A,"="&amp;вариация!F$2)</f>
        <v>0</v>
      </c>
      <c r="G407">
        <f>SUMIFS('data (1)'!$M:$M,'data (1)'!$J:$J,"="&amp;$A407,'data (1)'!$A:$A,"="&amp;вариация!G$2)</f>
        <v>0</v>
      </c>
      <c r="H407" t="str">
        <f t="shared" si="13"/>
        <v>No</v>
      </c>
    </row>
    <row r="408" spans="1:8" x14ac:dyDescent="0.25">
      <c r="A408" s="7" t="s">
        <v>356</v>
      </c>
      <c r="B408" s="25">
        <f t="shared" si="12"/>
        <v>2.2360679774997898</v>
      </c>
      <c r="C408">
        <f>SUMIFS('data (1)'!$M:$M,'data (1)'!$J:$J,"="&amp;$A408,'data (1)'!$A:$A,"="&amp;вариация!C$2)</f>
        <v>0.7</v>
      </c>
      <c r="D408">
        <f>SUMIFS('data (1)'!$M:$M,'data (1)'!$J:$J,"="&amp;$A408,'data (1)'!$A:$A,"="&amp;вариация!D$2)</f>
        <v>0</v>
      </c>
      <c r="E408">
        <f>SUMIFS('data (1)'!$M:$M,'data (1)'!$J:$J,"="&amp;$A408,'data (1)'!$A:$A,"="&amp;вариация!E$2)</f>
        <v>0</v>
      </c>
      <c r="F408">
        <f>SUMIFS('data (1)'!$M:$M,'data (1)'!$J:$J,"="&amp;$A408,'data (1)'!$A:$A,"="&amp;вариация!F$2)</f>
        <v>0</v>
      </c>
      <c r="G408">
        <f>SUMIFS('data (1)'!$M:$M,'data (1)'!$J:$J,"="&amp;$A408,'data (1)'!$A:$A,"="&amp;вариация!G$2)</f>
        <v>0</v>
      </c>
      <c r="H408" t="str">
        <f t="shared" si="13"/>
        <v>No</v>
      </c>
    </row>
    <row r="409" spans="1:8" x14ac:dyDescent="0.25">
      <c r="A409" s="7" t="s">
        <v>469</v>
      </c>
      <c r="B409" s="25">
        <f t="shared" si="12"/>
        <v>1.5687375497513916</v>
      </c>
      <c r="C409">
        <f>SUMIFS('data (1)'!$M:$M,'data (1)'!$J:$J,"="&amp;$A409,'data (1)'!$A:$A,"="&amp;вариация!C$2)</f>
        <v>1</v>
      </c>
      <c r="D409">
        <f>SUMIFS('data (1)'!$M:$M,'data (1)'!$J:$J,"="&amp;$A409,'data (1)'!$A:$A,"="&amp;вариация!D$2)</f>
        <v>1</v>
      </c>
      <c r="E409">
        <f>SUMIFS('data (1)'!$M:$M,'data (1)'!$J:$J,"="&amp;$A409,'data (1)'!$A:$A,"="&amp;вариация!E$2)</f>
        <v>0</v>
      </c>
      <c r="F409">
        <f>SUMIFS('data (1)'!$M:$M,'data (1)'!$J:$J,"="&amp;$A409,'data (1)'!$A:$A,"="&amp;вариация!F$2)</f>
        <v>6</v>
      </c>
      <c r="G409">
        <f>SUMIFS('data (1)'!$M:$M,'data (1)'!$J:$J,"="&amp;$A409,'data (1)'!$A:$A,"="&amp;вариация!G$2)</f>
        <v>0</v>
      </c>
      <c r="H409" t="str">
        <f t="shared" si="13"/>
        <v>Yes</v>
      </c>
    </row>
    <row r="410" spans="1:8" x14ac:dyDescent="0.25">
      <c r="A410" s="7" t="s">
        <v>977</v>
      </c>
      <c r="B410" s="25">
        <f t="shared" si="12"/>
        <v>2.2360679774997894</v>
      </c>
      <c r="C410">
        <f>SUMIFS('data (1)'!$M:$M,'data (1)'!$J:$J,"="&amp;$A410,'data (1)'!$A:$A,"="&amp;вариация!C$2)</f>
        <v>0</v>
      </c>
      <c r="D410">
        <f>SUMIFS('data (1)'!$M:$M,'data (1)'!$J:$J,"="&amp;$A410,'data (1)'!$A:$A,"="&amp;вариация!D$2)</f>
        <v>0</v>
      </c>
      <c r="E410">
        <f>SUMIFS('data (1)'!$M:$M,'data (1)'!$J:$J,"="&amp;$A410,'data (1)'!$A:$A,"="&amp;вариация!E$2)</f>
        <v>0</v>
      </c>
      <c r="F410">
        <f>SUMIFS('data (1)'!$M:$M,'data (1)'!$J:$J,"="&amp;$A410,'data (1)'!$A:$A,"="&amp;вариация!F$2)</f>
        <v>1</v>
      </c>
      <c r="G410">
        <f>SUMIFS('data (1)'!$M:$M,'data (1)'!$J:$J,"="&amp;$A410,'data (1)'!$A:$A,"="&amp;вариация!G$2)</f>
        <v>0</v>
      </c>
      <c r="H410" t="str">
        <f t="shared" si="13"/>
        <v>No</v>
      </c>
    </row>
    <row r="411" spans="1:8" x14ac:dyDescent="0.25">
      <c r="A411" s="7" t="s">
        <v>738</v>
      </c>
      <c r="B411" s="25">
        <f t="shared" si="12"/>
        <v>2.2360679774997894</v>
      </c>
      <c r="C411">
        <f>SUMIFS('data (1)'!$M:$M,'data (1)'!$J:$J,"="&amp;$A411,'data (1)'!$A:$A,"="&amp;вариация!C$2)</f>
        <v>0</v>
      </c>
      <c r="D411">
        <f>SUMIFS('data (1)'!$M:$M,'data (1)'!$J:$J,"="&amp;$A411,'data (1)'!$A:$A,"="&amp;вариация!D$2)</f>
        <v>0</v>
      </c>
      <c r="E411">
        <f>SUMIFS('data (1)'!$M:$M,'data (1)'!$J:$J,"="&amp;$A411,'data (1)'!$A:$A,"="&amp;вариация!E$2)</f>
        <v>2</v>
      </c>
      <c r="F411">
        <f>SUMIFS('data (1)'!$M:$M,'data (1)'!$J:$J,"="&amp;$A411,'data (1)'!$A:$A,"="&amp;вариация!F$2)</f>
        <v>0</v>
      </c>
      <c r="G411">
        <f>SUMIFS('data (1)'!$M:$M,'data (1)'!$J:$J,"="&amp;$A411,'data (1)'!$A:$A,"="&amp;вариация!G$2)</f>
        <v>0</v>
      </c>
      <c r="H411" t="str">
        <f t="shared" si="13"/>
        <v>No</v>
      </c>
    </row>
    <row r="412" spans="1:8" x14ac:dyDescent="0.25">
      <c r="A412" s="7" t="s">
        <v>529</v>
      </c>
      <c r="B412" s="25">
        <f t="shared" si="12"/>
        <v>0.91287092917527679</v>
      </c>
      <c r="C412">
        <f>SUMIFS('data (1)'!$M:$M,'data (1)'!$J:$J,"="&amp;$A412,'data (1)'!$A:$A,"="&amp;вариация!C$2)</f>
        <v>0</v>
      </c>
      <c r="D412">
        <f>SUMIFS('data (1)'!$M:$M,'data (1)'!$J:$J,"="&amp;$A412,'data (1)'!$A:$A,"="&amp;вариация!D$2)</f>
        <v>1</v>
      </c>
      <c r="E412">
        <f>SUMIFS('data (1)'!$M:$M,'data (1)'!$J:$J,"="&amp;$A412,'data (1)'!$A:$A,"="&amp;вариация!E$2)</f>
        <v>1</v>
      </c>
      <c r="F412">
        <f>SUMIFS('data (1)'!$M:$M,'data (1)'!$J:$J,"="&amp;$A412,'data (1)'!$A:$A,"="&amp;вариация!F$2)</f>
        <v>0</v>
      </c>
      <c r="G412">
        <f>SUMIFS('data (1)'!$M:$M,'data (1)'!$J:$J,"="&amp;$A412,'data (1)'!$A:$A,"="&amp;вариация!G$2)</f>
        <v>1</v>
      </c>
      <c r="H412" t="str">
        <f t="shared" si="13"/>
        <v>Yes</v>
      </c>
    </row>
    <row r="413" spans="1:8" x14ac:dyDescent="0.25">
      <c r="A413" s="7" t="s">
        <v>68</v>
      </c>
      <c r="B413" s="25">
        <f t="shared" si="12"/>
        <v>1.0458250331675945</v>
      </c>
      <c r="C413">
        <f>SUMIFS('data (1)'!$M:$M,'data (1)'!$J:$J,"="&amp;$A413,'data (1)'!$A:$A,"="&amp;вариация!C$2)</f>
        <v>1</v>
      </c>
      <c r="D413">
        <f>SUMIFS('data (1)'!$M:$M,'data (1)'!$J:$J,"="&amp;$A413,'data (1)'!$A:$A,"="&amp;вариация!D$2)</f>
        <v>1</v>
      </c>
      <c r="E413">
        <f>SUMIFS('data (1)'!$M:$M,'data (1)'!$J:$J,"="&amp;$A413,'data (1)'!$A:$A,"="&amp;вариация!E$2)</f>
        <v>2</v>
      </c>
      <c r="F413">
        <f>SUMIFS('data (1)'!$M:$M,'data (1)'!$J:$J,"="&amp;$A413,'data (1)'!$A:$A,"="&amp;вариация!F$2)</f>
        <v>0</v>
      </c>
      <c r="G413">
        <f>SUMIFS('data (1)'!$M:$M,'data (1)'!$J:$J,"="&amp;$A413,'data (1)'!$A:$A,"="&amp;вариация!G$2)</f>
        <v>0</v>
      </c>
      <c r="H413" t="str">
        <f t="shared" si="13"/>
        <v>Yes</v>
      </c>
    </row>
    <row r="414" spans="1:8" x14ac:dyDescent="0.25">
      <c r="A414" s="7" t="s">
        <v>829</v>
      </c>
      <c r="B414" s="25">
        <f t="shared" si="12"/>
        <v>1.4907119849998598</v>
      </c>
      <c r="C414">
        <f>SUMIFS('data (1)'!$M:$M,'data (1)'!$J:$J,"="&amp;$A414,'data (1)'!$A:$A,"="&amp;вариация!C$2)</f>
        <v>0</v>
      </c>
      <c r="D414">
        <f>SUMIFS('data (1)'!$M:$M,'data (1)'!$J:$J,"="&amp;$A414,'data (1)'!$A:$A,"="&amp;вариация!D$2)</f>
        <v>0</v>
      </c>
      <c r="E414">
        <f>SUMIFS('data (1)'!$M:$M,'data (1)'!$J:$J,"="&amp;$A414,'data (1)'!$A:$A,"="&amp;вариация!E$2)</f>
        <v>2</v>
      </c>
      <c r="F414">
        <f>SUMIFS('data (1)'!$M:$M,'data (1)'!$J:$J,"="&amp;$A414,'data (1)'!$A:$A,"="&amp;вариация!F$2)</f>
        <v>1</v>
      </c>
      <c r="G414">
        <f>SUMIFS('data (1)'!$M:$M,'data (1)'!$J:$J,"="&amp;$A414,'data (1)'!$A:$A,"="&amp;вариация!G$2)</f>
        <v>0</v>
      </c>
      <c r="H414" t="str">
        <f t="shared" si="13"/>
        <v>No</v>
      </c>
    </row>
    <row r="415" spans="1:8" x14ac:dyDescent="0.25">
      <c r="A415" s="7" t="s">
        <v>525</v>
      </c>
      <c r="B415" s="25">
        <f t="shared" si="12"/>
        <v>2.2360679774997894</v>
      </c>
      <c r="C415">
        <f>SUMIFS('data (1)'!$M:$M,'data (1)'!$J:$J,"="&amp;$A415,'data (1)'!$A:$A,"="&amp;вариация!C$2)</f>
        <v>0</v>
      </c>
      <c r="D415">
        <f>SUMIFS('data (1)'!$M:$M,'data (1)'!$J:$J,"="&amp;$A415,'data (1)'!$A:$A,"="&amp;вариация!D$2)</f>
        <v>2</v>
      </c>
      <c r="E415">
        <f>SUMIFS('data (1)'!$M:$M,'data (1)'!$J:$J,"="&amp;$A415,'data (1)'!$A:$A,"="&amp;вариация!E$2)</f>
        <v>0</v>
      </c>
      <c r="F415">
        <f>SUMIFS('data (1)'!$M:$M,'data (1)'!$J:$J,"="&amp;$A415,'data (1)'!$A:$A,"="&amp;вариация!F$2)</f>
        <v>0</v>
      </c>
      <c r="G415">
        <f>SUMIFS('data (1)'!$M:$M,'data (1)'!$J:$J,"="&amp;$A415,'data (1)'!$A:$A,"="&amp;вариация!G$2)</f>
        <v>0</v>
      </c>
      <c r="H415" t="str">
        <f t="shared" si="13"/>
        <v>No</v>
      </c>
    </row>
    <row r="416" spans="1:8" x14ac:dyDescent="0.25">
      <c r="A416" s="7" t="s">
        <v>991</v>
      </c>
      <c r="B416" s="25">
        <f t="shared" si="12"/>
        <v>2.2360679774997894</v>
      </c>
      <c r="C416">
        <f>SUMIFS('data (1)'!$M:$M,'data (1)'!$J:$J,"="&amp;$A416,'data (1)'!$A:$A,"="&amp;вариация!C$2)</f>
        <v>0</v>
      </c>
      <c r="D416">
        <f>SUMIFS('data (1)'!$M:$M,'data (1)'!$J:$J,"="&amp;$A416,'data (1)'!$A:$A,"="&amp;вариация!D$2)</f>
        <v>0</v>
      </c>
      <c r="E416">
        <f>SUMIFS('data (1)'!$M:$M,'data (1)'!$J:$J,"="&amp;$A416,'data (1)'!$A:$A,"="&amp;вариация!E$2)</f>
        <v>0</v>
      </c>
      <c r="F416">
        <f>SUMIFS('data (1)'!$M:$M,'data (1)'!$J:$J,"="&amp;$A416,'data (1)'!$A:$A,"="&amp;вариация!F$2)</f>
        <v>1</v>
      </c>
      <c r="G416">
        <f>SUMIFS('data (1)'!$M:$M,'data (1)'!$J:$J,"="&amp;$A416,'data (1)'!$A:$A,"="&amp;вариация!G$2)</f>
        <v>0</v>
      </c>
      <c r="H416" t="str">
        <f t="shared" si="13"/>
        <v>No</v>
      </c>
    </row>
    <row r="417" spans="1:8" x14ac:dyDescent="0.25">
      <c r="A417" s="7" t="s">
        <v>1054</v>
      </c>
      <c r="B417" s="25">
        <f t="shared" si="12"/>
        <v>2.2360679774997894</v>
      </c>
      <c r="C417">
        <f>SUMIFS('data (1)'!$M:$M,'data (1)'!$J:$J,"="&amp;$A417,'data (1)'!$A:$A,"="&amp;вариация!C$2)</f>
        <v>0</v>
      </c>
      <c r="D417">
        <f>SUMIFS('data (1)'!$M:$M,'data (1)'!$J:$J,"="&amp;$A417,'data (1)'!$A:$A,"="&amp;вариация!D$2)</f>
        <v>0</v>
      </c>
      <c r="E417">
        <f>SUMIFS('data (1)'!$M:$M,'data (1)'!$J:$J,"="&amp;$A417,'data (1)'!$A:$A,"="&amp;вариация!E$2)</f>
        <v>0</v>
      </c>
      <c r="F417">
        <f>SUMIFS('data (1)'!$M:$M,'data (1)'!$J:$J,"="&amp;$A417,'data (1)'!$A:$A,"="&amp;вариация!F$2)</f>
        <v>1</v>
      </c>
      <c r="G417">
        <f>SUMIFS('data (1)'!$M:$M,'data (1)'!$J:$J,"="&amp;$A417,'data (1)'!$A:$A,"="&amp;вариация!G$2)</f>
        <v>0</v>
      </c>
      <c r="H417" t="str">
        <f t="shared" si="13"/>
        <v>No</v>
      </c>
    </row>
    <row r="418" spans="1:8" x14ac:dyDescent="0.25">
      <c r="A418" s="7" t="s">
        <v>450</v>
      </c>
      <c r="B418" s="25">
        <f t="shared" si="12"/>
        <v>2.2360679774997894</v>
      </c>
      <c r="C418">
        <f>SUMIFS('data (1)'!$M:$M,'data (1)'!$J:$J,"="&amp;$A418,'data (1)'!$A:$A,"="&amp;вариация!C$2)</f>
        <v>1</v>
      </c>
      <c r="D418">
        <f>SUMIFS('data (1)'!$M:$M,'data (1)'!$J:$J,"="&amp;$A418,'data (1)'!$A:$A,"="&amp;вариация!D$2)</f>
        <v>0</v>
      </c>
      <c r="E418">
        <f>SUMIFS('data (1)'!$M:$M,'data (1)'!$J:$J,"="&amp;$A418,'data (1)'!$A:$A,"="&amp;вариация!E$2)</f>
        <v>0</v>
      </c>
      <c r="F418">
        <f>SUMIFS('data (1)'!$M:$M,'data (1)'!$J:$J,"="&amp;$A418,'data (1)'!$A:$A,"="&amp;вариация!F$2)</f>
        <v>0</v>
      </c>
      <c r="G418">
        <f>SUMIFS('data (1)'!$M:$M,'data (1)'!$J:$J,"="&amp;$A418,'data (1)'!$A:$A,"="&amp;вариация!G$2)</f>
        <v>0</v>
      </c>
      <c r="H418" t="str">
        <f t="shared" si="13"/>
        <v>No</v>
      </c>
    </row>
    <row r="419" spans="1:8" x14ac:dyDescent="0.25">
      <c r="A419" s="7" t="s">
        <v>484</v>
      </c>
      <c r="B419" s="25">
        <f t="shared" si="12"/>
        <v>2.2360679774997894</v>
      </c>
      <c r="C419">
        <f>SUMIFS('data (1)'!$M:$M,'data (1)'!$J:$J,"="&amp;$A419,'data (1)'!$A:$A,"="&amp;вариация!C$2)</f>
        <v>0</v>
      </c>
      <c r="D419">
        <f>SUMIFS('data (1)'!$M:$M,'data (1)'!$J:$J,"="&amp;$A419,'data (1)'!$A:$A,"="&amp;вариация!D$2)</f>
        <v>1</v>
      </c>
      <c r="E419">
        <f>SUMIFS('data (1)'!$M:$M,'data (1)'!$J:$J,"="&amp;$A419,'data (1)'!$A:$A,"="&amp;вариация!E$2)</f>
        <v>0</v>
      </c>
      <c r="F419">
        <f>SUMIFS('data (1)'!$M:$M,'data (1)'!$J:$J,"="&amp;$A419,'data (1)'!$A:$A,"="&amp;вариация!F$2)</f>
        <v>0</v>
      </c>
      <c r="G419">
        <f>SUMIFS('data (1)'!$M:$M,'data (1)'!$J:$J,"="&amp;$A419,'data (1)'!$A:$A,"="&amp;вариация!G$2)</f>
        <v>0</v>
      </c>
      <c r="H419" t="str">
        <f t="shared" si="13"/>
        <v>No</v>
      </c>
    </row>
    <row r="420" spans="1:8" x14ac:dyDescent="0.25">
      <c r="A420" s="7" t="s">
        <v>239</v>
      </c>
      <c r="B420" s="25">
        <f t="shared" si="12"/>
        <v>1.0029542161850229</v>
      </c>
      <c r="C420">
        <f>SUMIFS('data (1)'!$M:$M,'data (1)'!$J:$J,"="&amp;$A420,'data (1)'!$A:$A,"="&amp;вариация!C$2)</f>
        <v>4</v>
      </c>
      <c r="D420">
        <f>SUMIFS('data (1)'!$M:$M,'data (1)'!$J:$J,"="&amp;$A420,'data (1)'!$A:$A,"="&amp;вариация!D$2)</f>
        <v>6</v>
      </c>
      <c r="E420">
        <f>SUMIFS('data (1)'!$M:$M,'data (1)'!$J:$J,"="&amp;$A420,'data (1)'!$A:$A,"="&amp;вариация!E$2)</f>
        <v>3</v>
      </c>
      <c r="F420">
        <f>SUMIFS('data (1)'!$M:$M,'data (1)'!$J:$J,"="&amp;$A420,'data (1)'!$A:$A,"="&amp;вариация!F$2)</f>
        <v>0</v>
      </c>
      <c r="G420">
        <f>SUMIFS('data (1)'!$M:$M,'data (1)'!$J:$J,"="&amp;$A420,'data (1)'!$A:$A,"="&amp;вариация!G$2)</f>
        <v>0</v>
      </c>
      <c r="H420" t="str">
        <f t="shared" si="13"/>
        <v>Yes</v>
      </c>
    </row>
    <row r="421" spans="1:8" x14ac:dyDescent="0.25">
      <c r="A421" s="7" t="s">
        <v>819</v>
      </c>
      <c r="B421" s="25">
        <f t="shared" si="12"/>
        <v>1.4907119849998598</v>
      </c>
      <c r="C421">
        <f>SUMIFS('data (1)'!$M:$M,'data (1)'!$J:$J,"="&amp;$A421,'data (1)'!$A:$A,"="&amp;вариация!C$2)</f>
        <v>0</v>
      </c>
      <c r="D421">
        <f>SUMIFS('data (1)'!$M:$M,'data (1)'!$J:$J,"="&amp;$A421,'data (1)'!$A:$A,"="&amp;вариация!D$2)</f>
        <v>0</v>
      </c>
      <c r="E421">
        <f>SUMIFS('data (1)'!$M:$M,'data (1)'!$J:$J,"="&amp;$A421,'data (1)'!$A:$A,"="&amp;вариация!E$2)</f>
        <v>1</v>
      </c>
      <c r="F421">
        <f>SUMIFS('data (1)'!$M:$M,'data (1)'!$J:$J,"="&amp;$A421,'data (1)'!$A:$A,"="&amp;вариация!F$2)</f>
        <v>0</v>
      </c>
      <c r="G421">
        <f>SUMIFS('data (1)'!$M:$M,'data (1)'!$J:$J,"="&amp;$A421,'data (1)'!$A:$A,"="&amp;вариация!G$2)</f>
        <v>2</v>
      </c>
      <c r="H421" t="str">
        <f t="shared" si="13"/>
        <v>No</v>
      </c>
    </row>
    <row r="422" spans="1:8" x14ac:dyDescent="0.25">
      <c r="A422" s="7" t="s">
        <v>1227</v>
      </c>
      <c r="B422" s="25">
        <f t="shared" si="12"/>
        <v>2.2360679774997894</v>
      </c>
      <c r="C422">
        <f>SUMIFS('data (1)'!$M:$M,'data (1)'!$J:$J,"="&amp;$A422,'data (1)'!$A:$A,"="&amp;вариация!C$2)</f>
        <v>0</v>
      </c>
      <c r="D422">
        <f>SUMIFS('data (1)'!$M:$M,'data (1)'!$J:$J,"="&amp;$A422,'data (1)'!$A:$A,"="&amp;вариация!D$2)</f>
        <v>0</v>
      </c>
      <c r="E422">
        <f>SUMIFS('data (1)'!$M:$M,'data (1)'!$J:$J,"="&amp;$A422,'data (1)'!$A:$A,"="&amp;вариация!E$2)</f>
        <v>0</v>
      </c>
      <c r="F422">
        <f>SUMIFS('data (1)'!$M:$M,'data (1)'!$J:$J,"="&amp;$A422,'data (1)'!$A:$A,"="&amp;вариация!F$2)</f>
        <v>0</v>
      </c>
      <c r="G422">
        <f>SUMIFS('data (1)'!$M:$M,'data (1)'!$J:$J,"="&amp;$A422,'data (1)'!$A:$A,"="&amp;вариация!G$2)</f>
        <v>4</v>
      </c>
      <c r="H422" t="str">
        <f t="shared" si="13"/>
        <v>No</v>
      </c>
    </row>
    <row r="423" spans="1:8" x14ac:dyDescent="0.25">
      <c r="A423" s="7" t="s">
        <v>592</v>
      </c>
      <c r="B423" s="25">
        <f t="shared" si="12"/>
        <v>0.91287092917527679</v>
      </c>
      <c r="C423">
        <f>SUMIFS('data (1)'!$M:$M,'data (1)'!$J:$J,"="&amp;$A423,'data (1)'!$A:$A,"="&amp;вариация!C$2)</f>
        <v>0</v>
      </c>
      <c r="D423">
        <f>SUMIFS('data (1)'!$M:$M,'data (1)'!$J:$J,"="&amp;$A423,'data (1)'!$A:$A,"="&amp;вариация!D$2)</f>
        <v>1</v>
      </c>
      <c r="E423">
        <f>SUMIFS('data (1)'!$M:$M,'data (1)'!$J:$J,"="&amp;$A423,'data (1)'!$A:$A,"="&amp;вариация!E$2)</f>
        <v>1</v>
      </c>
      <c r="F423">
        <f>SUMIFS('data (1)'!$M:$M,'data (1)'!$J:$J,"="&amp;$A423,'data (1)'!$A:$A,"="&amp;вариация!F$2)</f>
        <v>1</v>
      </c>
      <c r="G423">
        <f>SUMIFS('data (1)'!$M:$M,'data (1)'!$J:$J,"="&amp;$A423,'data (1)'!$A:$A,"="&amp;вариация!G$2)</f>
        <v>0</v>
      </c>
      <c r="H423" t="str">
        <f t="shared" si="13"/>
        <v>Yes</v>
      </c>
    </row>
    <row r="424" spans="1:8" x14ac:dyDescent="0.25">
      <c r="A424" s="7" t="s">
        <v>1038</v>
      </c>
      <c r="B424" s="25">
        <f t="shared" si="12"/>
        <v>2.2360679774997894</v>
      </c>
      <c r="C424">
        <f>SUMIFS('data (1)'!$M:$M,'data (1)'!$J:$J,"="&amp;$A424,'data (1)'!$A:$A,"="&amp;вариация!C$2)</f>
        <v>0</v>
      </c>
      <c r="D424">
        <f>SUMIFS('data (1)'!$M:$M,'data (1)'!$J:$J,"="&amp;$A424,'data (1)'!$A:$A,"="&amp;вариация!D$2)</f>
        <v>0</v>
      </c>
      <c r="E424">
        <f>SUMIFS('data (1)'!$M:$M,'data (1)'!$J:$J,"="&amp;$A424,'data (1)'!$A:$A,"="&amp;вариация!E$2)</f>
        <v>0</v>
      </c>
      <c r="F424">
        <f>SUMIFS('data (1)'!$M:$M,'data (1)'!$J:$J,"="&amp;$A424,'data (1)'!$A:$A,"="&amp;вариация!F$2)</f>
        <v>1</v>
      </c>
      <c r="G424">
        <f>SUMIFS('data (1)'!$M:$M,'data (1)'!$J:$J,"="&amp;$A424,'data (1)'!$A:$A,"="&amp;вариация!G$2)</f>
        <v>0</v>
      </c>
      <c r="H424" t="str">
        <f t="shared" si="13"/>
        <v>No</v>
      </c>
    </row>
    <row r="425" spans="1:8" x14ac:dyDescent="0.25">
      <c r="A425" s="7" t="s">
        <v>1072</v>
      </c>
      <c r="B425" s="25">
        <f t="shared" si="12"/>
        <v>2.2360679774997898</v>
      </c>
      <c r="C425">
        <f>SUMIFS('data (1)'!$M:$M,'data (1)'!$J:$J,"="&amp;$A425,'data (1)'!$A:$A,"="&amp;вариация!C$2)</f>
        <v>0</v>
      </c>
      <c r="D425">
        <f>SUMIFS('data (1)'!$M:$M,'data (1)'!$J:$J,"="&amp;$A425,'data (1)'!$A:$A,"="&amp;вариация!D$2)</f>
        <v>0</v>
      </c>
      <c r="E425">
        <f>SUMIFS('data (1)'!$M:$M,'data (1)'!$J:$J,"="&amp;$A425,'data (1)'!$A:$A,"="&amp;вариация!E$2)</f>
        <v>0</v>
      </c>
      <c r="F425">
        <f>SUMIFS('data (1)'!$M:$M,'data (1)'!$J:$J,"="&amp;$A425,'data (1)'!$A:$A,"="&amp;вариация!F$2)</f>
        <v>3</v>
      </c>
      <c r="G425">
        <f>SUMIFS('data (1)'!$M:$M,'data (1)'!$J:$J,"="&amp;$A425,'data (1)'!$A:$A,"="&amp;вариация!G$2)</f>
        <v>0</v>
      </c>
      <c r="H425" t="str">
        <f t="shared" si="13"/>
        <v>No</v>
      </c>
    </row>
    <row r="426" spans="1:8" x14ac:dyDescent="0.25">
      <c r="A426" s="7" t="s">
        <v>642</v>
      </c>
      <c r="B426" s="25">
        <f t="shared" si="12"/>
        <v>1.0458250331675945</v>
      </c>
      <c r="C426">
        <f>SUMIFS('data (1)'!$M:$M,'data (1)'!$J:$J,"="&amp;$A426,'data (1)'!$A:$A,"="&amp;вариация!C$2)</f>
        <v>0</v>
      </c>
      <c r="D426">
        <f>SUMIFS('data (1)'!$M:$M,'data (1)'!$J:$J,"="&amp;$A426,'data (1)'!$A:$A,"="&amp;вариация!D$2)</f>
        <v>1</v>
      </c>
      <c r="E426">
        <f>SUMIFS('data (1)'!$M:$M,'data (1)'!$J:$J,"="&amp;$A426,'data (1)'!$A:$A,"="&amp;вариация!E$2)</f>
        <v>1</v>
      </c>
      <c r="F426">
        <f>SUMIFS('data (1)'!$M:$M,'data (1)'!$J:$J,"="&amp;$A426,'data (1)'!$A:$A,"="&amp;вариация!F$2)</f>
        <v>2</v>
      </c>
      <c r="G426">
        <f>SUMIFS('data (1)'!$M:$M,'data (1)'!$J:$J,"="&amp;$A426,'data (1)'!$A:$A,"="&amp;вариация!G$2)</f>
        <v>0</v>
      </c>
      <c r="H426" t="str">
        <f t="shared" si="13"/>
        <v>Yes</v>
      </c>
    </row>
    <row r="427" spans="1:8" x14ac:dyDescent="0.25">
      <c r="A427" s="7" t="s">
        <v>389</v>
      </c>
      <c r="B427" s="25">
        <f t="shared" si="12"/>
        <v>1.4907119849998598</v>
      </c>
      <c r="C427">
        <f>SUMIFS('data (1)'!$M:$M,'data (1)'!$J:$J,"="&amp;$A427,'data (1)'!$A:$A,"="&amp;вариация!C$2)</f>
        <v>2</v>
      </c>
      <c r="D427">
        <f>SUMIFS('data (1)'!$M:$M,'data (1)'!$J:$J,"="&amp;$A427,'data (1)'!$A:$A,"="&amp;вариация!D$2)</f>
        <v>1</v>
      </c>
      <c r="E427">
        <f>SUMIFS('data (1)'!$M:$M,'data (1)'!$J:$J,"="&amp;$A427,'data (1)'!$A:$A,"="&amp;вариация!E$2)</f>
        <v>0</v>
      </c>
      <c r="F427">
        <f>SUMIFS('data (1)'!$M:$M,'data (1)'!$J:$J,"="&amp;$A427,'data (1)'!$A:$A,"="&amp;вариация!F$2)</f>
        <v>0</v>
      </c>
      <c r="G427">
        <f>SUMIFS('data (1)'!$M:$M,'data (1)'!$J:$J,"="&amp;$A427,'data (1)'!$A:$A,"="&amp;вариация!G$2)</f>
        <v>0</v>
      </c>
      <c r="H427" t="str">
        <f t="shared" si="13"/>
        <v>No</v>
      </c>
    </row>
    <row r="428" spans="1:8" x14ac:dyDescent="0.25">
      <c r="A428" s="7" t="s">
        <v>896</v>
      </c>
      <c r="B428" s="25">
        <f t="shared" si="12"/>
        <v>2.2360679774997894</v>
      </c>
      <c r="C428">
        <f>SUMIFS('data (1)'!$M:$M,'data (1)'!$J:$J,"="&amp;$A428,'data (1)'!$A:$A,"="&amp;вариация!C$2)</f>
        <v>0</v>
      </c>
      <c r="D428">
        <f>SUMIFS('data (1)'!$M:$M,'data (1)'!$J:$J,"="&amp;$A428,'data (1)'!$A:$A,"="&amp;вариация!D$2)</f>
        <v>0</v>
      </c>
      <c r="E428">
        <f>SUMIFS('data (1)'!$M:$M,'data (1)'!$J:$J,"="&amp;$A428,'data (1)'!$A:$A,"="&amp;вариация!E$2)</f>
        <v>1</v>
      </c>
      <c r="F428">
        <f>SUMIFS('data (1)'!$M:$M,'data (1)'!$J:$J,"="&amp;$A428,'data (1)'!$A:$A,"="&amp;вариация!F$2)</f>
        <v>0</v>
      </c>
      <c r="G428">
        <f>SUMIFS('data (1)'!$M:$M,'data (1)'!$J:$J,"="&amp;$A428,'data (1)'!$A:$A,"="&amp;вариация!G$2)</f>
        <v>0</v>
      </c>
      <c r="H428" t="str">
        <f t="shared" si="13"/>
        <v>No</v>
      </c>
    </row>
    <row r="429" spans="1:8" x14ac:dyDescent="0.25">
      <c r="A429" s="7" t="s">
        <v>475</v>
      </c>
      <c r="B429" s="25">
        <f t="shared" si="12"/>
        <v>1.3693063937629151</v>
      </c>
      <c r="C429">
        <f>SUMIFS('data (1)'!$M:$M,'data (1)'!$J:$J,"="&amp;$A429,'data (1)'!$A:$A,"="&amp;вариация!C$2)</f>
        <v>1</v>
      </c>
      <c r="D429">
        <f>SUMIFS('data (1)'!$M:$M,'data (1)'!$J:$J,"="&amp;$A429,'data (1)'!$A:$A,"="&amp;вариация!D$2)</f>
        <v>0</v>
      </c>
      <c r="E429">
        <f>SUMIFS('data (1)'!$M:$M,'data (1)'!$J:$J,"="&amp;$A429,'data (1)'!$A:$A,"="&amp;вариация!E$2)</f>
        <v>0</v>
      </c>
      <c r="F429">
        <f>SUMIFS('data (1)'!$M:$M,'data (1)'!$J:$J,"="&amp;$A429,'data (1)'!$A:$A,"="&amp;вариация!F$2)</f>
        <v>1</v>
      </c>
      <c r="G429">
        <f>SUMIFS('data (1)'!$M:$M,'data (1)'!$J:$J,"="&amp;$A429,'data (1)'!$A:$A,"="&amp;вариация!G$2)</f>
        <v>0</v>
      </c>
      <c r="H429" t="str">
        <f t="shared" si="13"/>
        <v>No</v>
      </c>
    </row>
    <row r="430" spans="1:8" x14ac:dyDescent="0.25">
      <c r="A430" s="7" t="s">
        <v>427</v>
      </c>
      <c r="B430" s="25">
        <f t="shared" si="12"/>
        <v>1.0458250331675945</v>
      </c>
      <c r="C430">
        <f>SUMIFS('data (1)'!$M:$M,'data (1)'!$J:$J,"="&amp;$A430,'data (1)'!$A:$A,"="&amp;вариация!C$2)</f>
        <v>1</v>
      </c>
      <c r="D430">
        <f>SUMIFS('data (1)'!$M:$M,'data (1)'!$J:$J,"="&amp;$A430,'data (1)'!$A:$A,"="&amp;вариация!D$2)</f>
        <v>0</v>
      </c>
      <c r="E430">
        <f>SUMIFS('data (1)'!$M:$M,'data (1)'!$J:$J,"="&amp;$A430,'data (1)'!$A:$A,"="&amp;вариация!E$2)</f>
        <v>1</v>
      </c>
      <c r="F430">
        <f>SUMIFS('data (1)'!$M:$M,'data (1)'!$J:$J,"="&amp;$A430,'data (1)'!$A:$A,"="&amp;вариация!F$2)</f>
        <v>0</v>
      </c>
      <c r="G430">
        <f>SUMIFS('data (1)'!$M:$M,'data (1)'!$J:$J,"="&amp;$A430,'data (1)'!$A:$A,"="&amp;вариация!G$2)</f>
        <v>2</v>
      </c>
      <c r="H430" t="str">
        <f t="shared" si="13"/>
        <v>Yes</v>
      </c>
    </row>
    <row r="431" spans="1:8" x14ac:dyDescent="0.25">
      <c r="A431" s="7" t="s">
        <v>716</v>
      </c>
      <c r="B431" s="25">
        <f t="shared" si="12"/>
        <v>2.2360679774997894</v>
      </c>
      <c r="C431">
        <f>SUMIFS('data (1)'!$M:$M,'data (1)'!$J:$J,"="&amp;$A431,'data (1)'!$A:$A,"="&amp;вариация!C$2)</f>
        <v>0</v>
      </c>
      <c r="D431">
        <f>SUMIFS('data (1)'!$M:$M,'data (1)'!$J:$J,"="&amp;$A431,'data (1)'!$A:$A,"="&amp;вариация!D$2)</f>
        <v>0</v>
      </c>
      <c r="E431">
        <f>SUMIFS('data (1)'!$M:$M,'data (1)'!$J:$J,"="&amp;$A431,'data (1)'!$A:$A,"="&amp;вариация!E$2)</f>
        <v>1</v>
      </c>
      <c r="F431">
        <f>SUMIFS('data (1)'!$M:$M,'data (1)'!$J:$J,"="&amp;$A431,'data (1)'!$A:$A,"="&amp;вариация!F$2)</f>
        <v>0</v>
      </c>
      <c r="G431">
        <f>SUMIFS('data (1)'!$M:$M,'data (1)'!$J:$J,"="&amp;$A431,'data (1)'!$A:$A,"="&amp;вариация!G$2)</f>
        <v>0</v>
      </c>
      <c r="H431" t="str">
        <f t="shared" si="13"/>
        <v>No</v>
      </c>
    </row>
    <row r="432" spans="1:8" x14ac:dyDescent="0.25">
      <c r="A432" s="7" t="s">
        <v>823</v>
      </c>
      <c r="B432" s="25">
        <f t="shared" si="12"/>
        <v>2.2360679774997894</v>
      </c>
      <c r="C432">
        <f>SUMIFS('data (1)'!$M:$M,'data (1)'!$J:$J,"="&amp;$A432,'data (1)'!$A:$A,"="&amp;вариация!C$2)</f>
        <v>0</v>
      </c>
      <c r="D432">
        <f>SUMIFS('data (1)'!$M:$M,'data (1)'!$J:$J,"="&amp;$A432,'data (1)'!$A:$A,"="&amp;вариация!D$2)</f>
        <v>0</v>
      </c>
      <c r="E432">
        <f>SUMIFS('data (1)'!$M:$M,'data (1)'!$J:$J,"="&amp;$A432,'data (1)'!$A:$A,"="&amp;вариация!E$2)</f>
        <v>1</v>
      </c>
      <c r="F432">
        <f>SUMIFS('data (1)'!$M:$M,'data (1)'!$J:$J,"="&amp;$A432,'data (1)'!$A:$A,"="&amp;вариация!F$2)</f>
        <v>0</v>
      </c>
      <c r="G432">
        <f>SUMIFS('data (1)'!$M:$M,'data (1)'!$J:$J,"="&amp;$A432,'data (1)'!$A:$A,"="&amp;вариация!G$2)</f>
        <v>0</v>
      </c>
      <c r="H432" t="str">
        <f t="shared" si="13"/>
        <v>No</v>
      </c>
    </row>
    <row r="433" spans="1:8" x14ac:dyDescent="0.25">
      <c r="A433" s="7" t="s">
        <v>490</v>
      </c>
      <c r="B433" s="25">
        <f t="shared" si="12"/>
        <v>2.2360679774997894</v>
      </c>
      <c r="C433">
        <f>SUMIFS('data (1)'!$M:$M,'data (1)'!$J:$J,"="&amp;$A433,'data (1)'!$A:$A,"="&amp;вариация!C$2)</f>
        <v>0</v>
      </c>
      <c r="D433">
        <f>SUMIFS('data (1)'!$M:$M,'data (1)'!$J:$J,"="&amp;$A433,'data (1)'!$A:$A,"="&amp;вариация!D$2)</f>
        <v>2</v>
      </c>
      <c r="E433">
        <f>SUMIFS('data (1)'!$M:$M,'data (1)'!$J:$J,"="&amp;$A433,'data (1)'!$A:$A,"="&amp;вариация!E$2)</f>
        <v>0</v>
      </c>
      <c r="F433">
        <f>SUMIFS('data (1)'!$M:$M,'data (1)'!$J:$J,"="&amp;$A433,'data (1)'!$A:$A,"="&amp;вариация!F$2)</f>
        <v>0</v>
      </c>
      <c r="G433">
        <f>SUMIFS('data (1)'!$M:$M,'data (1)'!$J:$J,"="&amp;$A433,'data (1)'!$A:$A,"="&amp;вариация!G$2)</f>
        <v>0</v>
      </c>
      <c r="H433" t="str">
        <f t="shared" si="13"/>
        <v>No</v>
      </c>
    </row>
    <row r="434" spans="1:8" x14ac:dyDescent="0.25">
      <c r="A434" s="7" t="s">
        <v>491</v>
      </c>
      <c r="B434" s="25">
        <f t="shared" si="12"/>
        <v>2.2360679774997894</v>
      </c>
      <c r="C434">
        <f>SUMIFS('data (1)'!$M:$M,'data (1)'!$J:$J,"="&amp;$A434,'data (1)'!$A:$A,"="&amp;вариация!C$2)</f>
        <v>0</v>
      </c>
      <c r="D434">
        <f>SUMIFS('data (1)'!$M:$M,'data (1)'!$J:$J,"="&amp;$A434,'data (1)'!$A:$A,"="&amp;вариация!D$2)</f>
        <v>1</v>
      </c>
      <c r="E434">
        <f>SUMIFS('data (1)'!$M:$M,'data (1)'!$J:$J,"="&amp;$A434,'data (1)'!$A:$A,"="&amp;вариация!E$2)</f>
        <v>0</v>
      </c>
      <c r="F434">
        <f>SUMIFS('data (1)'!$M:$M,'data (1)'!$J:$J,"="&amp;$A434,'data (1)'!$A:$A,"="&amp;вариация!F$2)</f>
        <v>0</v>
      </c>
      <c r="G434">
        <f>SUMIFS('data (1)'!$M:$M,'data (1)'!$J:$J,"="&amp;$A434,'data (1)'!$A:$A,"="&amp;вариация!G$2)</f>
        <v>0</v>
      </c>
      <c r="H434" t="str">
        <f t="shared" si="13"/>
        <v>No</v>
      </c>
    </row>
    <row r="435" spans="1:8" x14ac:dyDescent="0.25">
      <c r="A435" s="7" t="s">
        <v>657</v>
      </c>
      <c r="B435" s="25">
        <f t="shared" si="12"/>
        <v>2.2360679774997894</v>
      </c>
      <c r="C435">
        <f>SUMIFS('data (1)'!$M:$M,'data (1)'!$J:$J,"="&amp;$A435,'data (1)'!$A:$A,"="&amp;вариация!C$2)</f>
        <v>0</v>
      </c>
      <c r="D435">
        <f>SUMIFS('data (1)'!$M:$M,'data (1)'!$J:$J,"="&amp;$A435,'data (1)'!$A:$A,"="&amp;вариация!D$2)</f>
        <v>0.16666666999999999</v>
      </c>
      <c r="E435">
        <f>SUMIFS('data (1)'!$M:$M,'data (1)'!$J:$J,"="&amp;$A435,'data (1)'!$A:$A,"="&amp;вариация!E$2)</f>
        <v>0</v>
      </c>
      <c r="F435">
        <f>SUMIFS('data (1)'!$M:$M,'data (1)'!$J:$J,"="&amp;$A435,'data (1)'!$A:$A,"="&amp;вариация!F$2)</f>
        <v>0</v>
      </c>
      <c r="G435">
        <f>SUMIFS('data (1)'!$M:$M,'data (1)'!$J:$J,"="&amp;$A435,'data (1)'!$A:$A,"="&amp;вариация!G$2)</f>
        <v>0</v>
      </c>
      <c r="H435" t="str">
        <f t="shared" si="13"/>
        <v>No</v>
      </c>
    </row>
    <row r="436" spans="1:8" x14ac:dyDescent="0.25">
      <c r="A436" s="7" t="s">
        <v>558</v>
      </c>
      <c r="B436" s="25">
        <f t="shared" si="12"/>
        <v>1.3693063937629151</v>
      </c>
      <c r="C436">
        <f>SUMIFS('data (1)'!$M:$M,'data (1)'!$J:$J,"="&amp;$A436,'data (1)'!$A:$A,"="&amp;вариация!C$2)</f>
        <v>0</v>
      </c>
      <c r="D436">
        <f>SUMIFS('data (1)'!$M:$M,'data (1)'!$J:$J,"="&amp;$A436,'data (1)'!$A:$A,"="&amp;вариация!D$2)</f>
        <v>1</v>
      </c>
      <c r="E436">
        <f>SUMIFS('data (1)'!$M:$M,'data (1)'!$J:$J,"="&amp;$A436,'data (1)'!$A:$A,"="&amp;вариация!E$2)</f>
        <v>0</v>
      </c>
      <c r="F436">
        <f>SUMIFS('data (1)'!$M:$M,'data (1)'!$J:$J,"="&amp;$A436,'data (1)'!$A:$A,"="&amp;вариация!F$2)</f>
        <v>0</v>
      </c>
      <c r="G436">
        <f>SUMIFS('data (1)'!$M:$M,'data (1)'!$J:$J,"="&amp;$A436,'data (1)'!$A:$A,"="&amp;вариация!G$2)</f>
        <v>1</v>
      </c>
      <c r="H436" t="str">
        <f t="shared" si="13"/>
        <v>No</v>
      </c>
    </row>
    <row r="437" spans="1:8" x14ac:dyDescent="0.25">
      <c r="A437" s="7" t="s">
        <v>881</v>
      </c>
      <c r="B437" s="25">
        <f t="shared" si="12"/>
        <v>1.3693063937629151</v>
      </c>
      <c r="C437">
        <f>SUMIFS('data (1)'!$M:$M,'data (1)'!$J:$J,"="&amp;$A437,'data (1)'!$A:$A,"="&amp;вариация!C$2)</f>
        <v>0</v>
      </c>
      <c r="D437">
        <f>SUMIFS('data (1)'!$M:$M,'data (1)'!$J:$J,"="&amp;$A437,'data (1)'!$A:$A,"="&amp;вариация!D$2)</f>
        <v>0</v>
      </c>
      <c r="E437">
        <f>SUMIFS('data (1)'!$M:$M,'data (1)'!$J:$J,"="&amp;$A437,'data (1)'!$A:$A,"="&amp;вариация!E$2)</f>
        <v>1</v>
      </c>
      <c r="F437">
        <f>SUMIFS('data (1)'!$M:$M,'data (1)'!$J:$J,"="&amp;$A437,'data (1)'!$A:$A,"="&amp;вариация!F$2)</f>
        <v>1</v>
      </c>
      <c r="G437">
        <f>SUMIFS('data (1)'!$M:$M,'data (1)'!$J:$J,"="&amp;$A437,'data (1)'!$A:$A,"="&amp;вариация!G$2)</f>
        <v>0</v>
      </c>
      <c r="H437" t="str">
        <f t="shared" si="13"/>
        <v>No</v>
      </c>
    </row>
    <row r="438" spans="1:8" x14ac:dyDescent="0.25">
      <c r="A438" s="7" t="s">
        <v>726</v>
      </c>
      <c r="B438" s="25">
        <f t="shared" si="12"/>
        <v>2.2360679774997894</v>
      </c>
      <c r="C438">
        <f>SUMIFS('data (1)'!$M:$M,'data (1)'!$J:$J,"="&amp;$A438,'data (1)'!$A:$A,"="&amp;вариация!C$2)</f>
        <v>0</v>
      </c>
      <c r="D438">
        <f>SUMIFS('data (1)'!$M:$M,'data (1)'!$J:$J,"="&amp;$A438,'data (1)'!$A:$A,"="&amp;вариация!D$2)</f>
        <v>0</v>
      </c>
      <c r="E438">
        <f>SUMIFS('data (1)'!$M:$M,'data (1)'!$J:$J,"="&amp;$A438,'data (1)'!$A:$A,"="&amp;вариация!E$2)</f>
        <v>1</v>
      </c>
      <c r="F438">
        <f>SUMIFS('data (1)'!$M:$M,'data (1)'!$J:$J,"="&amp;$A438,'data (1)'!$A:$A,"="&amp;вариация!F$2)</f>
        <v>0</v>
      </c>
      <c r="G438">
        <f>SUMIFS('data (1)'!$M:$M,'data (1)'!$J:$J,"="&amp;$A438,'data (1)'!$A:$A,"="&amp;вариация!G$2)</f>
        <v>0</v>
      </c>
      <c r="H438" t="str">
        <f t="shared" si="13"/>
        <v>No</v>
      </c>
    </row>
    <row r="439" spans="1:8" x14ac:dyDescent="0.25">
      <c r="A439" s="7" t="s">
        <v>1071</v>
      </c>
      <c r="B439" s="25">
        <f t="shared" si="12"/>
        <v>2.2360679774997894</v>
      </c>
      <c r="C439">
        <f>SUMIFS('data (1)'!$M:$M,'data (1)'!$J:$J,"="&amp;$A439,'data (1)'!$A:$A,"="&amp;вариация!C$2)</f>
        <v>0</v>
      </c>
      <c r="D439">
        <f>SUMIFS('data (1)'!$M:$M,'data (1)'!$J:$J,"="&amp;$A439,'data (1)'!$A:$A,"="&amp;вариация!D$2)</f>
        <v>0</v>
      </c>
      <c r="E439">
        <f>SUMIFS('data (1)'!$M:$M,'data (1)'!$J:$J,"="&amp;$A439,'data (1)'!$A:$A,"="&amp;вариация!E$2)</f>
        <v>0</v>
      </c>
      <c r="F439">
        <f>SUMIFS('data (1)'!$M:$M,'data (1)'!$J:$J,"="&amp;$A439,'data (1)'!$A:$A,"="&amp;вариация!F$2)</f>
        <v>1</v>
      </c>
      <c r="G439">
        <f>SUMIFS('data (1)'!$M:$M,'data (1)'!$J:$J,"="&amp;$A439,'data (1)'!$A:$A,"="&amp;вариация!G$2)</f>
        <v>0</v>
      </c>
      <c r="H439" t="str">
        <f t="shared" si="13"/>
        <v>No</v>
      </c>
    </row>
    <row r="440" spans="1:8" x14ac:dyDescent="0.25">
      <c r="A440" s="7" t="s">
        <v>768</v>
      </c>
      <c r="B440" s="25">
        <f t="shared" si="12"/>
        <v>2.2360679774997894</v>
      </c>
      <c r="C440">
        <f>SUMIFS('data (1)'!$M:$M,'data (1)'!$J:$J,"="&amp;$A440,'data (1)'!$A:$A,"="&amp;вариация!C$2)</f>
        <v>0</v>
      </c>
      <c r="D440">
        <f>SUMIFS('data (1)'!$M:$M,'data (1)'!$J:$J,"="&amp;$A440,'data (1)'!$A:$A,"="&amp;вариация!D$2)</f>
        <v>0</v>
      </c>
      <c r="E440">
        <f>SUMIFS('data (1)'!$M:$M,'data (1)'!$J:$J,"="&amp;$A440,'data (1)'!$A:$A,"="&amp;вариация!E$2)</f>
        <v>1</v>
      </c>
      <c r="F440">
        <f>SUMIFS('data (1)'!$M:$M,'data (1)'!$J:$J,"="&amp;$A440,'data (1)'!$A:$A,"="&amp;вариация!F$2)</f>
        <v>0</v>
      </c>
      <c r="G440">
        <f>SUMIFS('data (1)'!$M:$M,'data (1)'!$J:$J,"="&amp;$A440,'data (1)'!$A:$A,"="&amp;вариация!G$2)</f>
        <v>0</v>
      </c>
      <c r="H440" t="str">
        <f t="shared" si="13"/>
        <v>No</v>
      </c>
    </row>
    <row r="441" spans="1:8" x14ac:dyDescent="0.25">
      <c r="A441" s="7" t="s">
        <v>1186</v>
      </c>
      <c r="B441" s="25">
        <f t="shared" si="12"/>
        <v>2.2360679774997898</v>
      </c>
      <c r="C441">
        <f>SUMIFS('data (1)'!$M:$M,'data (1)'!$J:$J,"="&amp;$A441,'data (1)'!$A:$A,"="&amp;вариация!C$2)</f>
        <v>0</v>
      </c>
      <c r="D441">
        <f>SUMIFS('data (1)'!$M:$M,'data (1)'!$J:$J,"="&amp;$A441,'data (1)'!$A:$A,"="&amp;вариация!D$2)</f>
        <v>0</v>
      </c>
      <c r="E441">
        <f>SUMIFS('data (1)'!$M:$M,'data (1)'!$J:$J,"="&amp;$A441,'data (1)'!$A:$A,"="&amp;вариация!E$2)</f>
        <v>0</v>
      </c>
      <c r="F441">
        <f>SUMIFS('data (1)'!$M:$M,'data (1)'!$J:$J,"="&amp;$A441,'data (1)'!$A:$A,"="&amp;вариация!F$2)</f>
        <v>0</v>
      </c>
      <c r="G441">
        <f>SUMIFS('data (1)'!$M:$M,'data (1)'!$J:$J,"="&amp;$A441,'data (1)'!$A:$A,"="&amp;вариация!G$2)</f>
        <v>0.2</v>
      </c>
      <c r="H441" t="str">
        <f t="shared" si="13"/>
        <v>No</v>
      </c>
    </row>
    <row r="442" spans="1:8" x14ac:dyDescent="0.25">
      <c r="A442" s="7" t="s">
        <v>719</v>
      </c>
      <c r="B442" s="25">
        <f t="shared" si="12"/>
        <v>2.2360679774997894</v>
      </c>
      <c r="C442">
        <f>SUMIFS('data (1)'!$M:$M,'data (1)'!$J:$J,"="&amp;$A442,'data (1)'!$A:$A,"="&amp;вариация!C$2)</f>
        <v>0</v>
      </c>
      <c r="D442">
        <f>SUMIFS('data (1)'!$M:$M,'data (1)'!$J:$J,"="&amp;$A442,'data (1)'!$A:$A,"="&amp;вариация!D$2)</f>
        <v>0</v>
      </c>
      <c r="E442">
        <f>SUMIFS('data (1)'!$M:$M,'data (1)'!$J:$J,"="&amp;$A442,'data (1)'!$A:$A,"="&amp;вариация!E$2)</f>
        <v>0.5</v>
      </c>
      <c r="F442">
        <f>SUMIFS('data (1)'!$M:$M,'data (1)'!$J:$J,"="&amp;$A442,'data (1)'!$A:$A,"="&amp;вариация!F$2)</f>
        <v>0</v>
      </c>
      <c r="G442">
        <f>SUMIFS('data (1)'!$M:$M,'data (1)'!$J:$J,"="&amp;$A442,'data (1)'!$A:$A,"="&amp;вариация!G$2)</f>
        <v>0</v>
      </c>
      <c r="H442" t="str">
        <f t="shared" si="13"/>
        <v>No</v>
      </c>
    </row>
    <row r="443" spans="1:8" x14ac:dyDescent="0.25">
      <c r="A443" s="7" t="s">
        <v>1173</v>
      </c>
      <c r="B443" s="25">
        <f t="shared" si="12"/>
        <v>2.2360679774997894</v>
      </c>
      <c r="C443">
        <f>SUMIFS('data (1)'!$M:$M,'data (1)'!$J:$J,"="&amp;$A443,'data (1)'!$A:$A,"="&amp;вариация!C$2)</f>
        <v>0</v>
      </c>
      <c r="D443">
        <f>SUMIFS('data (1)'!$M:$M,'data (1)'!$J:$J,"="&amp;$A443,'data (1)'!$A:$A,"="&amp;вариация!D$2)</f>
        <v>0</v>
      </c>
      <c r="E443">
        <f>SUMIFS('data (1)'!$M:$M,'data (1)'!$J:$J,"="&amp;$A443,'data (1)'!$A:$A,"="&amp;вариация!E$2)</f>
        <v>0</v>
      </c>
      <c r="F443">
        <f>SUMIFS('data (1)'!$M:$M,'data (1)'!$J:$J,"="&amp;$A443,'data (1)'!$A:$A,"="&amp;вариация!F$2)</f>
        <v>0</v>
      </c>
      <c r="G443">
        <f>SUMIFS('data (1)'!$M:$M,'data (1)'!$J:$J,"="&amp;$A443,'data (1)'!$A:$A,"="&amp;вариация!G$2)</f>
        <v>1</v>
      </c>
      <c r="H443" t="str">
        <f t="shared" si="13"/>
        <v>No</v>
      </c>
    </row>
    <row r="444" spans="1:8" x14ac:dyDescent="0.25">
      <c r="A444" s="7" t="s">
        <v>643</v>
      </c>
      <c r="B444" s="25">
        <f t="shared" si="12"/>
        <v>2.2360679774997894</v>
      </c>
      <c r="C444">
        <f>SUMIFS('data (1)'!$M:$M,'data (1)'!$J:$J,"="&amp;$A444,'data (1)'!$A:$A,"="&amp;вариация!C$2)</f>
        <v>0</v>
      </c>
      <c r="D444">
        <f>SUMIFS('data (1)'!$M:$M,'data (1)'!$J:$J,"="&amp;$A444,'data (1)'!$A:$A,"="&amp;вариация!D$2)</f>
        <v>1</v>
      </c>
      <c r="E444">
        <f>SUMIFS('data (1)'!$M:$M,'data (1)'!$J:$J,"="&amp;$A444,'data (1)'!$A:$A,"="&amp;вариация!E$2)</f>
        <v>0</v>
      </c>
      <c r="F444">
        <f>SUMIFS('data (1)'!$M:$M,'data (1)'!$J:$J,"="&amp;$A444,'data (1)'!$A:$A,"="&amp;вариация!F$2)</f>
        <v>0</v>
      </c>
      <c r="G444">
        <f>SUMIFS('data (1)'!$M:$M,'data (1)'!$J:$J,"="&amp;$A444,'data (1)'!$A:$A,"="&amp;вариация!G$2)</f>
        <v>0</v>
      </c>
      <c r="H444" t="str">
        <f t="shared" si="13"/>
        <v>No</v>
      </c>
    </row>
    <row r="445" spans="1:8" x14ac:dyDescent="0.25">
      <c r="A445" s="7" t="s">
        <v>549</v>
      </c>
      <c r="B445" s="25">
        <f t="shared" si="12"/>
        <v>2.2360679774997894</v>
      </c>
      <c r="C445">
        <f>SUMIFS('data (1)'!$M:$M,'data (1)'!$J:$J,"="&amp;$A445,'data (1)'!$A:$A,"="&amp;вариация!C$2)</f>
        <v>0</v>
      </c>
      <c r="D445">
        <f>SUMIFS('data (1)'!$M:$M,'data (1)'!$J:$J,"="&amp;$A445,'data (1)'!$A:$A,"="&amp;вариация!D$2)</f>
        <v>1</v>
      </c>
      <c r="E445">
        <f>SUMIFS('data (1)'!$M:$M,'data (1)'!$J:$J,"="&amp;$A445,'data (1)'!$A:$A,"="&amp;вариация!E$2)</f>
        <v>0</v>
      </c>
      <c r="F445">
        <f>SUMIFS('data (1)'!$M:$M,'data (1)'!$J:$J,"="&amp;$A445,'data (1)'!$A:$A,"="&amp;вариация!F$2)</f>
        <v>0</v>
      </c>
      <c r="G445">
        <f>SUMIFS('data (1)'!$M:$M,'data (1)'!$J:$J,"="&amp;$A445,'data (1)'!$A:$A,"="&amp;вариация!G$2)</f>
        <v>0</v>
      </c>
      <c r="H445" t="str">
        <f t="shared" si="13"/>
        <v>No</v>
      </c>
    </row>
    <row r="446" spans="1:8" x14ac:dyDescent="0.25">
      <c r="A446" s="7" t="s">
        <v>1062</v>
      </c>
      <c r="B446" s="25">
        <f t="shared" si="12"/>
        <v>2.2360679774997894</v>
      </c>
      <c r="C446">
        <f>SUMIFS('data (1)'!$M:$M,'data (1)'!$J:$J,"="&amp;$A446,'data (1)'!$A:$A,"="&amp;вариация!C$2)</f>
        <v>0</v>
      </c>
      <c r="D446">
        <f>SUMIFS('data (1)'!$M:$M,'data (1)'!$J:$J,"="&amp;$A446,'data (1)'!$A:$A,"="&amp;вариация!D$2)</f>
        <v>0</v>
      </c>
      <c r="E446">
        <f>SUMIFS('data (1)'!$M:$M,'data (1)'!$J:$J,"="&amp;$A446,'data (1)'!$A:$A,"="&amp;вариация!E$2)</f>
        <v>0</v>
      </c>
      <c r="F446">
        <f>SUMIFS('data (1)'!$M:$M,'data (1)'!$J:$J,"="&amp;$A446,'data (1)'!$A:$A,"="&amp;вариация!F$2)</f>
        <v>1</v>
      </c>
      <c r="G446">
        <f>SUMIFS('data (1)'!$M:$M,'data (1)'!$J:$J,"="&amp;$A446,'data (1)'!$A:$A,"="&amp;вариация!G$2)</f>
        <v>0</v>
      </c>
      <c r="H446" t="str">
        <f t="shared" si="13"/>
        <v>No</v>
      </c>
    </row>
    <row r="447" spans="1:8" x14ac:dyDescent="0.25">
      <c r="A447" s="7" t="s">
        <v>367</v>
      </c>
      <c r="B447" s="25">
        <f t="shared" si="12"/>
        <v>2.2360679774997894</v>
      </c>
      <c r="C447">
        <f>SUMIFS('data (1)'!$M:$M,'data (1)'!$J:$J,"="&amp;$A447,'data (1)'!$A:$A,"="&amp;вариация!C$2)</f>
        <v>1</v>
      </c>
      <c r="D447">
        <f>SUMIFS('data (1)'!$M:$M,'data (1)'!$J:$J,"="&amp;$A447,'data (1)'!$A:$A,"="&amp;вариация!D$2)</f>
        <v>0</v>
      </c>
      <c r="E447">
        <f>SUMIFS('data (1)'!$M:$M,'data (1)'!$J:$J,"="&amp;$A447,'data (1)'!$A:$A,"="&amp;вариация!E$2)</f>
        <v>0</v>
      </c>
      <c r="F447">
        <f>SUMIFS('data (1)'!$M:$M,'data (1)'!$J:$J,"="&amp;$A447,'data (1)'!$A:$A,"="&amp;вариация!F$2)</f>
        <v>0</v>
      </c>
      <c r="G447">
        <f>SUMIFS('data (1)'!$M:$M,'data (1)'!$J:$J,"="&amp;$A447,'data (1)'!$A:$A,"="&amp;вариация!G$2)</f>
        <v>0</v>
      </c>
      <c r="H447" t="str">
        <f t="shared" si="13"/>
        <v>No</v>
      </c>
    </row>
    <row r="448" spans="1:8" x14ac:dyDescent="0.25">
      <c r="A448" s="7" t="s">
        <v>687</v>
      </c>
      <c r="B448" s="25">
        <f t="shared" si="12"/>
        <v>2.2360679774997894</v>
      </c>
      <c r="C448">
        <f>SUMIFS('data (1)'!$M:$M,'data (1)'!$J:$J,"="&amp;$A448,'data (1)'!$A:$A,"="&amp;вариация!C$2)</f>
        <v>0</v>
      </c>
      <c r="D448">
        <f>SUMIFS('data (1)'!$M:$M,'data (1)'!$J:$J,"="&amp;$A448,'data (1)'!$A:$A,"="&amp;вариация!D$2)</f>
        <v>1</v>
      </c>
      <c r="E448">
        <f>SUMIFS('data (1)'!$M:$M,'data (1)'!$J:$J,"="&amp;$A448,'data (1)'!$A:$A,"="&amp;вариация!E$2)</f>
        <v>0</v>
      </c>
      <c r="F448">
        <f>SUMIFS('data (1)'!$M:$M,'data (1)'!$J:$J,"="&amp;$A448,'data (1)'!$A:$A,"="&amp;вариация!F$2)</f>
        <v>0</v>
      </c>
      <c r="G448">
        <f>SUMIFS('data (1)'!$M:$M,'data (1)'!$J:$J,"="&amp;$A448,'data (1)'!$A:$A,"="&amp;вариация!G$2)</f>
        <v>0</v>
      </c>
      <c r="H448" t="str">
        <f t="shared" si="13"/>
        <v>No</v>
      </c>
    </row>
    <row r="449" spans="1:8" x14ac:dyDescent="0.25">
      <c r="A449" s="7" t="s">
        <v>550</v>
      </c>
      <c r="B449" s="25">
        <f t="shared" si="12"/>
        <v>2.2360679774997894</v>
      </c>
      <c r="C449">
        <f>SUMIFS('data (1)'!$M:$M,'data (1)'!$J:$J,"="&amp;$A449,'data (1)'!$A:$A,"="&amp;вариация!C$2)</f>
        <v>0</v>
      </c>
      <c r="D449">
        <f>SUMIFS('data (1)'!$M:$M,'data (1)'!$J:$J,"="&amp;$A449,'data (1)'!$A:$A,"="&amp;вариация!D$2)</f>
        <v>1</v>
      </c>
      <c r="E449">
        <f>SUMIFS('data (1)'!$M:$M,'data (1)'!$J:$J,"="&amp;$A449,'data (1)'!$A:$A,"="&amp;вариация!E$2)</f>
        <v>0</v>
      </c>
      <c r="F449">
        <f>SUMIFS('data (1)'!$M:$M,'data (1)'!$J:$J,"="&amp;$A449,'data (1)'!$A:$A,"="&amp;вариация!F$2)</f>
        <v>0</v>
      </c>
      <c r="G449">
        <f>SUMIFS('data (1)'!$M:$M,'data (1)'!$J:$J,"="&amp;$A449,'data (1)'!$A:$A,"="&amp;вариация!G$2)</f>
        <v>0</v>
      </c>
      <c r="H449" t="str">
        <f t="shared" si="13"/>
        <v>No</v>
      </c>
    </row>
    <row r="450" spans="1:8" x14ac:dyDescent="0.25">
      <c r="A450" s="7" t="s">
        <v>426</v>
      </c>
      <c r="B450" s="25">
        <f t="shared" si="12"/>
        <v>2.2360679774997894</v>
      </c>
      <c r="C450">
        <f>SUMIFS('data (1)'!$M:$M,'data (1)'!$J:$J,"="&amp;$A450,'data (1)'!$A:$A,"="&amp;вариация!C$2)</f>
        <v>1</v>
      </c>
      <c r="D450">
        <f>SUMIFS('data (1)'!$M:$M,'data (1)'!$J:$J,"="&amp;$A450,'data (1)'!$A:$A,"="&amp;вариация!D$2)</f>
        <v>0</v>
      </c>
      <c r="E450">
        <f>SUMIFS('data (1)'!$M:$M,'data (1)'!$J:$J,"="&amp;$A450,'data (1)'!$A:$A,"="&amp;вариация!E$2)</f>
        <v>0</v>
      </c>
      <c r="F450">
        <f>SUMIFS('data (1)'!$M:$M,'data (1)'!$J:$J,"="&amp;$A450,'data (1)'!$A:$A,"="&amp;вариация!F$2)</f>
        <v>0</v>
      </c>
      <c r="G450">
        <f>SUMIFS('data (1)'!$M:$M,'data (1)'!$J:$J,"="&amp;$A450,'data (1)'!$A:$A,"="&amp;вариация!G$2)</f>
        <v>0</v>
      </c>
      <c r="H450" t="str">
        <f t="shared" si="13"/>
        <v>No</v>
      </c>
    </row>
    <row r="451" spans="1:8" x14ac:dyDescent="0.25">
      <c r="A451" s="7" t="s">
        <v>813</v>
      </c>
      <c r="B451" s="25">
        <f t="shared" si="12"/>
        <v>2.2360679774997894</v>
      </c>
      <c r="C451">
        <f>SUMIFS('data (1)'!$M:$M,'data (1)'!$J:$J,"="&amp;$A451,'data (1)'!$A:$A,"="&amp;вариация!C$2)</f>
        <v>0</v>
      </c>
      <c r="D451">
        <f>SUMIFS('data (1)'!$M:$M,'data (1)'!$J:$J,"="&amp;$A451,'data (1)'!$A:$A,"="&amp;вариация!D$2)</f>
        <v>0</v>
      </c>
      <c r="E451">
        <f>SUMIFS('data (1)'!$M:$M,'data (1)'!$J:$J,"="&amp;$A451,'data (1)'!$A:$A,"="&amp;вариация!E$2)</f>
        <v>1</v>
      </c>
      <c r="F451">
        <f>SUMIFS('data (1)'!$M:$M,'data (1)'!$J:$J,"="&amp;$A451,'data (1)'!$A:$A,"="&amp;вариация!F$2)</f>
        <v>0</v>
      </c>
      <c r="G451">
        <f>SUMIFS('data (1)'!$M:$M,'data (1)'!$J:$J,"="&amp;$A451,'data (1)'!$A:$A,"="&amp;вариация!G$2)</f>
        <v>0</v>
      </c>
      <c r="H451" t="str">
        <f t="shared" si="13"/>
        <v>No</v>
      </c>
    </row>
    <row r="452" spans="1:8" x14ac:dyDescent="0.25">
      <c r="A452" s="7" t="s">
        <v>815</v>
      </c>
      <c r="B452" s="25">
        <f t="shared" ref="B452:B515" si="14">_xlfn.STDEV.S(C452:G452)/AVERAGE(C452:G452)</f>
        <v>2.2360679774997894</v>
      </c>
      <c r="C452">
        <f>SUMIFS('data (1)'!$M:$M,'data (1)'!$J:$J,"="&amp;$A452,'data (1)'!$A:$A,"="&amp;вариация!C$2)</f>
        <v>0</v>
      </c>
      <c r="D452">
        <f>SUMIFS('data (1)'!$M:$M,'data (1)'!$J:$J,"="&amp;$A452,'data (1)'!$A:$A,"="&amp;вариация!D$2)</f>
        <v>0</v>
      </c>
      <c r="E452">
        <f>SUMIFS('data (1)'!$M:$M,'data (1)'!$J:$J,"="&amp;$A452,'data (1)'!$A:$A,"="&amp;вариация!E$2)</f>
        <v>1</v>
      </c>
      <c r="F452">
        <f>SUMIFS('data (1)'!$M:$M,'data (1)'!$J:$J,"="&amp;$A452,'data (1)'!$A:$A,"="&amp;вариация!F$2)</f>
        <v>0</v>
      </c>
      <c r="G452">
        <f>SUMIFS('data (1)'!$M:$M,'data (1)'!$J:$J,"="&amp;$A452,'data (1)'!$A:$A,"="&amp;вариация!G$2)</f>
        <v>0</v>
      </c>
      <c r="H452" t="str">
        <f t="shared" ref="H452:H515" si="15">IF(COUNTIF(C452:G452,"&gt;0") &gt;=3, "Yes", "No")</f>
        <v>No</v>
      </c>
    </row>
    <row r="453" spans="1:8" x14ac:dyDescent="0.25">
      <c r="A453" s="7" t="s">
        <v>814</v>
      </c>
      <c r="B453" s="25">
        <f t="shared" si="14"/>
        <v>2.2360679774997894</v>
      </c>
      <c r="C453">
        <f>SUMIFS('data (1)'!$M:$M,'data (1)'!$J:$J,"="&amp;$A453,'data (1)'!$A:$A,"="&amp;вариация!C$2)</f>
        <v>0</v>
      </c>
      <c r="D453">
        <f>SUMIFS('data (1)'!$M:$M,'data (1)'!$J:$J,"="&amp;$A453,'data (1)'!$A:$A,"="&amp;вариация!D$2)</f>
        <v>0</v>
      </c>
      <c r="E453">
        <f>SUMIFS('data (1)'!$M:$M,'data (1)'!$J:$J,"="&amp;$A453,'data (1)'!$A:$A,"="&amp;вариация!E$2)</f>
        <v>1</v>
      </c>
      <c r="F453">
        <f>SUMIFS('data (1)'!$M:$M,'data (1)'!$J:$J,"="&amp;$A453,'data (1)'!$A:$A,"="&amp;вариация!F$2)</f>
        <v>0</v>
      </c>
      <c r="G453">
        <f>SUMIFS('data (1)'!$M:$M,'data (1)'!$J:$J,"="&amp;$A453,'data (1)'!$A:$A,"="&amp;вариация!G$2)</f>
        <v>0</v>
      </c>
      <c r="H453" t="str">
        <f t="shared" si="15"/>
        <v>No</v>
      </c>
    </row>
    <row r="454" spans="1:8" x14ac:dyDescent="0.25">
      <c r="A454" s="7" t="s">
        <v>457</v>
      </c>
      <c r="B454" s="25">
        <f t="shared" si="14"/>
        <v>2.2360679774997894</v>
      </c>
      <c r="C454">
        <f>SUMIFS('data (1)'!$M:$M,'data (1)'!$J:$J,"="&amp;$A454,'data (1)'!$A:$A,"="&amp;вариация!C$2)</f>
        <v>1</v>
      </c>
      <c r="D454">
        <f>SUMIFS('data (1)'!$M:$M,'data (1)'!$J:$J,"="&amp;$A454,'data (1)'!$A:$A,"="&amp;вариация!D$2)</f>
        <v>0</v>
      </c>
      <c r="E454">
        <f>SUMIFS('data (1)'!$M:$M,'data (1)'!$J:$J,"="&amp;$A454,'data (1)'!$A:$A,"="&amp;вариация!E$2)</f>
        <v>0</v>
      </c>
      <c r="F454">
        <f>SUMIFS('data (1)'!$M:$M,'data (1)'!$J:$J,"="&amp;$A454,'data (1)'!$A:$A,"="&amp;вариация!F$2)</f>
        <v>0</v>
      </c>
      <c r="G454">
        <f>SUMIFS('data (1)'!$M:$M,'data (1)'!$J:$J,"="&amp;$A454,'data (1)'!$A:$A,"="&amp;вариация!G$2)</f>
        <v>0</v>
      </c>
      <c r="H454" t="str">
        <f t="shared" si="15"/>
        <v>No</v>
      </c>
    </row>
    <row r="455" spans="1:8" x14ac:dyDescent="0.25">
      <c r="A455" s="7" t="s">
        <v>806</v>
      </c>
      <c r="B455" s="25">
        <f t="shared" si="14"/>
        <v>1.3693063937629151</v>
      </c>
      <c r="C455">
        <f>SUMIFS('data (1)'!$M:$M,'data (1)'!$J:$J,"="&amp;$A455,'data (1)'!$A:$A,"="&amp;вариация!C$2)</f>
        <v>0</v>
      </c>
      <c r="D455">
        <f>SUMIFS('data (1)'!$M:$M,'data (1)'!$J:$J,"="&amp;$A455,'data (1)'!$A:$A,"="&amp;вариация!D$2)</f>
        <v>0</v>
      </c>
      <c r="E455">
        <f>SUMIFS('data (1)'!$M:$M,'data (1)'!$J:$J,"="&amp;$A455,'data (1)'!$A:$A,"="&amp;вариация!E$2)</f>
        <v>1</v>
      </c>
      <c r="F455">
        <f>SUMIFS('data (1)'!$M:$M,'data (1)'!$J:$J,"="&amp;$A455,'data (1)'!$A:$A,"="&amp;вариация!F$2)</f>
        <v>0</v>
      </c>
      <c r="G455">
        <f>SUMIFS('data (1)'!$M:$M,'data (1)'!$J:$J,"="&amp;$A455,'data (1)'!$A:$A,"="&amp;вариация!G$2)</f>
        <v>1</v>
      </c>
      <c r="H455" t="str">
        <f t="shared" si="15"/>
        <v>No</v>
      </c>
    </row>
    <row r="456" spans="1:8" x14ac:dyDescent="0.25">
      <c r="A456" s="7" t="s">
        <v>1164</v>
      </c>
      <c r="B456" s="25">
        <f t="shared" si="14"/>
        <v>2.2360679774997894</v>
      </c>
      <c r="C456">
        <f>SUMIFS('data (1)'!$M:$M,'data (1)'!$J:$J,"="&amp;$A456,'data (1)'!$A:$A,"="&amp;вариация!C$2)</f>
        <v>0</v>
      </c>
      <c r="D456">
        <f>SUMIFS('data (1)'!$M:$M,'data (1)'!$J:$J,"="&amp;$A456,'data (1)'!$A:$A,"="&amp;вариация!D$2)</f>
        <v>0</v>
      </c>
      <c r="E456">
        <f>SUMIFS('data (1)'!$M:$M,'data (1)'!$J:$J,"="&amp;$A456,'data (1)'!$A:$A,"="&amp;вариация!E$2)</f>
        <v>0</v>
      </c>
      <c r="F456">
        <f>SUMIFS('data (1)'!$M:$M,'data (1)'!$J:$J,"="&amp;$A456,'data (1)'!$A:$A,"="&amp;вариация!F$2)</f>
        <v>0</v>
      </c>
      <c r="G456">
        <f>SUMIFS('data (1)'!$M:$M,'data (1)'!$J:$J,"="&amp;$A456,'data (1)'!$A:$A,"="&amp;вариация!G$2)</f>
        <v>1</v>
      </c>
      <c r="H456" t="str">
        <f t="shared" si="15"/>
        <v>No</v>
      </c>
    </row>
    <row r="457" spans="1:8" x14ac:dyDescent="0.25">
      <c r="A457" s="7" t="s">
        <v>728</v>
      </c>
      <c r="B457" s="25">
        <f t="shared" si="14"/>
        <v>2.2360679774997894</v>
      </c>
      <c r="C457">
        <f>SUMIFS('data (1)'!$M:$M,'data (1)'!$J:$J,"="&amp;$A457,'data (1)'!$A:$A,"="&amp;вариация!C$2)</f>
        <v>0</v>
      </c>
      <c r="D457">
        <f>SUMIFS('data (1)'!$M:$M,'data (1)'!$J:$J,"="&amp;$A457,'data (1)'!$A:$A,"="&amp;вариация!D$2)</f>
        <v>0</v>
      </c>
      <c r="E457">
        <f>SUMIFS('data (1)'!$M:$M,'data (1)'!$J:$J,"="&amp;$A457,'data (1)'!$A:$A,"="&amp;вариация!E$2)</f>
        <v>1</v>
      </c>
      <c r="F457">
        <f>SUMIFS('data (1)'!$M:$M,'data (1)'!$J:$J,"="&amp;$A457,'data (1)'!$A:$A,"="&amp;вариация!F$2)</f>
        <v>0</v>
      </c>
      <c r="G457">
        <f>SUMIFS('data (1)'!$M:$M,'data (1)'!$J:$J,"="&amp;$A457,'data (1)'!$A:$A,"="&amp;вариация!G$2)</f>
        <v>0</v>
      </c>
      <c r="H457" t="str">
        <f t="shared" si="15"/>
        <v>No</v>
      </c>
    </row>
    <row r="458" spans="1:8" x14ac:dyDescent="0.25">
      <c r="A458" s="7" t="s">
        <v>569</v>
      </c>
      <c r="B458" s="25">
        <f t="shared" si="14"/>
        <v>2.2360679774997894</v>
      </c>
      <c r="C458">
        <f>SUMIFS('data (1)'!$M:$M,'data (1)'!$J:$J,"="&amp;$A458,'data (1)'!$A:$A,"="&amp;вариация!C$2)</f>
        <v>0</v>
      </c>
      <c r="D458">
        <f>SUMIFS('data (1)'!$M:$M,'data (1)'!$J:$J,"="&amp;$A458,'data (1)'!$A:$A,"="&amp;вариация!D$2)</f>
        <v>2</v>
      </c>
      <c r="E458">
        <f>SUMIFS('data (1)'!$M:$M,'data (1)'!$J:$J,"="&amp;$A458,'data (1)'!$A:$A,"="&amp;вариация!E$2)</f>
        <v>0</v>
      </c>
      <c r="F458">
        <f>SUMIFS('data (1)'!$M:$M,'data (1)'!$J:$J,"="&amp;$A458,'data (1)'!$A:$A,"="&amp;вариация!F$2)</f>
        <v>0</v>
      </c>
      <c r="G458">
        <f>SUMIFS('data (1)'!$M:$M,'data (1)'!$J:$J,"="&amp;$A458,'data (1)'!$A:$A,"="&amp;вариация!G$2)</f>
        <v>0</v>
      </c>
      <c r="H458" t="str">
        <f t="shared" si="15"/>
        <v>No</v>
      </c>
    </row>
    <row r="459" spans="1:8" x14ac:dyDescent="0.25">
      <c r="A459" s="7" t="s">
        <v>635</v>
      </c>
      <c r="B459" s="25">
        <f t="shared" si="14"/>
        <v>2.2360679774997894</v>
      </c>
      <c r="C459">
        <f>SUMIFS('data (1)'!$M:$M,'data (1)'!$J:$J,"="&amp;$A459,'data (1)'!$A:$A,"="&amp;вариация!C$2)</f>
        <v>0</v>
      </c>
      <c r="D459">
        <f>SUMIFS('data (1)'!$M:$M,'data (1)'!$J:$J,"="&amp;$A459,'data (1)'!$A:$A,"="&amp;вариация!D$2)</f>
        <v>1</v>
      </c>
      <c r="E459">
        <f>SUMIFS('data (1)'!$M:$M,'data (1)'!$J:$J,"="&amp;$A459,'data (1)'!$A:$A,"="&amp;вариация!E$2)</f>
        <v>0</v>
      </c>
      <c r="F459">
        <f>SUMIFS('data (1)'!$M:$M,'data (1)'!$J:$J,"="&amp;$A459,'data (1)'!$A:$A,"="&amp;вариация!F$2)</f>
        <v>0</v>
      </c>
      <c r="G459">
        <f>SUMIFS('data (1)'!$M:$M,'data (1)'!$J:$J,"="&amp;$A459,'data (1)'!$A:$A,"="&amp;вариация!G$2)</f>
        <v>0</v>
      </c>
      <c r="H459" t="str">
        <f t="shared" si="15"/>
        <v>No</v>
      </c>
    </row>
    <row r="460" spans="1:8" x14ac:dyDescent="0.25">
      <c r="A460" s="7" t="s">
        <v>851</v>
      </c>
      <c r="B460" s="25">
        <f t="shared" si="14"/>
        <v>2.2360679774997894</v>
      </c>
      <c r="C460">
        <f>SUMIFS('data (1)'!$M:$M,'data (1)'!$J:$J,"="&amp;$A460,'data (1)'!$A:$A,"="&amp;вариация!C$2)</f>
        <v>0</v>
      </c>
      <c r="D460">
        <f>SUMIFS('data (1)'!$M:$M,'data (1)'!$J:$J,"="&amp;$A460,'data (1)'!$A:$A,"="&amp;вариация!D$2)</f>
        <v>0</v>
      </c>
      <c r="E460">
        <f>SUMIFS('data (1)'!$M:$M,'data (1)'!$J:$J,"="&amp;$A460,'data (1)'!$A:$A,"="&amp;вариация!E$2)</f>
        <v>1</v>
      </c>
      <c r="F460">
        <f>SUMIFS('data (1)'!$M:$M,'data (1)'!$J:$J,"="&amp;$A460,'data (1)'!$A:$A,"="&amp;вариация!F$2)</f>
        <v>0</v>
      </c>
      <c r="G460">
        <f>SUMIFS('data (1)'!$M:$M,'data (1)'!$J:$J,"="&amp;$A460,'data (1)'!$A:$A,"="&amp;вариация!G$2)</f>
        <v>0</v>
      </c>
      <c r="H460" t="str">
        <f t="shared" si="15"/>
        <v>No</v>
      </c>
    </row>
    <row r="461" spans="1:8" x14ac:dyDescent="0.25">
      <c r="A461" s="7" t="s">
        <v>1086</v>
      </c>
      <c r="B461" s="25">
        <f t="shared" si="14"/>
        <v>2.2360679774997894</v>
      </c>
      <c r="C461">
        <f>SUMIFS('data (1)'!$M:$M,'data (1)'!$J:$J,"="&amp;$A461,'data (1)'!$A:$A,"="&amp;вариация!C$2)</f>
        <v>0</v>
      </c>
      <c r="D461">
        <f>SUMIFS('data (1)'!$M:$M,'data (1)'!$J:$J,"="&amp;$A461,'data (1)'!$A:$A,"="&amp;вариация!D$2)</f>
        <v>0</v>
      </c>
      <c r="E461">
        <f>SUMIFS('data (1)'!$M:$M,'data (1)'!$J:$J,"="&amp;$A461,'data (1)'!$A:$A,"="&amp;вариация!E$2)</f>
        <v>0</v>
      </c>
      <c r="F461">
        <f>SUMIFS('data (1)'!$M:$M,'data (1)'!$J:$J,"="&amp;$A461,'data (1)'!$A:$A,"="&amp;вариация!F$2)</f>
        <v>0</v>
      </c>
      <c r="G461">
        <f>SUMIFS('data (1)'!$M:$M,'data (1)'!$J:$J,"="&amp;$A461,'data (1)'!$A:$A,"="&amp;вариация!G$2)</f>
        <v>1</v>
      </c>
      <c r="H461" t="str">
        <f t="shared" si="15"/>
        <v>No</v>
      </c>
    </row>
    <row r="462" spans="1:8" x14ac:dyDescent="0.25">
      <c r="A462" s="7" t="s">
        <v>1117</v>
      </c>
      <c r="B462" s="25">
        <f t="shared" si="14"/>
        <v>2.2360679774997894</v>
      </c>
      <c r="C462">
        <f>SUMIFS('data (1)'!$M:$M,'data (1)'!$J:$J,"="&amp;$A462,'data (1)'!$A:$A,"="&amp;вариация!C$2)</f>
        <v>0</v>
      </c>
      <c r="D462">
        <f>SUMIFS('data (1)'!$M:$M,'data (1)'!$J:$J,"="&amp;$A462,'data (1)'!$A:$A,"="&amp;вариация!D$2)</f>
        <v>0</v>
      </c>
      <c r="E462">
        <f>SUMIFS('data (1)'!$M:$M,'data (1)'!$J:$J,"="&amp;$A462,'data (1)'!$A:$A,"="&amp;вариация!E$2)</f>
        <v>0</v>
      </c>
      <c r="F462">
        <f>SUMIFS('data (1)'!$M:$M,'data (1)'!$J:$J,"="&amp;$A462,'data (1)'!$A:$A,"="&amp;вариация!F$2)</f>
        <v>0</v>
      </c>
      <c r="G462">
        <f>SUMIFS('data (1)'!$M:$M,'data (1)'!$J:$J,"="&amp;$A462,'data (1)'!$A:$A,"="&amp;вариация!G$2)</f>
        <v>1</v>
      </c>
      <c r="H462" t="str">
        <f t="shared" si="15"/>
        <v>No</v>
      </c>
    </row>
    <row r="463" spans="1:8" x14ac:dyDescent="0.25">
      <c r="A463" s="7" t="s">
        <v>1126</v>
      </c>
      <c r="B463" s="25">
        <f t="shared" si="14"/>
        <v>2.2360679774997894</v>
      </c>
      <c r="C463">
        <f>SUMIFS('data (1)'!$M:$M,'data (1)'!$J:$J,"="&amp;$A463,'data (1)'!$A:$A,"="&amp;вариация!C$2)</f>
        <v>0</v>
      </c>
      <c r="D463">
        <f>SUMIFS('data (1)'!$M:$M,'data (1)'!$J:$J,"="&amp;$A463,'data (1)'!$A:$A,"="&amp;вариация!D$2)</f>
        <v>0</v>
      </c>
      <c r="E463">
        <f>SUMIFS('data (1)'!$M:$M,'data (1)'!$J:$J,"="&amp;$A463,'data (1)'!$A:$A,"="&amp;вариация!E$2)</f>
        <v>0</v>
      </c>
      <c r="F463">
        <f>SUMIFS('data (1)'!$M:$M,'data (1)'!$J:$J,"="&amp;$A463,'data (1)'!$A:$A,"="&amp;вариация!F$2)</f>
        <v>0</v>
      </c>
      <c r="G463">
        <f>SUMIFS('data (1)'!$M:$M,'data (1)'!$J:$J,"="&amp;$A463,'data (1)'!$A:$A,"="&amp;вариация!G$2)</f>
        <v>1</v>
      </c>
      <c r="H463" t="str">
        <f t="shared" si="15"/>
        <v>No</v>
      </c>
    </row>
    <row r="464" spans="1:8" x14ac:dyDescent="0.25">
      <c r="A464" s="7" t="s">
        <v>311</v>
      </c>
      <c r="B464" s="25">
        <f t="shared" si="14"/>
        <v>2.2360679774997894</v>
      </c>
      <c r="C464">
        <f>SUMIFS('data (1)'!$M:$M,'data (1)'!$J:$J,"="&amp;$A464,'data (1)'!$A:$A,"="&amp;вариация!C$2)</f>
        <v>1</v>
      </c>
      <c r="D464">
        <f>SUMIFS('data (1)'!$M:$M,'data (1)'!$J:$J,"="&amp;$A464,'data (1)'!$A:$A,"="&amp;вариация!D$2)</f>
        <v>0</v>
      </c>
      <c r="E464">
        <f>SUMIFS('data (1)'!$M:$M,'data (1)'!$J:$J,"="&amp;$A464,'data (1)'!$A:$A,"="&amp;вариация!E$2)</f>
        <v>0</v>
      </c>
      <c r="F464">
        <f>SUMIFS('data (1)'!$M:$M,'data (1)'!$J:$J,"="&amp;$A464,'data (1)'!$A:$A,"="&amp;вариация!F$2)</f>
        <v>0</v>
      </c>
      <c r="G464">
        <f>SUMIFS('data (1)'!$M:$M,'data (1)'!$J:$J,"="&amp;$A464,'data (1)'!$A:$A,"="&amp;вариация!G$2)</f>
        <v>0</v>
      </c>
      <c r="H464" t="str">
        <f t="shared" si="15"/>
        <v>No</v>
      </c>
    </row>
    <row r="465" spans="1:8" x14ac:dyDescent="0.25">
      <c r="A465" s="7" t="s">
        <v>385</v>
      </c>
      <c r="B465" s="25">
        <f t="shared" si="14"/>
        <v>0.91287092917527679</v>
      </c>
      <c r="C465">
        <f>SUMIFS('data (1)'!$M:$M,'data (1)'!$J:$J,"="&amp;$A465,'data (1)'!$A:$A,"="&amp;вариация!C$2)</f>
        <v>1</v>
      </c>
      <c r="D465">
        <f>SUMIFS('data (1)'!$M:$M,'data (1)'!$J:$J,"="&amp;$A465,'data (1)'!$A:$A,"="&amp;вариация!D$2)</f>
        <v>1</v>
      </c>
      <c r="E465">
        <f>SUMIFS('data (1)'!$M:$M,'data (1)'!$J:$J,"="&amp;$A465,'data (1)'!$A:$A,"="&amp;вариация!E$2)</f>
        <v>1</v>
      </c>
      <c r="F465">
        <f>SUMIFS('data (1)'!$M:$M,'data (1)'!$J:$J,"="&amp;$A465,'data (1)'!$A:$A,"="&amp;вариация!F$2)</f>
        <v>0</v>
      </c>
      <c r="G465">
        <f>SUMIFS('data (1)'!$M:$M,'data (1)'!$J:$J,"="&amp;$A465,'data (1)'!$A:$A,"="&amp;вариация!G$2)</f>
        <v>0</v>
      </c>
      <c r="H465" t="str">
        <f t="shared" si="15"/>
        <v>Yes</v>
      </c>
    </row>
    <row r="466" spans="1:8" x14ac:dyDescent="0.25">
      <c r="A466" s="7" t="s">
        <v>102</v>
      </c>
      <c r="B466" s="25">
        <f t="shared" si="14"/>
        <v>2.2360679774997894</v>
      </c>
      <c r="C466">
        <f>SUMIFS('data (1)'!$M:$M,'data (1)'!$J:$J,"="&amp;$A466,'data (1)'!$A:$A,"="&amp;вариация!C$2)</f>
        <v>1</v>
      </c>
      <c r="D466">
        <f>SUMIFS('data (1)'!$M:$M,'data (1)'!$J:$J,"="&amp;$A466,'data (1)'!$A:$A,"="&amp;вариация!D$2)</f>
        <v>0</v>
      </c>
      <c r="E466">
        <f>SUMIFS('data (1)'!$M:$M,'data (1)'!$J:$J,"="&amp;$A466,'data (1)'!$A:$A,"="&amp;вариация!E$2)</f>
        <v>0</v>
      </c>
      <c r="F466">
        <f>SUMIFS('data (1)'!$M:$M,'data (1)'!$J:$J,"="&amp;$A466,'data (1)'!$A:$A,"="&amp;вариация!F$2)</f>
        <v>0</v>
      </c>
      <c r="G466">
        <f>SUMIFS('data (1)'!$M:$M,'data (1)'!$J:$J,"="&amp;$A466,'data (1)'!$A:$A,"="&amp;вариация!G$2)</f>
        <v>0</v>
      </c>
      <c r="H466" t="str">
        <f t="shared" si="15"/>
        <v>No</v>
      </c>
    </row>
    <row r="467" spans="1:8" x14ac:dyDescent="0.25">
      <c r="A467" s="7" t="s">
        <v>285</v>
      </c>
      <c r="B467" s="25">
        <f t="shared" si="14"/>
        <v>1.3693063937629151</v>
      </c>
      <c r="C467">
        <f>SUMIFS('data (1)'!$M:$M,'data (1)'!$J:$J,"="&amp;$A467,'data (1)'!$A:$A,"="&amp;вариация!C$2)</f>
        <v>1</v>
      </c>
      <c r="D467">
        <f>SUMIFS('data (1)'!$M:$M,'data (1)'!$J:$J,"="&amp;$A467,'data (1)'!$A:$A,"="&amp;вариация!D$2)</f>
        <v>0</v>
      </c>
      <c r="E467">
        <f>SUMIFS('data (1)'!$M:$M,'data (1)'!$J:$J,"="&amp;$A467,'data (1)'!$A:$A,"="&amp;вариация!E$2)</f>
        <v>0</v>
      </c>
      <c r="F467">
        <f>SUMIFS('data (1)'!$M:$M,'data (1)'!$J:$J,"="&amp;$A467,'data (1)'!$A:$A,"="&amp;вариация!F$2)</f>
        <v>0</v>
      </c>
      <c r="G467">
        <f>SUMIFS('data (1)'!$M:$M,'data (1)'!$J:$J,"="&amp;$A467,'data (1)'!$A:$A,"="&amp;вариация!G$2)</f>
        <v>1</v>
      </c>
      <c r="H467" t="str">
        <f t="shared" si="15"/>
        <v>No</v>
      </c>
    </row>
    <row r="468" spans="1:8" x14ac:dyDescent="0.25">
      <c r="A468" s="7" t="s">
        <v>653</v>
      </c>
      <c r="B468" s="25">
        <f t="shared" si="14"/>
        <v>2.2360679774997894</v>
      </c>
      <c r="C468">
        <f>SUMIFS('data (1)'!$M:$M,'data (1)'!$J:$J,"="&amp;$A468,'data (1)'!$A:$A,"="&amp;вариация!C$2)</f>
        <v>0</v>
      </c>
      <c r="D468">
        <f>SUMIFS('data (1)'!$M:$M,'data (1)'!$J:$J,"="&amp;$A468,'data (1)'!$A:$A,"="&amp;вариация!D$2)</f>
        <v>1</v>
      </c>
      <c r="E468">
        <f>SUMIFS('data (1)'!$M:$M,'data (1)'!$J:$J,"="&amp;$A468,'data (1)'!$A:$A,"="&amp;вариация!E$2)</f>
        <v>0</v>
      </c>
      <c r="F468">
        <f>SUMIFS('data (1)'!$M:$M,'data (1)'!$J:$J,"="&amp;$A468,'data (1)'!$A:$A,"="&amp;вариация!F$2)</f>
        <v>0</v>
      </c>
      <c r="G468">
        <f>SUMIFS('data (1)'!$M:$M,'data (1)'!$J:$J,"="&amp;$A468,'data (1)'!$A:$A,"="&amp;вариация!G$2)</f>
        <v>0</v>
      </c>
      <c r="H468" t="str">
        <f t="shared" si="15"/>
        <v>No</v>
      </c>
    </row>
    <row r="469" spans="1:8" x14ac:dyDescent="0.25">
      <c r="A469" s="7" t="s">
        <v>400</v>
      </c>
      <c r="B469" s="25">
        <f t="shared" si="14"/>
        <v>2.2360679774997894</v>
      </c>
      <c r="C469">
        <f>SUMIFS('data (1)'!$M:$M,'data (1)'!$J:$J,"="&amp;$A469,'data (1)'!$A:$A,"="&amp;вариация!C$2)</f>
        <v>2</v>
      </c>
      <c r="D469">
        <f>SUMIFS('data (1)'!$M:$M,'data (1)'!$J:$J,"="&amp;$A469,'data (1)'!$A:$A,"="&amp;вариация!D$2)</f>
        <v>0</v>
      </c>
      <c r="E469">
        <f>SUMIFS('data (1)'!$M:$M,'data (1)'!$J:$J,"="&amp;$A469,'data (1)'!$A:$A,"="&amp;вариация!E$2)</f>
        <v>0</v>
      </c>
      <c r="F469">
        <f>SUMIFS('data (1)'!$M:$M,'data (1)'!$J:$J,"="&amp;$A469,'data (1)'!$A:$A,"="&amp;вариация!F$2)</f>
        <v>0</v>
      </c>
      <c r="G469">
        <f>SUMIFS('data (1)'!$M:$M,'data (1)'!$J:$J,"="&amp;$A469,'data (1)'!$A:$A,"="&amp;вариация!G$2)</f>
        <v>0</v>
      </c>
      <c r="H469" t="str">
        <f t="shared" si="15"/>
        <v>No</v>
      </c>
    </row>
    <row r="470" spans="1:8" x14ac:dyDescent="0.25">
      <c r="A470" s="7" t="s">
        <v>371</v>
      </c>
      <c r="B470" s="25">
        <f t="shared" si="14"/>
        <v>2.2360679774997894</v>
      </c>
      <c r="C470">
        <f>SUMIFS('data (1)'!$M:$M,'data (1)'!$J:$J,"="&amp;$A470,'data (1)'!$A:$A,"="&amp;вариация!C$2)</f>
        <v>1</v>
      </c>
      <c r="D470">
        <f>SUMIFS('data (1)'!$M:$M,'data (1)'!$J:$J,"="&amp;$A470,'data (1)'!$A:$A,"="&amp;вариация!D$2)</f>
        <v>0</v>
      </c>
      <c r="E470">
        <f>SUMIFS('data (1)'!$M:$M,'data (1)'!$J:$J,"="&amp;$A470,'data (1)'!$A:$A,"="&amp;вариация!E$2)</f>
        <v>0</v>
      </c>
      <c r="F470">
        <f>SUMIFS('data (1)'!$M:$M,'data (1)'!$J:$J,"="&amp;$A470,'data (1)'!$A:$A,"="&amp;вариация!F$2)</f>
        <v>0</v>
      </c>
      <c r="G470">
        <f>SUMIFS('data (1)'!$M:$M,'data (1)'!$J:$J,"="&amp;$A470,'data (1)'!$A:$A,"="&amp;вариация!G$2)</f>
        <v>0</v>
      </c>
      <c r="H470" t="str">
        <f t="shared" si="15"/>
        <v>No</v>
      </c>
    </row>
    <row r="471" spans="1:8" x14ac:dyDescent="0.25">
      <c r="A471" s="7" t="s">
        <v>331</v>
      </c>
      <c r="B471" s="25">
        <f t="shared" si="14"/>
        <v>1.2247447189789382</v>
      </c>
      <c r="C471">
        <f>SUMIFS('data (1)'!$M:$M,'data (1)'!$J:$J,"="&amp;$A471,'data (1)'!$A:$A,"="&amp;вариация!C$2)</f>
        <v>0.1071429</v>
      </c>
      <c r="D471">
        <f>SUMIFS('data (1)'!$M:$M,'data (1)'!$J:$J,"="&amp;$A471,'data (1)'!$A:$A,"="&amp;вариация!D$2)</f>
        <v>0.1071429</v>
      </c>
      <c r="E471">
        <f>SUMIFS('data (1)'!$M:$M,'data (1)'!$J:$J,"="&amp;$A471,'data (1)'!$A:$A,"="&amp;вариация!E$2)</f>
        <v>0.32142860000000001</v>
      </c>
      <c r="F471">
        <f>SUMIFS('data (1)'!$M:$M,'data (1)'!$J:$J,"="&amp;$A471,'data (1)'!$A:$A,"="&amp;вариация!F$2)</f>
        <v>0</v>
      </c>
      <c r="G471">
        <f>SUMIFS('data (1)'!$M:$M,'data (1)'!$J:$J,"="&amp;$A471,'data (1)'!$A:$A,"="&amp;вариация!G$2)</f>
        <v>0</v>
      </c>
      <c r="H471" t="str">
        <f t="shared" si="15"/>
        <v>Yes</v>
      </c>
    </row>
    <row r="472" spans="1:8" x14ac:dyDescent="0.25">
      <c r="A472" s="7" t="s">
        <v>512</v>
      </c>
      <c r="B472" s="25">
        <f t="shared" si="14"/>
        <v>2.2360679774997894</v>
      </c>
      <c r="C472">
        <f>SUMIFS('data (1)'!$M:$M,'data (1)'!$J:$J,"="&amp;$A472,'data (1)'!$A:$A,"="&amp;вариация!C$2)</f>
        <v>0</v>
      </c>
      <c r="D472">
        <f>SUMIFS('data (1)'!$M:$M,'data (1)'!$J:$J,"="&amp;$A472,'data (1)'!$A:$A,"="&amp;вариация!D$2)</f>
        <v>1</v>
      </c>
      <c r="E472">
        <f>SUMIFS('data (1)'!$M:$M,'data (1)'!$J:$J,"="&amp;$A472,'data (1)'!$A:$A,"="&amp;вариация!E$2)</f>
        <v>0</v>
      </c>
      <c r="F472">
        <f>SUMIFS('data (1)'!$M:$M,'data (1)'!$J:$J,"="&amp;$A472,'data (1)'!$A:$A,"="&amp;вариация!F$2)</f>
        <v>0</v>
      </c>
      <c r="G472">
        <f>SUMIFS('data (1)'!$M:$M,'data (1)'!$J:$J,"="&amp;$A472,'data (1)'!$A:$A,"="&amp;вариация!G$2)</f>
        <v>0</v>
      </c>
      <c r="H472" t="str">
        <f t="shared" si="15"/>
        <v>No</v>
      </c>
    </row>
    <row r="473" spans="1:8" x14ac:dyDescent="0.25">
      <c r="A473" s="7" t="s">
        <v>1077</v>
      </c>
      <c r="B473" s="25">
        <f t="shared" si="14"/>
        <v>2.2360679774997894</v>
      </c>
      <c r="C473">
        <f>SUMIFS('data (1)'!$M:$M,'data (1)'!$J:$J,"="&amp;$A473,'data (1)'!$A:$A,"="&amp;вариация!C$2)</f>
        <v>0</v>
      </c>
      <c r="D473">
        <f>SUMIFS('data (1)'!$M:$M,'data (1)'!$J:$J,"="&amp;$A473,'data (1)'!$A:$A,"="&amp;вариация!D$2)</f>
        <v>0</v>
      </c>
      <c r="E473">
        <f>SUMIFS('data (1)'!$M:$M,'data (1)'!$J:$J,"="&amp;$A473,'data (1)'!$A:$A,"="&amp;вариация!E$2)</f>
        <v>0</v>
      </c>
      <c r="F473">
        <f>SUMIFS('data (1)'!$M:$M,'data (1)'!$J:$J,"="&amp;$A473,'data (1)'!$A:$A,"="&amp;вариация!F$2)</f>
        <v>0</v>
      </c>
      <c r="G473">
        <f>SUMIFS('data (1)'!$M:$M,'data (1)'!$J:$J,"="&amp;$A473,'data (1)'!$A:$A,"="&amp;вариация!G$2)</f>
        <v>1</v>
      </c>
      <c r="H473" t="str">
        <f t="shared" si="15"/>
        <v>No</v>
      </c>
    </row>
    <row r="474" spans="1:8" x14ac:dyDescent="0.25">
      <c r="A474" s="7" t="s">
        <v>300</v>
      </c>
      <c r="B474" s="25">
        <f t="shared" si="14"/>
        <v>2.2360679774997894</v>
      </c>
      <c r="C474">
        <f>SUMIFS('data (1)'!$M:$M,'data (1)'!$J:$J,"="&amp;$A474,'data (1)'!$A:$A,"="&amp;вариация!C$2)</f>
        <v>1</v>
      </c>
      <c r="D474">
        <f>SUMIFS('data (1)'!$M:$M,'data (1)'!$J:$J,"="&amp;$A474,'data (1)'!$A:$A,"="&amp;вариация!D$2)</f>
        <v>0</v>
      </c>
      <c r="E474">
        <f>SUMIFS('data (1)'!$M:$M,'data (1)'!$J:$J,"="&amp;$A474,'data (1)'!$A:$A,"="&amp;вариация!E$2)</f>
        <v>0</v>
      </c>
      <c r="F474">
        <f>SUMIFS('data (1)'!$M:$M,'data (1)'!$J:$J,"="&amp;$A474,'data (1)'!$A:$A,"="&amp;вариация!F$2)</f>
        <v>0</v>
      </c>
      <c r="G474">
        <f>SUMIFS('data (1)'!$M:$M,'data (1)'!$J:$J,"="&amp;$A474,'data (1)'!$A:$A,"="&amp;вариация!G$2)</f>
        <v>0</v>
      </c>
      <c r="H474" t="str">
        <f t="shared" si="15"/>
        <v>No</v>
      </c>
    </row>
    <row r="475" spans="1:8" x14ac:dyDescent="0.25">
      <c r="A475" s="7" t="s">
        <v>419</v>
      </c>
      <c r="B475" s="25">
        <f t="shared" si="14"/>
        <v>0.69985421222376509</v>
      </c>
      <c r="C475">
        <f>SUMIFS('data (1)'!$M:$M,'data (1)'!$J:$J,"="&amp;$A475,'data (1)'!$A:$A,"="&amp;вариация!C$2)</f>
        <v>2</v>
      </c>
      <c r="D475">
        <f>SUMIFS('data (1)'!$M:$M,'data (1)'!$J:$J,"="&amp;$A475,'data (1)'!$A:$A,"="&amp;вариация!D$2)</f>
        <v>10</v>
      </c>
      <c r="E475">
        <f>SUMIFS('data (1)'!$M:$M,'data (1)'!$J:$J,"="&amp;$A475,'data (1)'!$A:$A,"="&amp;вариация!E$2)</f>
        <v>5</v>
      </c>
      <c r="F475">
        <f>SUMIFS('data (1)'!$M:$M,'data (1)'!$J:$J,"="&amp;$A475,'data (1)'!$A:$A,"="&amp;вариация!F$2)</f>
        <v>4</v>
      </c>
      <c r="G475">
        <f>SUMIFS('data (1)'!$M:$M,'data (1)'!$J:$J,"="&amp;$A475,'data (1)'!$A:$A,"="&amp;вариация!G$2)</f>
        <v>14</v>
      </c>
      <c r="H475" t="str">
        <f t="shared" si="15"/>
        <v>Yes</v>
      </c>
    </row>
    <row r="476" spans="1:8" x14ac:dyDescent="0.25">
      <c r="A476" s="7" t="s">
        <v>934</v>
      </c>
      <c r="B476" s="25">
        <f t="shared" si="14"/>
        <v>2.2360679774997894</v>
      </c>
      <c r="C476">
        <f>SUMIFS('data (1)'!$M:$M,'data (1)'!$J:$J,"="&amp;$A476,'data (1)'!$A:$A,"="&amp;вариация!C$2)</f>
        <v>0</v>
      </c>
      <c r="D476">
        <f>SUMIFS('data (1)'!$M:$M,'data (1)'!$J:$J,"="&amp;$A476,'data (1)'!$A:$A,"="&amp;вариация!D$2)</f>
        <v>0</v>
      </c>
      <c r="E476">
        <f>SUMIFS('data (1)'!$M:$M,'data (1)'!$J:$J,"="&amp;$A476,'data (1)'!$A:$A,"="&amp;вариация!E$2)</f>
        <v>0</v>
      </c>
      <c r="F476">
        <f>SUMIFS('data (1)'!$M:$M,'data (1)'!$J:$J,"="&amp;$A476,'data (1)'!$A:$A,"="&amp;вариация!F$2)</f>
        <v>1</v>
      </c>
      <c r="G476">
        <f>SUMIFS('data (1)'!$M:$M,'data (1)'!$J:$J,"="&amp;$A476,'data (1)'!$A:$A,"="&amp;вариация!G$2)</f>
        <v>0</v>
      </c>
      <c r="H476" t="str">
        <f t="shared" si="15"/>
        <v>No</v>
      </c>
    </row>
    <row r="477" spans="1:8" x14ac:dyDescent="0.25">
      <c r="A477" s="7" t="s">
        <v>1184</v>
      </c>
      <c r="B477" s="25">
        <f t="shared" si="14"/>
        <v>2.2360679774997894</v>
      </c>
      <c r="C477">
        <f>SUMIFS('data (1)'!$M:$M,'data (1)'!$J:$J,"="&amp;$A477,'data (1)'!$A:$A,"="&amp;вариация!C$2)</f>
        <v>0</v>
      </c>
      <c r="D477">
        <f>SUMIFS('data (1)'!$M:$M,'data (1)'!$J:$J,"="&amp;$A477,'data (1)'!$A:$A,"="&amp;вариация!D$2)</f>
        <v>0</v>
      </c>
      <c r="E477">
        <f>SUMIFS('data (1)'!$M:$M,'data (1)'!$J:$J,"="&amp;$A477,'data (1)'!$A:$A,"="&amp;вариация!E$2)</f>
        <v>0</v>
      </c>
      <c r="F477">
        <f>SUMIFS('data (1)'!$M:$M,'data (1)'!$J:$J,"="&amp;$A477,'data (1)'!$A:$A,"="&amp;вариация!F$2)</f>
        <v>0</v>
      </c>
      <c r="G477">
        <f>SUMIFS('data (1)'!$M:$M,'data (1)'!$J:$J,"="&amp;$A477,'data (1)'!$A:$A,"="&amp;вариация!G$2)</f>
        <v>1</v>
      </c>
      <c r="H477" t="str">
        <f t="shared" si="15"/>
        <v>No</v>
      </c>
    </row>
    <row r="478" spans="1:8" x14ac:dyDescent="0.25">
      <c r="A478" s="7" t="s">
        <v>534</v>
      </c>
      <c r="B478" s="25">
        <f t="shared" si="14"/>
        <v>2.2360679774997894</v>
      </c>
      <c r="C478">
        <f>SUMIFS('data (1)'!$M:$M,'data (1)'!$J:$J,"="&amp;$A478,'data (1)'!$A:$A,"="&amp;вариация!C$2)</f>
        <v>0</v>
      </c>
      <c r="D478">
        <f>SUMIFS('data (1)'!$M:$M,'data (1)'!$J:$J,"="&amp;$A478,'data (1)'!$A:$A,"="&amp;вариация!D$2)</f>
        <v>1</v>
      </c>
      <c r="E478">
        <f>SUMIFS('data (1)'!$M:$M,'data (1)'!$J:$J,"="&amp;$A478,'data (1)'!$A:$A,"="&amp;вариация!E$2)</f>
        <v>0</v>
      </c>
      <c r="F478">
        <f>SUMIFS('data (1)'!$M:$M,'data (1)'!$J:$J,"="&amp;$A478,'data (1)'!$A:$A,"="&amp;вариация!F$2)</f>
        <v>0</v>
      </c>
      <c r="G478">
        <f>SUMIFS('data (1)'!$M:$M,'data (1)'!$J:$J,"="&amp;$A478,'data (1)'!$A:$A,"="&amp;вариация!G$2)</f>
        <v>0</v>
      </c>
      <c r="H478" t="str">
        <f t="shared" si="15"/>
        <v>No</v>
      </c>
    </row>
    <row r="479" spans="1:8" x14ac:dyDescent="0.25">
      <c r="A479" s="7" t="s">
        <v>472</v>
      </c>
      <c r="B479" s="25">
        <f t="shared" si="14"/>
        <v>2.2360679774997894</v>
      </c>
      <c r="C479">
        <f>SUMIFS('data (1)'!$M:$M,'data (1)'!$J:$J,"="&amp;$A479,'data (1)'!$A:$A,"="&amp;вариация!C$2)</f>
        <v>1</v>
      </c>
      <c r="D479">
        <f>SUMIFS('data (1)'!$M:$M,'data (1)'!$J:$J,"="&amp;$A479,'data (1)'!$A:$A,"="&amp;вариация!D$2)</f>
        <v>0</v>
      </c>
      <c r="E479">
        <f>SUMIFS('data (1)'!$M:$M,'data (1)'!$J:$J,"="&amp;$A479,'data (1)'!$A:$A,"="&amp;вариация!E$2)</f>
        <v>0</v>
      </c>
      <c r="F479">
        <f>SUMIFS('data (1)'!$M:$M,'data (1)'!$J:$J,"="&amp;$A479,'data (1)'!$A:$A,"="&amp;вариация!F$2)</f>
        <v>0</v>
      </c>
      <c r="G479">
        <f>SUMIFS('data (1)'!$M:$M,'data (1)'!$J:$J,"="&amp;$A479,'data (1)'!$A:$A,"="&amp;вариация!G$2)</f>
        <v>0</v>
      </c>
      <c r="H479" t="str">
        <f t="shared" si="15"/>
        <v>No</v>
      </c>
    </row>
    <row r="480" spans="1:8" x14ac:dyDescent="0.25">
      <c r="A480" s="7" t="s">
        <v>831</v>
      </c>
      <c r="B480" s="25">
        <f t="shared" si="14"/>
        <v>2.2360679774997894</v>
      </c>
      <c r="C480">
        <f>SUMIFS('data (1)'!$M:$M,'data (1)'!$J:$J,"="&amp;$A480,'data (1)'!$A:$A,"="&amp;вариация!C$2)</f>
        <v>0</v>
      </c>
      <c r="D480">
        <f>SUMIFS('data (1)'!$M:$M,'data (1)'!$J:$J,"="&amp;$A480,'data (1)'!$A:$A,"="&amp;вариация!D$2)</f>
        <v>0</v>
      </c>
      <c r="E480">
        <f>SUMIFS('data (1)'!$M:$M,'data (1)'!$J:$J,"="&amp;$A480,'data (1)'!$A:$A,"="&amp;вариация!E$2)</f>
        <v>1</v>
      </c>
      <c r="F480">
        <f>SUMIFS('data (1)'!$M:$M,'data (1)'!$J:$J,"="&amp;$A480,'data (1)'!$A:$A,"="&amp;вариация!F$2)</f>
        <v>0</v>
      </c>
      <c r="G480">
        <f>SUMIFS('data (1)'!$M:$M,'data (1)'!$J:$J,"="&amp;$A480,'data (1)'!$A:$A,"="&amp;вариация!G$2)</f>
        <v>0</v>
      </c>
      <c r="H480" t="str">
        <f t="shared" si="15"/>
        <v>No</v>
      </c>
    </row>
    <row r="481" spans="1:8" x14ac:dyDescent="0.25">
      <c r="A481" s="7" t="s">
        <v>1075</v>
      </c>
      <c r="B481" s="25">
        <f t="shared" si="14"/>
        <v>2.2360679774997894</v>
      </c>
      <c r="C481">
        <f>SUMIFS('data (1)'!$M:$M,'data (1)'!$J:$J,"="&amp;$A481,'data (1)'!$A:$A,"="&amp;вариация!C$2)</f>
        <v>0</v>
      </c>
      <c r="D481">
        <f>SUMIFS('data (1)'!$M:$M,'data (1)'!$J:$J,"="&amp;$A481,'data (1)'!$A:$A,"="&amp;вариация!D$2)</f>
        <v>0</v>
      </c>
      <c r="E481">
        <f>SUMIFS('data (1)'!$M:$M,'data (1)'!$J:$J,"="&amp;$A481,'data (1)'!$A:$A,"="&amp;вариация!E$2)</f>
        <v>0</v>
      </c>
      <c r="F481">
        <f>SUMIFS('data (1)'!$M:$M,'data (1)'!$J:$J,"="&amp;$A481,'data (1)'!$A:$A,"="&amp;вариация!F$2)</f>
        <v>0</v>
      </c>
      <c r="G481">
        <f>SUMIFS('data (1)'!$M:$M,'data (1)'!$J:$J,"="&amp;$A481,'data (1)'!$A:$A,"="&amp;вариация!G$2)</f>
        <v>1</v>
      </c>
      <c r="H481" t="str">
        <f t="shared" si="15"/>
        <v>No</v>
      </c>
    </row>
    <row r="482" spans="1:8" x14ac:dyDescent="0.25">
      <c r="A482" s="7" t="s">
        <v>523</v>
      </c>
      <c r="B482" s="25">
        <f t="shared" si="14"/>
        <v>2.2360679774997894</v>
      </c>
      <c r="C482">
        <f>SUMIFS('data (1)'!$M:$M,'data (1)'!$J:$J,"="&amp;$A482,'data (1)'!$A:$A,"="&amp;вариация!C$2)</f>
        <v>0</v>
      </c>
      <c r="D482">
        <f>SUMIFS('data (1)'!$M:$M,'data (1)'!$J:$J,"="&amp;$A482,'data (1)'!$A:$A,"="&amp;вариация!D$2)</f>
        <v>1</v>
      </c>
      <c r="E482">
        <f>SUMIFS('data (1)'!$M:$M,'data (1)'!$J:$J,"="&amp;$A482,'data (1)'!$A:$A,"="&amp;вариация!E$2)</f>
        <v>0</v>
      </c>
      <c r="F482">
        <f>SUMIFS('data (1)'!$M:$M,'data (1)'!$J:$J,"="&amp;$A482,'data (1)'!$A:$A,"="&amp;вариация!F$2)</f>
        <v>0</v>
      </c>
      <c r="G482">
        <f>SUMIFS('data (1)'!$M:$M,'data (1)'!$J:$J,"="&amp;$A482,'data (1)'!$A:$A,"="&amp;вариация!G$2)</f>
        <v>0</v>
      </c>
      <c r="H482" t="str">
        <f t="shared" si="15"/>
        <v>No</v>
      </c>
    </row>
    <row r="483" spans="1:8" x14ac:dyDescent="0.25">
      <c r="A483" s="7" t="s">
        <v>499</v>
      </c>
      <c r="B483" s="25">
        <f t="shared" si="14"/>
        <v>2.2360679774997894</v>
      </c>
      <c r="C483">
        <f>SUMIFS('data (1)'!$M:$M,'data (1)'!$J:$J,"="&amp;$A483,'data (1)'!$A:$A,"="&amp;вариация!C$2)</f>
        <v>0</v>
      </c>
      <c r="D483">
        <f>SUMIFS('data (1)'!$M:$M,'data (1)'!$J:$J,"="&amp;$A483,'data (1)'!$A:$A,"="&amp;вариация!D$2)</f>
        <v>1</v>
      </c>
      <c r="E483">
        <f>SUMIFS('data (1)'!$M:$M,'data (1)'!$J:$J,"="&amp;$A483,'data (1)'!$A:$A,"="&amp;вариация!E$2)</f>
        <v>0</v>
      </c>
      <c r="F483">
        <f>SUMIFS('data (1)'!$M:$M,'data (1)'!$J:$J,"="&amp;$A483,'data (1)'!$A:$A,"="&amp;вариация!F$2)</f>
        <v>0</v>
      </c>
      <c r="G483">
        <f>SUMIFS('data (1)'!$M:$M,'data (1)'!$J:$J,"="&amp;$A483,'data (1)'!$A:$A,"="&amp;вариация!G$2)</f>
        <v>0</v>
      </c>
      <c r="H483" t="str">
        <f t="shared" si="15"/>
        <v>No</v>
      </c>
    </row>
    <row r="484" spans="1:8" x14ac:dyDescent="0.25">
      <c r="A484" s="7" t="s">
        <v>493</v>
      </c>
      <c r="B484" s="25">
        <f t="shared" si="14"/>
        <v>2.2360679774997894</v>
      </c>
      <c r="C484">
        <f>SUMIFS('data (1)'!$M:$M,'data (1)'!$J:$J,"="&amp;$A484,'data (1)'!$A:$A,"="&amp;вариация!C$2)</f>
        <v>0</v>
      </c>
      <c r="D484">
        <f>SUMIFS('data (1)'!$M:$M,'data (1)'!$J:$J,"="&amp;$A484,'data (1)'!$A:$A,"="&amp;вариация!D$2)</f>
        <v>1</v>
      </c>
      <c r="E484">
        <f>SUMIFS('data (1)'!$M:$M,'data (1)'!$J:$J,"="&amp;$A484,'data (1)'!$A:$A,"="&amp;вариация!E$2)</f>
        <v>0</v>
      </c>
      <c r="F484">
        <f>SUMIFS('data (1)'!$M:$M,'data (1)'!$J:$J,"="&amp;$A484,'data (1)'!$A:$A,"="&amp;вариация!F$2)</f>
        <v>0</v>
      </c>
      <c r="G484">
        <f>SUMIFS('data (1)'!$M:$M,'data (1)'!$J:$J,"="&amp;$A484,'data (1)'!$A:$A,"="&amp;вариация!G$2)</f>
        <v>0</v>
      </c>
      <c r="H484" t="str">
        <f t="shared" si="15"/>
        <v>No</v>
      </c>
    </row>
    <row r="485" spans="1:8" x14ac:dyDescent="0.25">
      <c r="A485" s="7" t="s">
        <v>416</v>
      </c>
      <c r="B485" s="25">
        <f t="shared" si="14"/>
        <v>1.599741103314263</v>
      </c>
      <c r="C485">
        <f>SUMIFS('data (1)'!$M:$M,'data (1)'!$J:$J,"="&amp;$A485,'data (1)'!$A:$A,"="&amp;вариация!C$2)</f>
        <v>0.1</v>
      </c>
      <c r="D485">
        <f>SUMIFS('data (1)'!$M:$M,'data (1)'!$J:$J,"="&amp;$A485,'data (1)'!$A:$A,"="&amp;вариация!D$2)</f>
        <v>0.1</v>
      </c>
      <c r="E485">
        <f>SUMIFS('data (1)'!$M:$M,'data (1)'!$J:$J,"="&amp;$A485,'data (1)'!$A:$A,"="&amp;вариация!E$2)</f>
        <v>1</v>
      </c>
      <c r="F485">
        <f>SUMIFS('data (1)'!$M:$M,'data (1)'!$J:$J,"="&amp;$A485,'data (1)'!$A:$A,"="&amp;вариация!F$2)</f>
        <v>0.1</v>
      </c>
      <c r="G485">
        <f>SUMIFS('data (1)'!$M:$M,'data (1)'!$J:$J,"="&amp;$A485,'data (1)'!$A:$A,"="&amp;вариация!G$2)</f>
        <v>0</v>
      </c>
      <c r="H485" t="str">
        <f t="shared" si="15"/>
        <v>Yes</v>
      </c>
    </row>
    <row r="486" spans="1:8" x14ac:dyDescent="0.25">
      <c r="A486" s="7" t="s">
        <v>910</v>
      </c>
      <c r="B486" s="25">
        <f t="shared" si="14"/>
        <v>2.2360679774997894</v>
      </c>
      <c r="C486">
        <f>SUMIFS('data (1)'!$M:$M,'data (1)'!$J:$J,"="&amp;$A486,'data (1)'!$A:$A,"="&amp;вариация!C$2)</f>
        <v>0</v>
      </c>
      <c r="D486">
        <f>SUMIFS('data (1)'!$M:$M,'data (1)'!$J:$J,"="&amp;$A486,'data (1)'!$A:$A,"="&amp;вариация!D$2)</f>
        <v>0</v>
      </c>
      <c r="E486">
        <f>SUMIFS('data (1)'!$M:$M,'data (1)'!$J:$J,"="&amp;$A486,'data (1)'!$A:$A,"="&amp;вариация!E$2)</f>
        <v>1</v>
      </c>
      <c r="F486">
        <f>SUMIFS('data (1)'!$M:$M,'data (1)'!$J:$J,"="&amp;$A486,'data (1)'!$A:$A,"="&amp;вариация!F$2)</f>
        <v>0</v>
      </c>
      <c r="G486">
        <f>SUMIFS('data (1)'!$M:$M,'data (1)'!$J:$J,"="&amp;$A486,'data (1)'!$A:$A,"="&amp;вариация!G$2)</f>
        <v>0</v>
      </c>
      <c r="H486" t="str">
        <f t="shared" si="15"/>
        <v>No</v>
      </c>
    </row>
    <row r="487" spans="1:8" x14ac:dyDescent="0.25">
      <c r="A487" s="7" t="s">
        <v>925</v>
      </c>
      <c r="B487" s="25">
        <f t="shared" si="14"/>
        <v>2.2360679774997894</v>
      </c>
      <c r="C487">
        <f>SUMIFS('data (1)'!$M:$M,'data (1)'!$J:$J,"="&amp;$A487,'data (1)'!$A:$A,"="&amp;вариация!C$2)</f>
        <v>0</v>
      </c>
      <c r="D487">
        <f>SUMIFS('data (1)'!$M:$M,'data (1)'!$J:$J,"="&amp;$A487,'data (1)'!$A:$A,"="&amp;вариация!D$2)</f>
        <v>0</v>
      </c>
      <c r="E487">
        <f>SUMIFS('data (1)'!$M:$M,'data (1)'!$J:$J,"="&amp;$A487,'data (1)'!$A:$A,"="&amp;вариация!E$2)</f>
        <v>1</v>
      </c>
      <c r="F487">
        <f>SUMIFS('data (1)'!$M:$M,'data (1)'!$J:$J,"="&amp;$A487,'data (1)'!$A:$A,"="&amp;вариация!F$2)</f>
        <v>0</v>
      </c>
      <c r="G487">
        <f>SUMIFS('data (1)'!$M:$M,'data (1)'!$J:$J,"="&amp;$A487,'data (1)'!$A:$A,"="&amp;вариация!G$2)</f>
        <v>0</v>
      </c>
      <c r="H487" t="str">
        <f t="shared" si="15"/>
        <v>No</v>
      </c>
    </row>
    <row r="488" spans="1:8" x14ac:dyDescent="0.25">
      <c r="A488" s="7" t="s">
        <v>291</v>
      </c>
      <c r="B488" s="25">
        <f t="shared" si="14"/>
        <v>1.4907119849998598</v>
      </c>
      <c r="C488">
        <f>SUMIFS('data (1)'!$M:$M,'data (1)'!$J:$J,"="&amp;$A488,'data (1)'!$A:$A,"="&amp;вариация!C$2)</f>
        <v>2</v>
      </c>
      <c r="D488">
        <f>SUMIFS('data (1)'!$M:$M,'data (1)'!$J:$J,"="&amp;$A488,'data (1)'!$A:$A,"="&amp;вариация!D$2)</f>
        <v>0</v>
      </c>
      <c r="E488">
        <f>SUMIFS('data (1)'!$M:$M,'data (1)'!$J:$J,"="&amp;$A488,'data (1)'!$A:$A,"="&amp;вариация!E$2)</f>
        <v>1</v>
      </c>
      <c r="F488">
        <f>SUMIFS('data (1)'!$M:$M,'data (1)'!$J:$J,"="&amp;$A488,'data (1)'!$A:$A,"="&amp;вариация!F$2)</f>
        <v>0</v>
      </c>
      <c r="G488">
        <f>SUMIFS('data (1)'!$M:$M,'data (1)'!$J:$J,"="&amp;$A488,'data (1)'!$A:$A,"="&amp;вариация!G$2)</f>
        <v>0</v>
      </c>
      <c r="H488" t="str">
        <f t="shared" si="15"/>
        <v>No</v>
      </c>
    </row>
    <row r="489" spans="1:8" x14ac:dyDescent="0.25">
      <c r="A489" s="7" t="s">
        <v>894</v>
      </c>
      <c r="B489" s="25">
        <f t="shared" si="14"/>
        <v>2.2360679774997898</v>
      </c>
      <c r="C489">
        <f>SUMIFS('data (1)'!$M:$M,'data (1)'!$J:$J,"="&amp;$A489,'data (1)'!$A:$A,"="&amp;вариация!C$2)</f>
        <v>0</v>
      </c>
      <c r="D489">
        <f>SUMIFS('data (1)'!$M:$M,'data (1)'!$J:$J,"="&amp;$A489,'data (1)'!$A:$A,"="&amp;вариация!D$2)</f>
        <v>0</v>
      </c>
      <c r="E489">
        <f>SUMIFS('data (1)'!$M:$M,'data (1)'!$J:$J,"="&amp;$A489,'data (1)'!$A:$A,"="&amp;вариация!E$2)</f>
        <v>0.33333332999999998</v>
      </c>
      <c r="F489">
        <f>SUMIFS('data (1)'!$M:$M,'data (1)'!$J:$J,"="&amp;$A489,'data (1)'!$A:$A,"="&amp;вариация!F$2)</f>
        <v>0</v>
      </c>
      <c r="G489">
        <f>SUMIFS('data (1)'!$M:$M,'data (1)'!$J:$J,"="&amp;$A489,'data (1)'!$A:$A,"="&amp;вариация!G$2)</f>
        <v>0</v>
      </c>
      <c r="H489" t="str">
        <f t="shared" si="15"/>
        <v>No</v>
      </c>
    </row>
    <row r="490" spans="1:8" x14ac:dyDescent="0.25">
      <c r="A490" s="7" t="s">
        <v>275</v>
      </c>
      <c r="B490" s="25">
        <f t="shared" si="14"/>
        <v>2.2360679774997894</v>
      </c>
      <c r="C490">
        <f>SUMIFS('data (1)'!$M:$M,'data (1)'!$J:$J,"="&amp;$A490,'data (1)'!$A:$A,"="&amp;вариация!C$2)</f>
        <v>1</v>
      </c>
      <c r="D490">
        <f>SUMIFS('data (1)'!$M:$M,'data (1)'!$J:$J,"="&amp;$A490,'data (1)'!$A:$A,"="&amp;вариация!D$2)</f>
        <v>0</v>
      </c>
      <c r="E490">
        <f>SUMIFS('data (1)'!$M:$M,'data (1)'!$J:$J,"="&amp;$A490,'data (1)'!$A:$A,"="&amp;вариация!E$2)</f>
        <v>0</v>
      </c>
      <c r="F490">
        <f>SUMIFS('data (1)'!$M:$M,'data (1)'!$J:$J,"="&amp;$A490,'data (1)'!$A:$A,"="&amp;вариация!F$2)</f>
        <v>0</v>
      </c>
      <c r="G490">
        <f>SUMIFS('data (1)'!$M:$M,'data (1)'!$J:$J,"="&amp;$A490,'data (1)'!$A:$A,"="&amp;вариация!G$2)</f>
        <v>0</v>
      </c>
      <c r="H490" t="str">
        <f t="shared" si="15"/>
        <v>No</v>
      </c>
    </row>
    <row r="491" spans="1:8" x14ac:dyDescent="0.25">
      <c r="A491" s="7" t="s">
        <v>435</v>
      </c>
      <c r="B491" s="25">
        <f t="shared" si="14"/>
        <v>1.3693063937629151</v>
      </c>
      <c r="C491">
        <f>SUMIFS('data (1)'!$M:$M,'data (1)'!$J:$J,"="&amp;$A491,'data (1)'!$A:$A,"="&amp;вариация!C$2)</f>
        <v>1</v>
      </c>
      <c r="D491">
        <f>SUMIFS('data (1)'!$M:$M,'data (1)'!$J:$J,"="&amp;$A491,'data (1)'!$A:$A,"="&amp;вариация!D$2)</f>
        <v>0</v>
      </c>
      <c r="E491">
        <f>SUMIFS('data (1)'!$M:$M,'data (1)'!$J:$J,"="&amp;$A491,'data (1)'!$A:$A,"="&amp;вариация!E$2)</f>
        <v>1</v>
      </c>
      <c r="F491">
        <f>SUMIFS('data (1)'!$M:$M,'data (1)'!$J:$J,"="&amp;$A491,'data (1)'!$A:$A,"="&amp;вариация!F$2)</f>
        <v>0</v>
      </c>
      <c r="G491">
        <f>SUMIFS('data (1)'!$M:$M,'data (1)'!$J:$J,"="&amp;$A491,'data (1)'!$A:$A,"="&amp;вариация!G$2)</f>
        <v>0</v>
      </c>
      <c r="H491" t="str">
        <f t="shared" si="15"/>
        <v>No</v>
      </c>
    </row>
    <row r="492" spans="1:8" x14ac:dyDescent="0.25">
      <c r="A492" s="7" t="s">
        <v>485</v>
      </c>
      <c r="B492" s="25">
        <f t="shared" si="14"/>
        <v>1.3693063937629151</v>
      </c>
      <c r="C492">
        <f>SUMIFS('data (1)'!$M:$M,'data (1)'!$J:$J,"="&amp;$A492,'data (1)'!$A:$A,"="&amp;вариация!C$2)</f>
        <v>0</v>
      </c>
      <c r="D492">
        <f>SUMIFS('data (1)'!$M:$M,'data (1)'!$J:$J,"="&amp;$A492,'data (1)'!$A:$A,"="&amp;вариация!D$2)</f>
        <v>1</v>
      </c>
      <c r="E492">
        <f>SUMIFS('data (1)'!$M:$M,'data (1)'!$J:$J,"="&amp;$A492,'data (1)'!$A:$A,"="&amp;вариация!E$2)</f>
        <v>0</v>
      </c>
      <c r="F492">
        <f>SUMIFS('data (1)'!$M:$M,'data (1)'!$J:$J,"="&amp;$A492,'data (1)'!$A:$A,"="&amp;вариация!F$2)</f>
        <v>0</v>
      </c>
      <c r="G492">
        <f>SUMIFS('data (1)'!$M:$M,'data (1)'!$J:$J,"="&amp;$A492,'data (1)'!$A:$A,"="&amp;вариация!G$2)</f>
        <v>1</v>
      </c>
      <c r="H492" t="str">
        <f t="shared" si="15"/>
        <v>No</v>
      </c>
    </row>
    <row r="493" spans="1:8" x14ac:dyDescent="0.25">
      <c r="A493" s="7" t="s">
        <v>875</v>
      </c>
      <c r="B493" s="25">
        <f t="shared" si="14"/>
        <v>1.3693063937629151</v>
      </c>
      <c r="C493">
        <f>SUMIFS('data (1)'!$M:$M,'data (1)'!$J:$J,"="&amp;$A493,'data (1)'!$A:$A,"="&amp;вариация!C$2)</f>
        <v>0</v>
      </c>
      <c r="D493">
        <f>SUMIFS('data (1)'!$M:$M,'data (1)'!$J:$J,"="&amp;$A493,'data (1)'!$A:$A,"="&amp;вариация!D$2)</f>
        <v>0</v>
      </c>
      <c r="E493">
        <f>SUMIFS('data (1)'!$M:$M,'data (1)'!$J:$J,"="&amp;$A493,'data (1)'!$A:$A,"="&amp;вариация!E$2)</f>
        <v>1</v>
      </c>
      <c r="F493">
        <f>SUMIFS('data (1)'!$M:$M,'data (1)'!$J:$J,"="&amp;$A493,'data (1)'!$A:$A,"="&amp;вариация!F$2)</f>
        <v>0</v>
      </c>
      <c r="G493">
        <f>SUMIFS('data (1)'!$M:$M,'data (1)'!$J:$J,"="&amp;$A493,'data (1)'!$A:$A,"="&amp;вариация!G$2)</f>
        <v>1</v>
      </c>
      <c r="H493" t="str">
        <f t="shared" si="15"/>
        <v>No</v>
      </c>
    </row>
    <row r="494" spans="1:8" x14ac:dyDescent="0.25">
      <c r="A494" s="7" t="s">
        <v>603</v>
      </c>
      <c r="B494" s="25">
        <f t="shared" si="14"/>
        <v>2.2360679774997894</v>
      </c>
      <c r="C494">
        <f>SUMIFS('data (1)'!$M:$M,'data (1)'!$J:$J,"="&amp;$A494,'data (1)'!$A:$A,"="&amp;вариация!C$2)</f>
        <v>0</v>
      </c>
      <c r="D494">
        <f>SUMIFS('data (1)'!$M:$M,'data (1)'!$J:$J,"="&amp;$A494,'data (1)'!$A:$A,"="&amp;вариация!D$2)</f>
        <v>1</v>
      </c>
      <c r="E494">
        <f>SUMIFS('data (1)'!$M:$M,'data (1)'!$J:$J,"="&amp;$A494,'data (1)'!$A:$A,"="&amp;вариация!E$2)</f>
        <v>0</v>
      </c>
      <c r="F494">
        <f>SUMIFS('data (1)'!$M:$M,'data (1)'!$J:$J,"="&amp;$A494,'data (1)'!$A:$A,"="&amp;вариация!F$2)</f>
        <v>0</v>
      </c>
      <c r="G494">
        <f>SUMIFS('data (1)'!$M:$M,'data (1)'!$J:$J,"="&amp;$A494,'data (1)'!$A:$A,"="&amp;вариация!G$2)</f>
        <v>0</v>
      </c>
      <c r="H494" t="str">
        <f t="shared" si="15"/>
        <v>No</v>
      </c>
    </row>
    <row r="495" spans="1:8" x14ac:dyDescent="0.25">
      <c r="A495" s="7" t="s">
        <v>1049</v>
      </c>
      <c r="B495" s="25">
        <f t="shared" si="14"/>
        <v>2.2360679774997894</v>
      </c>
      <c r="C495">
        <f>SUMIFS('data (1)'!$M:$M,'data (1)'!$J:$J,"="&amp;$A495,'data (1)'!$A:$A,"="&amp;вариация!C$2)</f>
        <v>0</v>
      </c>
      <c r="D495">
        <f>SUMIFS('data (1)'!$M:$M,'data (1)'!$J:$J,"="&amp;$A495,'data (1)'!$A:$A,"="&amp;вариация!D$2)</f>
        <v>0</v>
      </c>
      <c r="E495">
        <f>SUMIFS('data (1)'!$M:$M,'data (1)'!$J:$J,"="&amp;$A495,'data (1)'!$A:$A,"="&amp;вариация!E$2)</f>
        <v>0</v>
      </c>
      <c r="F495">
        <f>SUMIFS('data (1)'!$M:$M,'data (1)'!$J:$J,"="&amp;$A495,'data (1)'!$A:$A,"="&amp;вариация!F$2)</f>
        <v>1</v>
      </c>
      <c r="G495">
        <f>SUMIFS('data (1)'!$M:$M,'data (1)'!$J:$J,"="&amp;$A495,'data (1)'!$A:$A,"="&amp;вариация!G$2)</f>
        <v>0</v>
      </c>
      <c r="H495" t="str">
        <f t="shared" si="15"/>
        <v>No</v>
      </c>
    </row>
    <row r="496" spans="1:8" x14ac:dyDescent="0.25">
      <c r="A496" s="7" t="s">
        <v>1081</v>
      </c>
      <c r="B496" s="25">
        <f t="shared" si="14"/>
        <v>2.2360679774997898</v>
      </c>
      <c r="C496">
        <f>SUMIFS('data (1)'!$M:$M,'data (1)'!$J:$J,"="&amp;$A496,'data (1)'!$A:$A,"="&amp;вариация!C$2)</f>
        <v>0</v>
      </c>
      <c r="D496">
        <f>SUMIFS('data (1)'!$M:$M,'data (1)'!$J:$J,"="&amp;$A496,'data (1)'!$A:$A,"="&amp;вариация!D$2)</f>
        <v>0</v>
      </c>
      <c r="E496">
        <f>SUMIFS('data (1)'!$M:$M,'data (1)'!$J:$J,"="&amp;$A496,'data (1)'!$A:$A,"="&amp;вариация!E$2)</f>
        <v>0</v>
      </c>
      <c r="F496">
        <f>SUMIFS('data (1)'!$M:$M,'data (1)'!$J:$J,"="&amp;$A496,'data (1)'!$A:$A,"="&amp;вариация!F$2)</f>
        <v>0</v>
      </c>
      <c r="G496">
        <f>SUMIFS('data (1)'!$M:$M,'data (1)'!$J:$J,"="&amp;$A496,'data (1)'!$A:$A,"="&amp;вариация!G$2)</f>
        <v>0.2</v>
      </c>
      <c r="H496" t="str">
        <f t="shared" si="15"/>
        <v>No</v>
      </c>
    </row>
    <row r="497" spans="1:8" x14ac:dyDescent="0.25">
      <c r="A497" s="7" t="s">
        <v>522</v>
      </c>
      <c r="B497" s="25">
        <f t="shared" si="14"/>
        <v>1.4907119849998598</v>
      </c>
      <c r="C497">
        <f>SUMIFS('data (1)'!$M:$M,'data (1)'!$J:$J,"="&amp;$A497,'data (1)'!$A:$A,"="&amp;вариация!C$2)</f>
        <v>0</v>
      </c>
      <c r="D497">
        <f>SUMIFS('data (1)'!$M:$M,'data (1)'!$J:$J,"="&amp;$A497,'data (1)'!$A:$A,"="&amp;вариация!D$2)</f>
        <v>2</v>
      </c>
      <c r="E497">
        <f>SUMIFS('data (1)'!$M:$M,'data (1)'!$J:$J,"="&amp;$A497,'data (1)'!$A:$A,"="&amp;вариация!E$2)</f>
        <v>0</v>
      </c>
      <c r="F497">
        <f>SUMIFS('data (1)'!$M:$M,'data (1)'!$J:$J,"="&amp;$A497,'data (1)'!$A:$A,"="&amp;вариация!F$2)</f>
        <v>0</v>
      </c>
      <c r="G497">
        <f>SUMIFS('data (1)'!$M:$M,'data (1)'!$J:$J,"="&amp;$A497,'data (1)'!$A:$A,"="&amp;вариация!G$2)</f>
        <v>1</v>
      </c>
      <c r="H497" t="str">
        <f t="shared" si="15"/>
        <v>No</v>
      </c>
    </row>
    <row r="498" spans="1:8" x14ac:dyDescent="0.25">
      <c r="A498" s="7" t="s">
        <v>448</v>
      </c>
      <c r="B498" s="25">
        <f t="shared" si="14"/>
        <v>2.2360679774997894</v>
      </c>
      <c r="C498">
        <f>SUMIFS('data (1)'!$M:$M,'data (1)'!$J:$J,"="&amp;$A498,'data (1)'!$A:$A,"="&amp;вариация!C$2)</f>
        <v>1</v>
      </c>
      <c r="D498">
        <f>SUMIFS('data (1)'!$M:$M,'data (1)'!$J:$J,"="&amp;$A498,'data (1)'!$A:$A,"="&amp;вариация!D$2)</f>
        <v>0</v>
      </c>
      <c r="E498">
        <f>SUMIFS('data (1)'!$M:$M,'data (1)'!$J:$J,"="&amp;$A498,'data (1)'!$A:$A,"="&amp;вариация!E$2)</f>
        <v>0</v>
      </c>
      <c r="F498">
        <f>SUMIFS('data (1)'!$M:$M,'data (1)'!$J:$J,"="&amp;$A498,'data (1)'!$A:$A,"="&amp;вариация!F$2)</f>
        <v>0</v>
      </c>
      <c r="G498">
        <f>SUMIFS('data (1)'!$M:$M,'data (1)'!$J:$J,"="&amp;$A498,'data (1)'!$A:$A,"="&amp;вариация!G$2)</f>
        <v>0</v>
      </c>
      <c r="H498" t="str">
        <f t="shared" si="15"/>
        <v>No</v>
      </c>
    </row>
    <row r="499" spans="1:8" x14ac:dyDescent="0.25">
      <c r="A499" s="7" t="s">
        <v>150</v>
      </c>
      <c r="B499" s="25">
        <f t="shared" si="14"/>
        <v>1.4907119849998598</v>
      </c>
      <c r="C499">
        <f>SUMIFS('data (1)'!$M:$M,'data (1)'!$J:$J,"="&amp;$A499,'data (1)'!$A:$A,"="&amp;вариация!C$2)</f>
        <v>1</v>
      </c>
      <c r="D499">
        <f>SUMIFS('data (1)'!$M:$M,'data (1)'!$J:$J,"="&amp;$A499,'data (1)'!$A:$A,"="&amp;вариация!D$2)</f>
        <v>2</v>
      </c>
      <c r="E499">
        <f>SUMIFS('data (1)'!$M:$M,'data (1)'!$J:$J,"="&amp;$A499,'data (1)'!$A:$A,"="&amp;вариация!E$2)</f>
        <v>0</v>
      </c>
      <c r="F499">
        <f>SUMIFS('data (1)'!$M:$M,'data (1)'!$J:$J,"="&amp;$A499,'data (1)'!$A:$A,"="&amp;вариация!F$2)</f>
        <v>0</v>
      </c>
      <c r="G499">
        <f>SUMIFS('data (1)'!$M:$M,'data (1)'!$J:$J,"="&amp;$A499,'data (1)'!$A:$A,"="&amp;вариация!G$2)</f>
        <v>0</v>
      </c>
      <c r="H499" t="str">
        <f t="shared" si="15"/>
        <v>No</v>
      </c>
    </row>
    <row r="500" spans="1:8" x14ac:dyDescent="0.25">
      <c r="A500" s="7" t="s">
        <v>538</v>
      </c>
      <c r="B500" s="25">
        <f t="shared" si="14"/>
        <v>2.2360679774997894</v>
      </c>
      <c r="C500">
        <f>SUMIFS('data (1)'!$M:$M,'data (1)'!$J:$J,"="&amp;$A500,'data (1)'!$A:$A,"="&amp;вариация!C$2)</f>
        <v>0</v>
      </c>
      <c r="D500">
        <f>SUMIFS('data (1)'!$M:$M,'data (1)'!$J:$J,"="&amp;$A500,'data (1)'!$A:$A,"="&amp;вариация!D$2)</f>
        <v>1</v>
      </c>
      <c r="E500">
        <f>SUMIFS('data (1)'!$M:$M,'data (1)'!$J:$J,"="&amp;$A500,'data (1)'!$A:$A,"="&amp;вариация!E$2)</f>
        <v>0</v>
      </c>
      <c r="F500">
        <f>SUMIFS('data (1)'!$M:$M,'data (1)'!$J:$J,"="&amp;$A500,'data (1)'!$A:$A,"="&amp;вариация!F$2)</f>
        <v>0</v>
      </c>
      <c r="G500">
        <f>SUMIFS('data (1)'!$M:$M,'data (1)'!$J:$J,"="&amp;$A500,'data (1)'!$A:$A,"="&amp;вариация!G$2)</f>
        <v>0</v>
      </c>
      <c r="H500" t="str">
        <f t="shared" si="15"/>
        <v>No</v>
      </c>
    </row>
    <row r="501" spans="1:8" x14ac:dyDescent="0.25">
      <c r="A501" s="7" t="s">
        <v>1194</v>
      </c>
      <c r="B501" s="25">
        <f t="shared" si="14"/>
        <v>2.2360679774997894</v>
      </c>
      <c r="C501">
        <f>SUMIFS('data (1)'!$M:$M,'data (1)'!$J:$J,"="&amp;$A501,'data (1)'!$A:$A,"="&amp;вариация!C$2)</f>
        <v>0</v>
      </c>
      <c r="D501">
        <f>SUMIFS('data (1)'!$M:$M,'data (1)'!$J:$J,"="&amp;$A501,'data (1)'!$A:$A,"="&amp;вариация!D$2)</f>
        <v>0</v>
      </c>
      <c r="E501">
        <f>SUMIFS('data (1)'!$M:$M,'data (1)'!$J:$J,"="&amp;$A501,'data (1)'!$A:$A,"="&amp;вариация!E$2)</f>
        <v>0</v>
      </c>
      <c r="F501">
        <f>SUMIFS('data (1)'!$M:$M,'data (1)'!$J:$J,"="&amp;$A501,'data (1)'!$A:$A,"="&amp;вариация!F$2)</f>
        <v>0</v>
      </c>
      <c r="G501">
        <f>SUMIFS('data (1)'!$M:$M,'data (1)'!$J:$J,"="&amp;$A501,'data (1)'!$A:$A,"="&amp;вариация!G$2)</f>
        <v>1</v>
      </c>
      <c r="H501" t="str">
        <f t="shared" si="15"/>
        <v>No</v>
      </c>
    </row>
    <row r="502" spans="1:8" x14ac:dyDescent="0.25">
      <c r="A502" s="7" t="s">
        <v>191</v>
      </c>
      <c r="B502" s="25">
        <f t="shared" si="14"/>
        <v>2.2360679774997894</v>
      </c>
      <c r="C502">
        <f>SUMIFS('data (1)'!$M:$M,'data (1)'!$J:$J,"="&amp;$A502,'data (1)'!$A:$A,"="&amp;вариация!C$2)</f>
        <v>1</v>
      </c>
      <c r="D502">
        <f>SUMIFS('data (1)'!$M:$M,'data (1)'!$J:$J,"="&amp;$A502,'data (1)'!$A:$A,"="&amp;вариация!D$2)</f>
        <v>0</v>
      </c>
      <c r="E502">
        <f>SUMIFS('data (1)'!$M:$M,'data (1)'!$J:$J,"="&amp;$A502,'data (1)'!$A:$A,"="&amp;вариация!E$2)</f>
        <v>0</v>
      </c>
      <c r="F502">
        <f>SUMIFS('data (1)'!$M:$M,'data (1)'!$J:$J,"="&amp;$A502,'data (1)'!$A:$A,"="&amp;вариация!F$2)</f>
        <v>0</v>
      </c>
      <c r="G502">
        <f>SUMIFS('data (1)'!$M:$M,'data (1)'!$J:$J,"="&amp;$A502,'data (1)'!$A:$A,"="&amp;вариация!G$2)</f>
        <v>0</v>
      </c>
      <c r="H502" t="str">
        <f t="shared" si="15"/>
        <v>No</v>
      </c>
    </row>
    <row r="503" spans="1:8" x14ac:dyDescent="0.25">
      <c r="A503" s="7" t="s">
        <v>573</v>
      </c>
      <c r="B503" s="25">
        <f t="shared" si="14"/>
        <v>2.2360679774997894</v>
      </c>
      <c r="C503">
        <f>SUMIFS('data (1)'!$M:$M,'data (1)'!$J:$J,"="&amp;$A503,'data (1)'!$A:$A,"="&amp;вариация!C$2)</f>
        <v>0</v>
      </c>
      <c r="D503">
        <f>SUMIFS('data (1)'!$M:$M,'data (1)'!$J:$J,"="&amp;$A503,'data (1)'!$A:$A,"="&amp;вариация!D$2)</f>
        <v>1</v>
      </c>
      <c r="E503">
        <f>SUMIFS('data (1)'!$M:$M,'data (1)'!$J:$J,"="&amp;$A503,'data (1)'!$A:$A,"="&amp;вариация!E$2)</f>
        <v>0</v>
      </c>
      <c r="F503">
        <f>SUMIFS('data (1)'!$M:$M,'data (1)'!$J:$J,"="&amp;$A503,'data (1)'!$A:$A,"="&amp;вариация!F$2)</f>
        <v>0</v>
      </c>
      <c r="G503">
        <f>SUMIFS('data (1)'!$M:$M,'data (1)'!$J:$J,"="&amp;$A503,'data (1)'!$A:$A,"="&amp;вариация!G$2)</f>
        <v>0</v>
      </c>
      <c r="H503" t="str">
        <f t="shared" si="15"/>
        <v>No</v>
      </c>
    </row>
    <row r="504" spans="1:8" x14ac:dyDescent="0.25">
      <c r="A504" s="7" t="s">
        <v>231</v>
      </c>
      <c r="B504" s="25">
        <f t="shared" si="14"/>
        <v>1.0458250331675945</v>
      </c>
      <c r="C504">
        <f>SUMIFS('data (1)'!$M:$M,'data (1)'!$J:$J,"="&amp;$A504,'data (1)'!$A:$A,"="&amp;вариация!C$2)</f>
        <v>1</v>
      </c>
      <c r="D504">
        <f>SUMIFS('data (1)'!$M:$M,'data (1)'!$J:$J,"="&amp;$A504,'data (1)'!$A:$A,"="&amp;вариация!D$2)</f>
        <v>0</v>
      </c>
      <c r="E504">
        <f>SUMIFS('data (1)'!$M:$M,'data (1)'!$J:$J,"="&amp;$A504,'data (1)'!$A:$A,"="&amp;вариация!E$2)</f>
        <v>0</v>
      </c>
      <c r="F504">
        <f>SUMIFS('data (1)'!$M:$M,'data (1)'!$J:$J,"="&amp;$A504,'data (1)'!$A:$A,"="&amp;вариация!F$2)</f>
        <v>1</v>
      </c>
      <c r="G504">
        <f>SUMIFS('data (1)'!$M:$M,'data (1)'!$J:$J,"="&amp;$A504,'data (1)'!$A:$A,"="&amp;вариация!G$2)</f>
        <v>2</v>
      </c>
      <c r="H504" t="str">
        <f t="shared" si="15"/>
        <v>Yes</v>
      </c>
    </row>
    <row r="505" spans="1:8" x14ac:dyDescent="0.25">
      <c r="A505" s="7" t="s">
        <v>1067</v>
      </c>
      <c r="B505" s="25">
        <f t="shared" si="14"/>
        <v>2.2360679774997894</v>
      </c>
      <c r="C505">
        <f>SUMIFS('data (1)'!$M:$M,'data (1)'!$J:$J,"="&amp;$A505,'data (1)'!$A:$A,"="&amp;вариация!C$2)</f>
        <v>0</v>
      </c>
      <c r="D505">
        <f>SUMIFS('data (1)'!$M:$M,'data (1)'!$J:$J,"="&amp;$A505,'data (1)'!$A:$A,"="&amp;вариация!D$2)</f>
        <v>0</v>
      </c>
      <c r="E505">
        <f>SUMIFS('data (1)'!$M:$M,'data (1)'!$J:$J,"="&amp;$A505,'data (1)'!$A:$A,"="&amp;вариация!E$2)</f>
        <v>0</v>
      </c>
      <c r="F505">
        <f>SUMIFS('data (1)'!$M:$M,'data (1)'!$J:$J,"="&amp;$A505,'data (1)'!$A:$A,"="&amp;вариация!F$2)</f>
        <v>1</v>
      </c>
      <c r="G505">
        <f>SUMIFS('data (1)'!$M:$M,'data (1)'!$J:$J,"="&amp;$A505,'data (1)'!$A:$A,"="&amp;вариация!G$2)</f>
        <v>0</v>
      </c>
      <c r="H505" t="str">
        <f t="shared" si="15"/>
        <v>No</v>
      </c>
    </row>
    <row r="506" spans="1:8" x14ac:dyDescent="0.25">
      <c r="A506" s="7" t="s">
        <v>951</v>
      </c>
      <c r="B506" s="25">
        <f t="shared" si="14"/>
        <v>2.2360679774997894</v>
      </c>
      <c r="C506">
        <f>SUMIFS('data (1)'!$M:$M,'data (1)'!$J:$J,"="&amp;$A506,'data (1)'!$A:$A,"="&amp;вариация!C$2)</f>
        <v>0</v>
      </c>
      <c r="D506">
        <f>SUMIFS('data (1)'!$M:$M,'data (1)'!$J:$J,"="&amp;$A506,'data (1)'!$A:$A,"="&amp;вариация!D$2)</f>
        <v>0</v>
      </c>
      <c r="E506">
        <f>SUMIFS('data (1)'!$M:$M,'data (1)'!$J:$J,"="&amp;$A506,'data (1)'!$A:$A,"="&amp;вариация!E$2)</f>
        <v>0</v>
      </c>
      <c r="F506">
        <f>SUMIFS('data (1)'!$M:$M,'data (1)'!$J:$J,"="&amp;$A506,'data (1)'!$A:$A,"="&amp;вариация!F$2)</f>
        <v>1</v>
      </c>
      <c r="G506">
        <f>SUMIFS('data (1)'!$M:$M,'data (1)'!$J:$J,"="&amp;$A506,'data (1)'!$A:$A,"="&amp;вариация!G$2)</f>
        <v>0</v>
      </c>
      <c r="H506" t="str">
        <f t="shared" si="15"/>
        <v>No</v>
      </c>
    </row>
    <row r="507" spans="1:8" x14ac:dyDescent="0.25">
      <c r="A507" s="7" t="s">
        <v>625</v>
      </c>
      <c r="B507" s="25">
        <f t="shared" si="14"/>
        <v>2.2360679774997894</v>
      </c>
      <c r="C507">
        <f>SUMIFS('data (1)'!$M:$M,'data (1)'!$J:$J,"="&amp;$A507,'data (1)'!$A:$A,"="&amp;вариация!C$2)</f>
        <v>0</v>
      </c>
      <c r="D507">
        <f>SUMIFS('data (1)'!$M:$M,'data (1)'!$J:$J,"="&amp;$A507,'data (1)'!$A:$A,"="&amp;вариация!D$2)</f>
        <v>2</v>
      </c>
      <c r="E507">
        <f>SUMIFS('data (1)'!$M:$M,'data (1)'!$J:$J,"="&amp;$A507,'data (1)'!$A:$A,"="&amp;вариация!E$2)</f>
        <v>0</v>
      </c>
      <c r="F507">
        <f>SUMIFS('data (1)'!$M:$M,'data (1)'!$J:$J,"="&amp;$A507,'data (1)'!$A:$A,"="&amp;вариация!F$2)</f>
        <v>0</v>
      </c>
      <c r="G507">
        <f>SUMIFS('data (1)'!$M:$M,'data (1)'!$J:$J,"="&amp;$A507,'data (1)'!$A:$A,"="&amp;вариация!G$2)</f>
        <v>0</v>
      </c>
      <c r="H507" t="str">
        <f t="shared" si="15"/>
        <v>No</v>
      </c>
    </row>
    <row r="508" spans="1:8" x14ac:dyDescent="0.25">
      <c r="A508" s="7" t="s">
        <v>1083</v>
      </c>
      <c r="B508" s="25">
        <f t="shared" si="14"/>
        <v>2.2360679774997894</v>
      </c>
      <c r="C508">
        <f>SUMIFS('data (1)'!$M:$M,'data (1)'!$J:$J,"="&amp;$A508,'data (1)'!$A:$A,"="&amp;вариация!C$2)</f>
        <v>0</v>
      </c>
      <c r="D508">
        <f>SUMIFS('data (1)'!$M:$M,'data (1)'!$J:$J,"="&amp;$A508,'data (1)'!$A:$A,"="&amp;вариация!D$2)</f>
        <v>0</v>
      </c>
      <c r="E508">
        <f>SUMIFS('data (1)'!$M:$M,'data (1)'!$J:$J,"="&amp;$A508,'data (1)'!$A:$A,"="&amp;вариация!E$2)</f>
        <v>0</v>
      </c>
      <c r="F508">
        <f>SUMIFS('data (1)'!$M:$M,'data (1)'!$J:$J,"="&amp;$A508,'data (1)'!$A:$A,"="&amp;вариация!F$2)</f>
        <v>0</v>
      </c>
      <c r="G508">
        <f>SUMIFS('data (1)'!$M:$M,'data (1)'!$J:$J,"="&amp;$A508,'data (1)'!$A:$A,"="&amp;вариация!G$2)</f>
        <v>1</v>
      </c>
      <c r="H508" t="str">
        <f t="shared" si="15"/>
        <v>No</v>
      </c>
    </row>
    <row r="509" spans="1:8" x14ac:dyDescent="0.25">
      <c r="A509" s="7" t="s">
        <v>366</v>
      </c>
      <c r="B509" s="25">
        <f t="shared" si="14"/>
        <v>2.2360679774997894</v>
      </c>
      <c r="C509">
        <f>SUMIFS('data (1)'!$M:$M,'data (1)'!$J:$J,"="&amp;$A509,'data (1)'!$A:$A,"="&amp;вариация!C$2)</f>
        <v>1</v>
      </c>
      <c r="D509">
        <f>SUMIFS('data (1)'!$M:$M,'data (1)'!$J:$J,"="&amp;$A509,'data (1)'!$A:$A,"="&amp;вариация!D$2)</f>
        <v>0</v>
      </c>
      <c r="E509">
        <f>SUMIFS('data (1)'!$M:$M,'data (1)'!$J:$J,"="&amp;$A509,'data (1)'!$A:$A,"="&amp;вариация!E$2)</f>
        <v>0</v>
      </c>
      <c r="F509">
        <f>SUMIFS('data (1)'!$M:$M,'data (1)'!$J:$J,"="&amp;$A509,'data (1)'!$A:$A,"="&amp;вариация!F$2)</f>
        <v>0</v>
      </c>
      <c r="G509">
        <f>SUMIFS('data (1)'!$M:$M,'data (1)'!$J:$J,"="&amp;$A509,'data (1)'!$A:$A,"="&amp;вариация!G$2)</f>
        <v>0</v>
      </c>
      <c r="H509" t="str">
        <f t="shared" si="15"/>
        <v>No</v>
      </c>
    </row>
    <row r="510" spans="1:8" x14ac:dyDescent="0.25">
      <c r="A510" s="7" t="s">
        <v>741</v>
      </c>
      <c r="B510" s="25">
        <f t="shared" si="14"/>
        <v>2.2360679774997894</v>
      </c>
      <c r="C510">
        <f>SUMIFS('data (1)'!$M:$M,'data (1)'!$J:$J,"="&amp;$A510,'data (1)'!$A:$A,"="&amp;вариация!C$2)</f>
        <v>0</v>
      </c>
      <c r="D510">
        <f>SUMIFS('data (1)'!$M:$M,'data (1)'!$J:$J,"="&amp;$A510,'data (1)'!$A:$A,"="&amp;вариация!D$2)</f>
        <v>0</v>
      </c>
      <c r="E510">
        <f>SUMIFS('data (1)'!$M:$M,'data (1)'!$J:$J,"="&amp;$A510,'data (1)'!$A:$A,"="&amp;вариация!E$2)</f>
        <v>1</v>
      </c>
      <c r="F510">
        <f>SUMIFS('data (1)'!$M:$M,'data (1)'!$J:$J,"="&amp;$A510,'data (1)'!$A:$A,"="&amp;вариация!F$2)</f>
        <v>0</v>
      </c>
      <c r="G510">
        <f>SUMIFS('data (1)'!$M:$M,'data (1)'!$J:$J,"="&amp;$A510,'data (1)'!$A:$A,"="&amp;вариация!G$2)</f>
        <v>0</v>
      </c>
      <c r="H510" t="str">
        <f t="shared" si="15"/>
        <v>No</v>
      </c>
    </row>
    <row r="511" spans="1:8" x14ac:dyDescent="0.25">
      <c r="A511" s="7" t="s">
        <v>189</v>
      </c>
      <c r="B511" s="25">
        <f t="shared" si="14"/>
        <v>2.2360679774997894</v>
      </c>
      <c r="C511">
        <f>SUMIFS('data (1)'!$M:$M,'data (1)'!$J:$J,"="&amp;$A511,'data (1)'!$A:$A,"="&amp;вариация!C$2)</f>
        <v>1</v>
      </c>
      <c r="D511">
        <f>SUMIFS('data (1)'!$M:$M,'data (1)'!$J:$J,"="&amp;$A511,'data (1)'!$A:$A,"="&amp;вариация!D$2)</f>
        <v>0</v>
      </c>
      <c r="E511">
        <f>SUMIFS('data (1)'!$M:$M,'data (1)'!$J:$J,"="&amp;$A511,'data (1)'!$A:$A,"="&amp;вариация!E$2)</f>
        <v>0</v>
      </c>
      <c r="F511">
        <f>SUMIFS('data (1)'!$M:$M,'data (1)'!$J:$J,"="&amp;$A511,'data (1)'!$A:$A,"="&amp;вариация!F$2)</f>
        <v>0</v>
      </c>
      <c r="G511">
        <f>SUMIFS('data (1)'!$M:$M,'data (1)'!$J:$J,"="&amp;$A511,'data (1)'!$A:$A,"="&amp;вариация!G$2)</f>
        <v>0</v>
      </c>
      <c r="H511" t="str">
        <f t="shared" si="15"/>
        <v>No</v>
      </c>
    </row>
    <row r="512" spans="1:8" x14ac:dyDescent="0.25">
      <c r="A512" s="7" t="s">
        <v>81</v>
      </c>
      <c r="B512" s="25">
        <f t="shared" si="14"/>
        <v>0.99380798999990649</v>
      </c>
      <c r="C512">
        <f>SUMIFS('data (1)'!$M:$M,'data (1)'!$J:$J,"="&amp;$A512,'data (1)'!$A:$A,"="&amp;вариация!C$2)</f>
        <v>1</v>
      </c>
      <c r="D512">
        <f>SUMIFS('data (1)'!$M:$M,'data (1)'!$J:$J,"="&amp;$A512,'data (1)'!$A:$A,"="&amp;вариация!D$2)</f>
        <v>5</v>
      </c>
      <c r="E512">
        <f>SUMIFS('data (1)'!$M:$M,'data (1)'!$J:$J,"="&amp;$A512,'data (1)'!$A:$A,"="&amp;вариация!E$2)</f>
        <v>1</v>
      </c>
      <c r="F512">
        <f>SUMIFS('data (1)'!$M:$M,'data (1)'!$J:$J,"="&amp;$A512,'data (1)'!$A:$A,"="&amp;вариация!F$2)</f>
        <v>1</v>
      </c>
      <c r="G512">
        <f>SUMIFS('data (1)'!$M:$M,'data (1)'!$J:$J,"="&amp;$A512,'data (1)'!$A:$A,"="&amp;вариация!G$2)</f>
        <v>1</v>
      </c>
      <c r="H512" t="str">
        <f t="shared" si="15"/>
        <v>Yes</v>
      </c>
    </row>
    <row r="513" spans="1:8" x14ac:dyDescent="0.25">
      <c r="A513" s="7" t="s">
        <v>92</v>
      </c>
      <c r="B513" s="25">
        <f t="shared" si="14"/>
        <v>1.4868570212541929</v>
      </c>
      <c r="C513">
        <f>SUMIFS('data (1)'!$M:$M,'data (1)'!$J:$J,"="&amp;$A513,'data (1)'!$A:$A,"="&amp;вариация!C$2)</f>
        <v>8</v>
      </c>
      <c r="D513">
        <f>SUMIFS('data (1)'!$M:$M,'data (1)'!$J:$J,"="&amp;$A513,'data (1)'!$A:$A,"="&amp;вариация!D$2)</f>
        <v>1</v>
      </c>
      <c r="E513">
        <f>SUMIFS('data (1)'!$M:$M,'data (1)'!$J:$J,"="&amp;$A513,'data (1)'!$A:$A,"="&amp;вариация!E$2)</f>
        <v>1</v>
      </c>
      <c r="F513">
        <f>SUMIFS('data (1)'!$M:$M,'data (1)'!$J:$J,"="&amp;$A513,'data (1)'!$A:$A,"="&amp;вариация!F$2)</f>
        <v>1</v>
      </c>
      <c r="G513">
        <f>SUMIFS('data (1)'!$M:$M,'data (1)'!$J:$J,"="&amp;$A513,'data (1)'!$A:$A,"="&amp;вариация!G$2)</f>
        <v>0</v>
      </c>
      <c r="H513" t="str">
        <f t="shared" si="15"/>
        <v>Yes</v>
      </c>
    </row>
    <row r="514" spans="1:8" x14ac:dyDescent="0.25">
      <c r="A514" s="7" t="s">
        <v>205</v>
      </c>
      <c r="B514" s="25">
        <f t="shared" si="14"/>
        <v>2.2360679774997894</v>
      </c>
      <c r="C514">
        <f>SUMIFS('data (1)'!$M:$M,'data (1)'!$J:$J,"="&amp;$A514,'data (1)'!$A:$A,"="&amp;вариация!C$2)</f>
        <v>1</v>
      </c>
      <c r="D514">
        <f>SUMIFS('data (1)'!$M:$M,'data (1)'!$J:$J,"="&amp;$A514,'data (1)'!$A:$A,"="&amp;вариация!D$2)</f>
        <v>0</v>
      </c>
      <c r="E514">
        <f>SUMIFS('data (1)'!$M:$M,'data (1)'!$J:$J,"="&amp;$A514,'data (1)'!$A:$A,"="&amp;вариация!E$2)</f>
        <v>0</v>
      </c>
      <c r="F514">
        <f>SUMIFS('data (1)'!$M:$M,'data (1)'!$J:$J,"="&amp;$A514,'data (1)'!$A:$A,"="&amp;вариация!F$2)</f>
        <v>0</v>
      </c>
      <c r="G514">
        <f>SUMIFS('data (1)'!$M:$M,'data (1)'!$J:$J,"="&amp;$A514,'data (1)'!$A:$A,"="&amp;вариация!G$2)</f>
        <v>0</v>
      </c>
      <c r="H514" t="str">
        <f t="shared" si="15"/>
        <v>No</v>
      </c>
    </row>
    <row r="515" spans="1:8" x14ac:dyDescent="0.25">
      <c r="A515" s="7" t="s">
        <v>1070</v>
      </c>
      <c r="B515" s="25">
        <f t="shared" si="14"/>
        <v>2.2360679774997894</v>
      </c>
      <c r="C515">
        <f>SUMIFS('data (1)'!$M:$M,'data (1)'!$J:$J,"="&amp;$A515,'data (1)'!$A:$A,"="&amp;вариация!C$2)</f>
        <v>0</v>
      </c>
      <c r="D515">
        <f>SUMIFS('data (1)'!$M:$M,'data (1)'!$J:$J,"="&amp;$A515,'data (1)'!$A:$A,"="&amp;вариация!D$2)</f>
        <v>0</v>
      </c>
      <c r="E515">
        <f>SUMIFS('data (1)'!$M:$M,'data (1)'!$J:$J,"="&amp;$A515,'data (1)'!$A:$A,"="&amp;вариация!E$2)</f>
        <v>0</v>
      </c>
      <c r="F515">
        <f>SUMIFS('data (1)'!$M:$M,'data (1)'!$J:$J,"="&amp;$A515,'data (1)'!$A:$A,"="&amp;вариация!F$2)</f>
        <v>1</v>
      </c>
      <c r="G515">
        <f>SUMIFS('data (1)'!$M:$M,'data (1)'!$J:$J,"="&amp;$A515,'data (1)'!$A:$A,"="&amp;вариация!G$2)</f>
        <v>0</v>
      </c>
      <c r="H515" t="str">
        <f t="shared" si="15"/>
        <v>No</v>
      </c>
    </row>
    <row r="516" spans="1:8" x14ac:dyDescent="0.25">
      <c r="A516" s="7" t="s">
        <v>648</v>
      </c>
      <c r="B516" s="25">
        <f t="shared" ref="B516:B579" si="16">_xlfn.STDEV.S(C516:G516)/AVERAGE(C516:G516)</f>
        <v>2.2360679774997894</v>
      </c>
      <c r="C516">
        <f>SUMIFS('data (1)'!$M:$M,'data (1)'!$J:$J,"="&amp;$A516,'data (1)'!$A:$A,"="&amp;вариация!C$2)</f>
        <v>0</v>
      </c>
      <c r="D516">
        <f>SUMIFS('data (1)'!$M:$M,'data (1)'!$J:$J,"="&amp;$A516,'data (1)'!$A:$A,"="&amp;вариация!D$2)</f>
        <v>1</v>
      </c>
      <c r="E516">
        <f>SUMIFS('data (1)'!$M:$M,'data (1)'!$J:$J,"="&amp;$A516,'data (1)'!$A:$A,"="&amp;вариация!E$2)</f>
        <v>0</v>
      </c>
      <c r="F516">
        <f>SUMIFS('data (1)'!$M:$M,'data (1)'!$J:$J,"="&amp;$A516,'data (1)'!$A:$A,"="&amp;вариация!F$2)</f>
        <v>0</v>
      </c>
      <c r="G516">
        <f>SUMIFS('data (1)'!$M:$M,'data (1)'!$J:$J,"="&amp;$A516,'data (1)'!$A:$A,"="&amp;вариация!G$2)</f>
        <v>0</v>
      </c>
      <c r="H516" t="str">
        <f t="shared" ref="H516:H579" si="17">IF(COUNTIF(C516:G516,"&gt;0") &gt;=3, "Yes", "No")</f>
        <v>No</v>
      </c>
    </row>
    <row r="517" spans="1:8" x14ac:dyDescent="0.25">
      <c r="A517" s="7" t="s">
        <v>207</v>
      </c>
      <c r="B517" s="25">
        <f t="shared" si="16"/>
        <v>2.2360679774997894</v>
      </c>
      <c r="C517">
        <f>SUMIFS('data (1)'!$M:$M,'data (1)'!$J:$J,"="&amp;$A517,'data (1)'!$A:$A,"="&amp;вариация!C$2)</f>
        <v>1</v>
      </c>
      <c r="D517">
        <f>SUMIFS('data (1)'!$M:$M,'data (1)'!$J:$J,"="&amp;$A517,'data (1)'!$A:$A,"="&amp;вариация!D$2)</f>
        <v>0</v>
      </c>
      <c r="E517">
        <f>SUMIFS('data (1)'!$M:$M,'data (1)'!$J:$J,"="&amp;$A517,'data (1)'!$A:$A,"="&amp;вариация!E$2)</f>
        <v>0</v>
      </c>
      <c r="F517">
        <f>SUMIFS('data (1)'!$M:$M,'data (1)'!$J:$J,"="&amp;$A517,'data (1)'!$A:$A,"="&amp;вариация!F$2)</f>
        <v>0</v>
      </c>
      <c r="G517">
        <f>SUMIFS('data (1)'!$M:$M,'data (1)'!$J:$J,"="&amp;$A517,'data (1)'!$A:$A,"="&amp;вариация!G$2)</f>
        <v>0</v>
      </c>
      <c r="H517" t="str">
        <f t="shared" si="17"/>
        <v>No</v>
      </c>
    </row>
    <row r="518" spans="1:8" x14ac:dyDescent="0.25">
      <c r="A518" s="7" t="s">
        <v>1211</v>
      </c>
      <c r="B518" s="25">
        <f t="shared" si="16"/>
        <v>2.2360679774997894</v>
      </c>
      <c r="C518">
        <f>SUMIFS('data (1)'!$M:$M,'data (1)'!$J:$J,"="&amp;$A518,'data (1)'!$A:$A,"="&amp;вариация!C$2)</f>
        <v>0</v>
      </c>
      <c r="D518">
        <f>SUMIFS('data (1)'!$M:$M,'data (1)'!$J:$J,"="&amp;$A518,'data (1)'!$A:$A,"="&amp;вариация!D$2)</f>
        <v>0</v>
      </c>
      <c r="E518">
        <f>SUMIFS('data (1)'!$M:$M,'data (1)'!$J:$J,"="&amp;$A518,'data (1)'!$A:$A,"="&amp;вариация!E$2)</f>
        <v>0</v>
      </c>
      <c r="F518">
        <f>SUMIFS('data (1)'!$M:$M,'data (1)'!$J:$J,"="&amp;$A518,'data (1)'!$A:$A,"="&amp;вариация!F$2)</f>
        <v>0</v>
      </c>
      <c r="G518">
        <f>SUMIFS('data (1)'!$M:$M,'data (1)'!$J:$J,"="&amp;$A518,'data (1)'!$A:$A,"="&amp;вариация!G$2)</f>
        <v>1</v>
      </c>
      <c r="H518" t="str">
        <f t="shared" si="17"/>
        <v>No</v>
      </c>
    </row>
    <row r="519" spans="1:8" x14ac:dyDescent="0.25">
      <c r="A519" s="7" t="s">
        <v>353</v>
      </c>
      <c r="B519" s="25">
        <f t="shared" si="16"/>
        <v>2.2360679774997894</v>
      </c>
      <c r="C519">
        <f>SUMIFS('data (1)'!$M:$M,'data (1)'!$J:$J,"="&amp;$A519,'data (1)'!$A:$A,"="&amp;вариация!C$2)</f>
        <v>1</v>
      </c>
      <c r="D519">
        <f>SUMIFS('data (1)'!$M:$M,'data (1)'!$J:$J,"="&amp;$A519,'data (1)'!$A:$A,"="&amp;вариация!D$2)</f>
        <v>0</v>
      </c>
      <c r="E519">
        <f>SUMIFS('data (1)'!$M:$M,'data (1)'!$J:$J,"="&amp;$A519,'data (1)'!$A:$A,"="&amp;вариация!E$2)</f>
        <v>0</v>
      </c>
      <c r="F519">
        <f>SUMIFS('data (1)'!$M:$M,'data (1)'!$J:$J,"="&amp;$A519,'data (1)'!$A:$A,"="&amp;вариация!F$2)</f>
        <v>0</v>
      </c>
      <c r="G519">
        <f>SUMIFS('data (1)'!$M:$M,'data (1)'!$J:$J,"="&amp;$A519,'data (1)'!$A:$A,"="&amp;вариация!G$2)</f>
        <v>0</v>
      </c>
      <c r="H519" t="str">
        <f t="shared" si="17"/>
        <v>No</v>
      </c>
    </row>
    <row r="520" spans="1:8" x14ac:dyDescent="0.25">
      <c r="A520" s="7" t="s">
        <v>1125</v>
      </c>
      <c r="B520" s="25">
        <f t="shared" si="16"/>
        <v>2.2360679774997894</v>
      </c>
      <c r="C520">
        <f>SUMIFS('data (1)'!$M:$M,'data (1)'!$J:$J,"="&amp;$A520,'data (1)'!$A:$A,"="&amp;вариация!C$2)</f>
        <v>0</v>
      </c>
      <c r="D520">
        <f>SUMIFS('data (1)'!$M:$M,'data (1)'!$J:$J,"="&amp;$A520,'data (1)'!$A:$A,"="&amp;вариация!D$2)</f>
        <v>0</v>
      </c>
      <c r="E520">
        <f>SUMIFS('data (1)'!$M:$M,'data (1)'!$J:$J,"="&amp;$A520,'data (1)'!$A:$A,"="&amp;вариация!E$2)</f>
        <v>0</v>
      </c>
      <c r="F520">
        <f>SUMIFS('data (1)'!$M:$M,'data (1)'!$J:$J,"="&amp;$A520,'data (1)'!$A:$A,"="&amp;вариация!F$2)</f>
        <v>0</v>
      </c>
      <c r="G520">
        <f>SUMIFS('data (1)'!$M:$M,'data (1)'!$J:$J,"="&amp;$A520,'data (1)'!$A:$A,"="&amp;вариация!G$2)</f>
        <v>1</v>
      </c>
      <c r="H520" t="str">
        <f t="shared" si="17"/>
        <v>No</v>
      </c>
    </row>
    <row r="521" spans="1:8" x14ac:dyDescent="0.25">
      <c r="A521" s="7" t="s">
        <v>1147</v>
      </c>
      <c r="B521" s="25">
        <f t="shared" si="16"/>
        <v>2.2360679774997894</v>
      </c>
      <c r="C521">
        <f>SUMIFS('data (1)'!$M:$M,'data (1)'!$J:$J,"="&amp;$A521,'data (1)'!$A:$A,"="&amp;вариация!C$2)</f>
        <v>0</v>
      </c>
      <c r="D521">
        <f>SUMIFS('data (1)'!$M:$M,'data (1)'!$J:$J,"="&amp;$A521,'data (1)'!$A:$A,"="&amp;вариация!D$2)</f>
        <v>0</v>
      </c>
      <c r="E521">
        <f>SUMIFS('data (1)'!$M:$M,'data (1)'!$J:$J,"="&amp;$A521,'data (1)'!$A:$A,"="&amp;вариация!E$2)</f>
        <v>0</v>
      </c>
      <c r="F521">
        <f>SUMIFS('data (1)'!$M:$M,'data (1)'!$J:$J,"="&amp;$A521,'data (1)'!$A:$A,"="&amp;вариация!F$2)</f>
        <v>0</v>
      </c>
      <c r="G521">
        <f>SUMIFS('data (1)'!$M:$M,'data (1)'!$J:$J,"="&amp;$A521,'data (1)'!$A:$A,"="&amp;вариация!G$2)</f>
        <v>1</v>
      </c>
      <c r="H521" t="str">
        <f t="shared" si="17"/>
        <v>No</v>
      </c>
    </row>
    <row r="522" spans="1:8" x14ac:dyDescent="0.25">
      <c r="A522" s="7" t="s">
        <v>998</v>
      </c>
      <c r="B522" s="25">
        <f t="shared" si="16"/>
        <v>1.4907119849998598</v>
      </c>
      <c r="C522">
        <f>SUMIFS('data (1)'!$M:$M,'data (1)'!$J:$J,"="&amp;$A522,'data (1)'!$A:$A,"="&amp;вариация!C$2)</f>
        <v>0</v>
      </c>
      <c r="D522">
        <f>SUMIFS('data (1)'!$M:$M,'data (1)'!$J:$J,"="&amp;$A522,'data (1)'!$A:$A,"="&amp;вариация!D$2)</f>
        <v>0</v>
      </c>
      <c r="E522">
        <f>SUMIFS('data (1)'!$M:$M,'data (1)'!$J:$J,"="&amp;$A522,'data (1)'!$A:$A,"="&amp;вариация!E$2)</f>
        <v>0</v>
      </c>
      <c r="F522">
        <f>SUMIFS('data (1)'!$M:$M,'data (1)'!$J:$J,"="&amp;$A522,'data (1)'!$A:$A,"="&amp;вариация!F$2)</f>
        <v>2</v>
      </c>
      <c r="G522">
        <f>SUMIFS('data (1)'!$M:$M,'data (1)'!$J:$J,"="&amp;$A522,'data (1)'!$A:$A,"="&amp;вариация!G$2)</f>
        <v>1</v>
      </c>
      <c r="H522" t="str">
        <f t="shared" si="17"/>
        <v>No</v>
      </c>
    </row>
    <row r="523" spans="1:8" x14ac:dyDescent="0.25">
      <c r="A523" s="7" t="s">
        <v>94</v>
      </c>
      <c r="B523" s="25">
        <f t="shared" si="16"/>
        <v>0.61418151625658901</v>
      </c>
      <c r="C523">
        <f>SUMIFS('data (1)'!$M:$M,'data (1)'!$J:$J,"="&amp;$A523,'data (1)'!$A:$A,"="&amp;вариация!C$2)</f>
        <v>10</v>
      </c>
      <c r="D523">
        <f>SUMIFS('data (1)'!$M:$M,'data (1)'!$J:$J,"="&amp;$A523,'data (1)'!$A:$A,"="&amp;вариация!D$2)</f>
        <v>3</v>
      </c>
      <c r="E523">
        <f>SUMIFS('data (1)'!$M:$M,'data (1)'!$J:$J,"="&amp;$A523,'data (1)'!$A:$A,"="&amp;вариация!E$2)</f>
        <v>3</v>
      </c>
      <c r="F523">
        <f>SUMIFS('data (1)'!$M:$M,'data (1)'!$J:$J,"="&amp;$A523,'data (1)'!$A:$A,"="&amp;вариация!F$2)</f>
        <v>3</v>
      </c>
      <c r="G523">
        <f>SUMIFS('data (1)'!$M:$M,'data (1)'!$J:$J,"="&amp;$A523,'data (1)'!$A:$A,"="&amp;вариация!G$2)</f>
        <v>7</v>
      </c>
      <c r="H523" t="str">
        <f t="shared" si="17"/>
        <v>Yes</v>
      </c>
    </row>
    <row r="524" spans="1:8" x14ac:dyDescent="0.25">
      <c r="A524" s="7" t="s">
        <v>1012</v>
      </c>
      <c r="B524" s="25">
        <f t="shared" si="16"/>
        <v>1.3693063937629151</v>
      </c>
      <c r="C524">
        <f>SUMIFS('data (1)'!$M:$M,'data (1)'!$J:$J,"="&amp;$A524,'data (1)'!$A:$A,"="&amp;вариация!C$2)</f>
        <v>0</v>
      </c>
      <c r="D524">
        <f>SUMIFS('data (1)'!$M:$M,'data (1)'!$J:$J,"="&amp;$A524,'data (1)'!$A:$A,"="&amp;вариация!D$2)</f>
        <v>0</v>
      </c>
      <c r="E524">
        <f>SUMIFS('data (1)'!$M:$M,'data (1)'!$J:$J,"="&amp;$A524,'data (1)'!$A:$A,"="&amp;вариация!E$2)</f>
        <v>0</v>
      </c>
      <c r="F524">
        <f>SUMIFS('data (1)'!$M:$M,'data (1)'!$J:$J,"="&amp;$A524,'data (1)'!$A:$A,"="&amp;вариация!F$2)</f>
        <v>1</v>
      </c>
      <c r="G524">
        <f>SUMIFS('data (1)'!$M:$M,'data (1)'!$J:$J,"="&amp;$A524,'data (1)'!$A:$A,"="&amp;вариация!G$2)</f>
        <v>1</v>
      </c>
      <c r="H524" t="str">
        <f t="shared" si="17"/>
        <v>No</v>
      </c>
    </row>
    <row r="525" spans="1:8" x14ac:dyDescent="0.25">
      <c r="A525" s="7" t="s">
        <v>990</v>
      </c>
      <c r="B525" s="25">
        <f t="shared" si="16"/>
        <v>2.2360679774997894</v>
      </c>
      <c r="C525">
        <f>SUMIFS('data (1)'!$M:$M,'data (1)'!$J:$J,"="&amp;$A525,'data (1)'!$A:$A,"="&amp;вариация!C$2)</f>
        <v>0</v>
      </c>
      <c r="D525">
        <f>SUMIFS('data (1)'!$M:$M,'data (1)'!$J:$J,"="&amp;$A525,'data (1)'!$A:$A,"="&amp;вариация!D$2)</f>
        <v>0</v>
      </c>
      <c r="E525">
        <f>SUMIFS('data (1)'!$M:$M,'data (1)'!$J:$J,"="&amp;$A525,'data (1)'!$A:$A,"="&amp;вариация!E$2)</f>
        <v>0</v>
      </c>
      <c r="F525">
        <f>SUMIFS('data (1)'!$M:$M,'data (1)'!$J:$J,"="&amp;$A525,'data (1)'!$A:$A,"="&amp;вариация!F$2)</f>
        <v>1</v>
      </c>
      <c r="G525">
        <f>SUMIFS('data (1)'!$M:$M,'data (1)'!$J:$J,"="&amp;$A525,'data (1)'!$A:$A,"="&amp;вариация!G$2)</f>
        <v>0</v>
      </c>
      <c r="H525" t="str">
        <f t="shared" si="17"/>
        <v>No</v>
      </c>
    </row>
    <row r="526" spans="1:8" x14ac:dyDescent="0.25">
      <c r="A526" s="7" t="s">
        <v>1223</v>
      </c>
      <c r="B526" s="25">
        <f t="shared" si="16"/>
        <v>2.2360679774997894</v>
      </c>
      <c r="C526">
        <f>SUMIFS('data (1)'!$M:$M,'data (1)'!$J:$J,"="&amp;$A526,'data (1)'!$A:$A,"="&amp;вариация!C$2)</f>
        <v>0</v>
      </c>
      <c r="D526">
        <f>SUMIFS('data (1)'!$M:$M,'data (1)'!$J:$J,"="&amp;$A526,'data (1)'!$A:$A,"="&amp;вариация!D$2)</f>
        <v>0</v>
      </c>
      <c r="E526">
        <f>SUMIFS('data (1)'!$M:$M,'data (1)'!$J:$J,"="&amp;$A526,'data (1)'!$A:$A,"="&amp;вариация!E$2)</f>
        <v>0</v>
      </c>
      <c r="F526">
        <f>SUMIFS('data (1)'!$M:$M,'data (1)'!$J:$J,"="&amp;$A526,'data (1)'!$A:$A,"="&amp;вариация!F$2)</f>
        <v>0</v>
      </c>
      <c r="G526">
        <f>SUMIFS('data (1)'!$M:$M,'data (1)'!$J:$J,"="&amp;$A526,'data (1)'!$A:$A,"="&amp;вариация!G$2)</f>
        <v>1</v>
      </c>
      <c r="H526" t="str">
        <f t="shared" si="17"/>
        <v>No</v>
      </c>
    </row>
    <row r="527" spans="1:8" x14ac:dyDescent="0.25">
      <c r="A527" s="7" t="s">
        <v>217</v>
      </c>
      <c r="B527" s="25">
        <f t="shared" si="16"/>
        <v>1.8626292586293283</v>
      </c>
      <c r="C527">
        <f>SUMIFS('data (1)'!$M:$M,'data (1)'!$J:$J,"="&amp;$A527,'data (1)'!$A:$A,"="&amp;вариация!C$2)</f>
        <v>6</v>
      </c>
      <c r="D527">
        <f>SUMIFS('data (1)'!$M:$M,'data (1)'!$J:$J,"="&amp;$A527,'data (1)'!$A:$A,"="&amp;вариация!D$2)</f>
        <v>0</v>
      </c>
      <c r="E527">
        <f>SUMIFS('data (1)'!$M:$M,'data (1)'!$J:$J,"="&amp;$A527,'data (1)'!$A:$A,"="&amp;вариация!E$2)</f>
        <v>0</v>
      </c>
      <c r="F527">
        <f>SUMIFS('data (1)'!$M:$M,'data (1)'!$J:$J,"="&amp;$A527,'data (1)'!$A:$A,"="&amp;вариация!F$2)</f>
        <v>1</v>
      </c>
      <c r="G527">
        <f>SUMIFS('data (1)'!$M:$M,'data (1)'!$J:$J,"="&amp;$A527,'data (1)'!$A:$A,"="&amp;вариация!G$2)</f>
        <v>0</v>
      </c>
      <c r="H527" t="str">
        <f t="shared" si="17"/>
        <v>No</v>
      </c>
    </row>
    <row r="528" spans="1:8" x14ac:dyDescent="0.25">
      <c r="A528" s="7" t="s">
        <v>446</v>
      </c>
      <c r="B528" s="25">
        <f t="shared" si="16"/>
        <v>1.3693063937629151</v>
      </c>
      <c r="C528">
        <f>SUMIFS('data (1)'!$M:$M,'data (1)'!$J:$J,"="&amp;$A528,'data (1)'!$A:$A,"="&amp;вариация!C$2)</f>
        <v>1</v>
      </c>
      <c r="D528">
        <f>SUMIFS('data (1)'!$M:$M,'data (1)'!$J:$J,"="&amp;$A528,'data (1)'!$A:$A,"="&amp;вариация!D$2)</f>
        <v>1</v>
      </c>
      <c r="E528">
        <f>SUMIFS('data (1)'!$M:$M,'data (1)'!$J:$J,"="&amp;$A528,'data (1)'!$A:$A,"="&amp;вариация!E$2)</f>
        <v>0</v>
      </c>
      <c r="F528">
        <f>SUMIFS('data (1)'!$M:$M,'data (1)'!$J:$J,"="&amp;$A528,'data (1)'!$A:$A,"="&amp;вариация!F$2)</f>
        <v>0</v>
      </c>
      <c r="G528">
        <f>SUMIFS('data (1)'!$M:$M,'data (1)'!$J:$J,"="&amp;$A528,'data (1)'!$A:$A,"="&amp;вариация!G$2)</f>
        <v>0</v>
      </c>
      <c r="H528" t="str">
        <f t="shared" si="17"/>
        <v>No</v>
      </c>
    </row>
    <row r="529" spans="1:8" x14ac:dyDescent="0.25">
      <c r="A529" s="7" t="s">
        <v>801</v>
      </c>
      <c r="B529" s="25">
        <f t="shared" si="16"/>
        <v>2.2360679774997894</v>
      </c>
      <c r="C529">
        <f>SUMIFS('data (1)'!$M:$M,'data (1)'!$J:$J,"="&amp;$A529,'data (1)'!$A:$A,"="&amp;вариация!C$2)</f>
        <v>0</v>
      </c>
      <c r="D529">
        <f>SUMIFS('data (1)'!$M:$M,'data (1)'!$J:$J,"="&amp;$A529,'data (1)'!$A:$A,"="&amp;вариация!D$2)</f>
        <v>0</v>
      </c>
      <c r="E529">
        <f>SUMIFS('data (1)'!$M:$M,'data (1)'!$J:$J,"="&amp;$A529,'data (1)'!$A:$A,"="&amp;вариация!E$2)</f>
        <v>1</v>
      </c>
      <c r="F529">
        <f>SUMIFS('data (1)'!$M:$M,'data (1)'!$J:$J,"="&amp;$A529,'data (1)'!$A:$A,"="&amp;вариация!F$2)</f>
        <v>0</v>
      </c>
      <c r="G529">
        <f>SUMIFS('data (1)'!$M:$M,'data (1)'!$J:$J,"="&amp;$A529,'data (1)'!$A:$A,"="&amp;вариация!G$2)</f>
        <v>0</v>
      </c>
      <c r="H529" t="str">
        <f t="shared" si="17"/>
        <v>No</v>
      </c>
    </row>
    <row r="530" spans="1:8" x14ac:dyDescent="0.25">
      <c r="A530" s="7" t="s">
        <v>121</v>
      </c>
      <c r="B530" s="25">
        <f t="shared" si="16"/>
        <v>1.0458250331675945</v>
      </c>
      <c r="C530">
        <f>SUMIFS('data (1)'!$M:$M,'data (1)'!$J:$J,"="&amp;$A530,'data (1)'!$A:$A,"="&amp;вариация!C$2)</f>
        <v>2</v>
      </c>
      <c r="D530">
        <f>SUMIFS('data (1)'!$M:$M,'data (1)'!$J:$J,"="&amp;$A530,'data (1)'!$A:$A,"="&amp;вариация!D$2)</f>
        <v>0</v>
      </c>
      <c r="E530">
        <f>SUMIFS('data (1)'!$M:$M,'data (1)'!$J:$J,"="&amp;$A530,'data (1)'!$A:$A,"="&amp;вариация!E$2)</f>
        <v>1</v>
      </c>
      <c r="F530">
        <f>SUMIFS('data (1)'!$M:$M,'data (1)'!$J:$J,"="&amp;$A530,'data (1)'!$A:$A,"="&amp;вариация!F$2)</f>
        <v>0</v>
      </c>
      <c r="G530">
        <f>SUMIFS('data (1)'!$M:$M,'data (1)'!$J:$J,"="&amp;$A530,'data (1)'!$A:$A,"="&amp;вариация!G$2)</f>
        <v>1</v>
      </c>
      <c r="H530" t="str">
        <f t="shared" si="17"/>
        <v>Yes</v>
      </c>
    </row>
    <row r="531" spans="1:8" x14ac:dyDescent="0.25">
      <c r="A531" s="7" t="s">
        <v>920</v>
      </c>
      <c r="B531" s="25">
        <f t="shared" si="16"/>
        <v>2.2360679774997894</v>
      </c>
      <c r="C531">
        <f>SUMIFS('data (1)'!$M:$M,'data (1)'!$J:$J,"="&amp;$A531,'data (1)'!$A:$A,"="&amp;вариация!C$2)</f>
        <v>0</v>
      </c>
      <c r="D531">
        <f>SUMIFS('data (1)'!$M:$M,'data (1)'!$J:$J,"="&amp;$A531,'data (1)'!$A:$A,"="&amp;вариация!D$2)</f>
        <v>0</v>
      </c>
      <c r="E531">
        <f>SUMIFS('data (1)'!$M:$M,'data (1)'!$J:$J,"="&amp;$A531,'data (1)'!$A:$A,"="&amp;вариация!E$2)</f>
        <v>2</v>
      </c>
      <c r="F531">
        <f>SUMIFS('data (1)'!$M:$M,'data (1)'!$J:$J,"="&amp;$A531,'data (1)'!$A:$A,"="&amp;вариация!F$2)</f>
        <v>0</v>
      </c>
      <c r="G531">
        <f>SUMIFS('data (1)'!$M:$M,'data (1)'!$J:$J,"="&amp;$A531,'data (1)'!$A:$A,"="&amp;вариация!G$2)</f>
        <v>0</v>
      </c>
      <c r="H531" t="str">
        <f t="shared" si="17"/>
        <v>No</v>
      </c>
    </row>
    <row r="532" spans="1:8" x14ac:dyDescent="0.25">
      <c r="A532" s="7" t="s">
        <v>50</v>
      </c>
      <c r="B532" s="25">
        <f t="shared" si="16"/>
        <v>2.2360679774997894</v>
      </c>
      <c r="C532">
        <f>SUMIFS('data (1)'!$M:$M,'data (1)'!$J:$J,"="&amp;$A532,'data (1)'!$A:$A,"="&amp;вариация!C$2)</f>
        <v>2</v>
      </c>
      <c r="D532">
        <f>SUMIFS('data (1)'!$M:$M,'data (1)'!$J:$J,"="&amp;$A532,'data (1)'!$A:$A,"="&amp;вариация!D$2)</f>
        <v>0</v>
      </c>
      <c r="E532">
        <f>SUMIFS('data (1)'!$M:$M,'data (1)'!$J:$J,"="&amp;$A532,'data (1)'!$A:$A,"="&amp;вариация!E$2)</f>
        <v>0</v>
      </c>
      <c r="F532">
        <f>SUMIFS('data (1)'!$M:$M,'data (1)'!$J:$J,"="&amp;$A532,'data (1)'!$A:$A,"="&amp;вариация!F$2)</f>
        <v>0</v>
      </c>
      <c r="G532">
        <f>SUMIFS('data (1)'!$M:$M,'data (1)'!$J:$J,"="&amp;$A532,'data (1)'!$A:$A,"="&amp;вариация!G$2)</f>
        <v>0</v>
      </c>
      <c r="H532" t="str">
        <f t="shared" si="17"/>
        <v>No</v>
      </c>
    </row>
    <row r="533" spans="1:8" x14ac:dyDescent="0.25">
      <c r="A533" s="7" t="s">
        <v>115</v>
      </c>
      <c r="B533" s="25">
        <f t="shared" si="16"/>
        <v>1.0865337342004415</v>
      </c>
      <c r="C533">
        <f>SUMIFS('data (1)'!$M:$M,'data (1)'!$J:$J,"="&amp;$A533,'data (1)'!$A:$A,"="&amp;вариация!C$2)</f>
        <v>2</v>
      </c>
      <c r="D533">
        <f>SUMIFS('data (1)'!$M:$M,'data (1)'!$J:$J,"="&amp;$A533,'data (1)'!$A:$A,"="&amp;вариация!D$2)</f>
        <v>0</v>
      </c>
      <c r="E533">
        <f>SUMIFS('data (1)'!$M:$M,'data (1)'!$J:$J,"="&amp;$A533,'data (1)'!$A:$A,"="&amp;вариация!E$2)</f>
        <v>3</v>
      </c>
      <c r="F533">
        <f>SUMIFS('data (1)'!$M:$M,'data (1)'!$J:$J,"="&amp;$A533,'data (1)'!$A:$A,"="&amp;вариация!F$2)</f>
        <v>1</v>
      </c>
      <c r="G533">
        <f>SUMIFS('data (1)'!$M:$M,'data (1)'!$J:$J,"="&amp;$A533,'data (1)'!$A:$A,"="&amp;вариация!G$2)</f>
        <v>0</v>
      </c>
      <c r="H533" t="str">
        <f t="shared" si="17"/>
        <v>Yes</v>
      </c>
    </row>
    <row r="534" spans="1:8" x14ac:dyDescent="0.25">
      <c r="A534" s="7" t="s">
        <v>495</v>
      </c>
      <c r="B534" s="25">
        <f t="shared" si="16"/>
        <v>1</v>
      </c>
      <c r="C534">
        <f>SUMIFS('data (1)'!$M:$M,'data (1)'!$J:$J,"="&amp;$A534,'data (1)'!$A:$A,"="&amp;вариация!C$2)</f>
        <v>0</v>
      </c>
      <c r="D534">
        <f>SUMIFS('data (1)'!$M:$M,'data (1)'!$J:$J,"="&amp;$A534,'data (1)'!$A:$A,"="&amp;вариация!D$2)</f>
        <v>1</v>
      </c>
      <c r="E534">
        <f>SUMIFS('data (1)'!$M:$M,'data (1)'!$J:$J,"="&amp;$A534,'data (1)'!$A:$A,"="&amp;вариация!E$2)</f>
        <v>2</v>
      </c>
      <c r="F534">
        <f>SUMIFS('data (1)'!$M:$M,'data (1)'!$J:$J,"="&amp;$A534,'data (1)'!$A:$A,"="&amp;вариация!F$2)</f>
        <v>2</v>
      </c>
      <c r="G534">
        <f>SUMIFS('data (1)'!$M:$M,'data (1)'!$J:$J,"="&amp;$A534,'data (1)'!$A:$A,"="&amp;вариация!G$2)</f>
        <v>0</v>
      </c>
      <c r="H534" t="str">
        <f t="shared" si="17"/>
        <v>Yes</v>
      </c>
    </row>
    <row r="535" spans="1:8" x14ac:dyDescent="0.25">
      <c r="A535" s="7" t="s">
        <v>1161</v>
      </c>
      <c r="B535" s="25">
        <f t="shared" si="16"/>
        <v>2.2360679774997894</v>
      </c>
      <c r="C535">
        <f>SUMIFS('data (1)'!$M:$M,'data (1)'!$J:$J,"="&amp;$A535,'data (1)'!$A:$A,"="&amp;вариация!C$2)</f>
        <v>0</v>
      </c>
      <c r="D535">
        <f>SUMIFS('data (1)'!$M:$M,'data (1)'!$J:$J,"="&amp;$A535,'data (1)'!$A:$A,"="&amp;вариация!D$2)</f>
        <v>0</v>
      </c>
      <c r="E535">
        <f>SUMIFS('data (1)'!$M:$M,'data (1)'!$J:$J,"="&amp;$A535,'data (1)'!$A:$A,"="&amp;вариация!E$2)</f>
        <v>0</v>
      </c>
      <c r="F535">
        <f>SUMIFS('data (1)'!$M:$M,'data (1)'!$J:$J,"="&amp;$A535,'data (1)'!$A:$A,"="&amp;вариация!F$2)</f>
        <v>0</v>
      </c>
      <c r="G535">
        <f>SUMIFS('data (1)'!$M:$M,'data (1)'!$J:$J,"="&amp;$A535,'data (1)'!$A:$A,"="&amp;вариация!G$2)</f>
        <v>1</v>
      </c>
      <c r="H535" t="str">
        <f t="shared" si="17"/>
        <v>No</v>
      </c>
    </row>
    <row r="536" spans="1:8" x14ac:dyDescent="0.25">
      <c r="A536" s="7" t="s">
        <v>101</v>
      </c>
      <c r="B536" s="25">
        <f t="shared" si="16"/>
        <v>0.61237243569579447</v>
      </c>
      <c r="C536">
        <f>SUMIFS('data (1)'!$M:$M,'data (1)'!$J:$J,"="&amp;$A536,'data (1)'!$A:$A,"="&amp;вариация!C$2)</f>
        <v>2</v>
      </c>
      <c r="D536">
        <f>SUMIFS('data (1)'!$M:$M,'data (1)'!$J:$J,"="&amp;$A536,'data (1)'!$A:$A,"="&amp;вариация!D$2)</f>
        <v>2</v>
      </c>
      <c r="E536">
        <f>SUMIFS('data (1)'!$M:$M,'data (1)'!$J:$J,"="&amp;$A536,'data (1)'!$A:$A,"="&amp;вариация!E$2)</f>
        <v>1</v>
      </c>
      <c r="F536">
        <f>SUMIFS('data (1)'!$M:$M,'data (1)'!$J:$J,"="&amp;$A536,'data (1)'!$A:$A,"="&amp;вариация!F$2)</f>
        <v>4</v>
      </c>
      <c r="G536">
        <f>SUMIFS('data (1)'!$M:$M,'data (1)'!$J:$J,"="&amp;$A536,'data (1)'!$A:$A,"="&amp;вариация!G$2)</f>
        <v>1</v>
      </c>
      <c r="H536" t="str">
        <f t="shared" si="17"/>
        <v>Yes</v>
      </c>
    </row>
    <row r="537" spans="1:8" x14ac:dyDescent="0.25">
      <c r="A537" s="7" t="s">
        <v>452</v>
      </c>
      <c r="B537" s="25">
        <f t="shared" si="16"/>
        <v>2.2360679774997894</v>
      </c>
      <c r="C537">
        <f>SUMIFS('data (1)'!$M:$M,'data (1)'!$J:$J,"="&amp;$A537,'data (1)'!$A:$A,"="&amp;вариация!C$2)</f>
        <v>1</v>
      </c>
      <c r="D537">
        <f>SUMIFS('data (1)'!$M:$M,'data (1)'!$J:$J,"="&amp;$A537,'data (1)'!$A:$A,"="&amp;вариация!D$2)</f>
        <v>0</v>
      </c>
      <c r="E537">
        <f>SUMIFS('data (1)'!$M:$M,'data (1)'!$J:$J,"="&amp;$A537,'data (1)'!$A:$A,"="&amp;вариация!E$2)</f>
        <v>0</v>
      </c>
      <c r="F537">
        <f>SUMIFS('data (1)'!$M:$M,'data (1)'!$J:$J,"="&amp;$A537,'data (1)'!$A:$A,"="&amp;вариация!F$2)</f>
        <v>0</v>
      </c>
      <c r="G537">
        <f>SUMIFS('data (1)'!$M:$M,'data (1)'!$J:$J,"="&amp;$A537,'data (1)'!$A:$A,"="&amp;вариация!G$2)</f>
        <v>0</v>
      </c>
      <c r="H537" t="str">
        <f t="shared" si="17"/>
        <v>No</v>
      </c>
    </row>
    <row r="538" spans="1:8" x14ac:dyDescent="0.25">
      <c r="A538" s="7" t="s">
        <v>1016</v>
      </c>
      <c r="B538" s="25">
        <f t="shared" si="16"/>
        <v>2.2360679774997894</v>
      </c>
      <c r="C538">
        <f>SUMIFS('data (1)'!$M:$M,'data (1)'!$J:$J,"="&amp;$A538,'data (1)'!$A:$A,"="&amp;вариация!C$2)</f>
        <v>0</v>
      </c>
      <c r="D538">
        <f>SUMIFS('data (1)'!$M:$M,'data (1)'!$J:$J,"="&amp;$A538,'data (1)'!$A:$A,"="&amp;вариация!D$2)</f>
        <v>0</v>
      </c>
      <c r="E538">
        <f>SUMIFS('data (1)'!$M:$M,'data (1)'!$J:$J,"="&amp;$A538,'data (1)'!$A:$A,"="&amp;вариация!E$2)</f>
        <v>0</v>
      </c>
      <c r="F538">
        <f>SUMIFS('data (1)'!$M:$M,'data (1)'!$J:$J,"="&amp;$A538,'data (1)'!$A:$A,"="&amp;вариация!F$2)</f>
        <v>1</v>
      </c>
      <c r="G538">
        <f>SUMIFS('data (1)'!$M:$M,'data (1)'!$J:$J,"="&amp;$A538,'data (1)'!$A:$A,"="&amp;вариация!G$2)</f>
        <v>0</v>
      </c>
      <c r="H538" t="str">
        <f t="shared" si="17"/>
        <v>No</v>
      </c>
    </row>
    <row r="539" spans="1:8" x14ac:dyDescent="0.25">
      <c r="A539" s="7" t="s">
        <v>594</v>
      </c>
      <c r="B539" s="25">
        <f t="shared" si="16"/>
        <v>0.88545111024779533</v>
      </c>
      <c r="C539">
        <f>SUMIFS('data (1)'!$M:$M,'data (1)'!$J:$J,"="&amp;$A539,'data (1)'!$A:$A,"="&amp;вариация!C$2)</f>
        <v>0</v>
      </c>
      <c r="D539">
        <f>SUMIFS('data (1)'!$M:$M,'data (1)'!$J:$J,"="&amp;$A539,'data (1)'!$A:$A,"="&amp;вариация!D$2)</f>
        <v>5</v>
      </c>
      <c r="E539">
        <f>SUMIFS('data (1)'!$M:$M,'data (1)'!$J:$J,"="&amp;$A539,'data (1)'!$A:$A,"="&amp;вариация!E$2)</f>
        <v>2</v>
      </c>
      <c r="F539">
        <f>SUMIFS('data (1)'!$M:$M,'data (1)'!$J:$J,"="&amp;$A539,'data (1)'!$A:$A,"="&amp;вариация!F$2)</f>
        <v>1</v>
      </c>
      <c r="G539">
        <f>SUMIFS('data (1)'!$M:$M,'data (1)'!$J:$J,"="&amp;$A539,'data (1)'!$A:$A,"="&amp;вариация!G$2)</f>
        <v>5</v>
      </c>
      <c r="H539" t="str">
        <f t="shared" si="17"/>
        <v>Yes</v>
      </c>
    </row>
    <row r="540" spans="1:8" x14ac:dyDescent="0.25">
      <c r="A540" s="7" t="s">
        <v>96</v>
      </c>
      <c r="B540" s="25">
        <f t="shared" si="16"/>
        <v>2.2360679774997894</v>
      </c>
      <c r="C540">
        <f>SUMIFS('data (1)'!$M:$M,'data (1)'!$J:$J,"="&amp;$A540,'data (1)'!$A:$A,"="&amp;вариация!C$2)</f>
        <v>2</v>
      </c>
      <c r="D540">
        <f>SUMIFS('data (1)'!$M:$M,'data (1)'!$J:$J,"="&amp;$A540,'data (1)'!$A:$A,"="&amp;вариация!D$2)</f>
        <v>0</v>
      </c>
      <c r="E540">
        <f>SUMIFS('data (1)'!$M:$M,'data (1)'!$J:$J,"="&amp;$A540,'data (1)'!$A:$A,"="&amp;вариация!E$2)</f>
        <v>0</v>
      </c>
      <c r="F540">
        <f>SUMIFS('data (1)'!$M:$M,'data (1)'!$J:$J,"="&amp;$A540,'data (1)'!$A:$A,"="&amp;вариация!F$2)</f>
        <v>0</v>
      </c>
      <c r="G540">
        <f>SUMIFS('data (1)'!$M:$M,'data (1)'!$J:$J,"="&amp;$A540,'data (1)'!$A:$A,"="&amp;вариация!G$2)</f>
        <v>0</v>
      </c>
      <c r="H540" t="str">
        <f t="shared" si="17"/>
        <v>No</v>
      </c>
    </row>
    <row r="541" spans="1:8" x14ac:dyDescent="0.25">
      <c r="A541" s="7" t="s">
        <v>1008</v>
      </c>
      <c r="B541" s="25">
        <f t="shared" si="16"/>
        <v>2.2360679774997894</v>
      </c>
      <c r="C541">
        <f>SUMIFS('data (1)'!$M:$M,'data (1)'!$J:$J,"="&amp;$A541,'data (1)'!$A:$A,"="&amp;вариация!C$2)</f>
        <v>0</v>
      </c>
      <c r="D541">
        <f>SUMIFS('data (1)'!$M:$M,'data (1)'!$J:$J,"="&amp;$A541,'data (1)'!$A:$A,"="&amp;вариация!D$2)</f>
        <v>0</v>
      </c>
      <c r="E541">
        <f>SUMIFS('data (1)'!$M:$M,'data (1)'!$J:$J,"="&amp;$A541,'data (1)'!$A:$A,"="&amp;вариация!E$2)</f>
        <v>0</v>
      </c>
      <c r="F541">
        <f>SUMIFS('data (1)'!$M:$M,'data (1)'!$J:$J,"="&amp;$A541,'data (1)'!$A:$A,"="&amp;вариация!F$2)</f>
        <v>2</v>
      </c>
      <c r="G541">
        <f>SUMIFS('data (1)'!$M:$M,'data (1)'!$J:$J,"="&amp;$A541,'data (1)'!$A:$A,"="&amp;вариация!G$2)</f>
        <v>0</v>
      </c>
      <c r="H541" t="str">
        <f t="shared" si="17"/>
        <v>No</v>
      </c>
    </row>
    <row r="542" spans="1:8" x14ac:dyDescent="0.25">
      <c r="A542" s="7" t="s">
        <v>595</v>
      </c>
      <c r="B542" s="25">
        <f t="shared" si="16"/>
        <v>2.2360679774997898</v>
      </c>
      <c r="C542">
        <f>SUMIFS('data (1)'!$M:$M,'data (1)'!$J:$J,"="&amp;$A542,'data (1)'!$A:$A,"="&amp;вариация!C$2)</f>
        <v>0</v>
      </c>
      <c r="D542">
        <f>SUMIFS('data (1)'!$M:$M,'data (1)'!$J:$J,"="&amp;$A542,'data (1)'!$A:$A,"="&amp;вариация!D$2)</f>
        <v>5</v>
      </c>
      <c r="E542">
        <f>SUMIFS('data (1)'!$M:$M,'data (1)'!$J:$J,"="&amp;$A542,'data (1)'!$A:$A,"="&amp;вариация!E$2)</f>
        <v>0</v>
      </c>
      <c r="F542">
        <f>SUMIFS('data (1)'!$M:$M,'data (1)'!$J:$J,"="&amp;$A542,'data (1)'!$A:$A,"="&amp;вариация!F$2)</f>
        <v>0</v>
      </c>
      <c r="G542">
        <f>SUMIFS('data (1)'!$M:$M,'data (1)'!$J:$J,"="&amp;$A542,'data (1)'!$A:$A,"="&amp;вариация!G$2)</f>
        <v>0</v>
      </c>
      <c r="H542" t="str">
        <f t="shared" si="17"/>
        <v>No</v>
      </c>
    </row>
    <row r="543" spans="1:8" x14ac:dyDescent="0.25">
      <c r="A543" s="7" t="s">
        <v>1017</v>
      </c>
      <c r="B543" s="25">
        <f t="shared" si="16"/>
        <v>2.2360679774997894</v>
      </c>
      <c r="C543">
        <f>SUMIFS('data (1)'!$M:$M,'data (1)'!$J:$J,"="&amp;$A543,'data (1)'!$A:$A,"="&amp;вариация!C$2)</f>
        <v>0</v>
      </c>
      <c r="D543">
        <f>SUMIFS('data (1)'!$M:$M,'data (1)'!$J:$J,"="&amp;$A543,'data (1)'!$A:$A,"="&amp;вариация!D$2)</f>
        <v>0</v>
      </c>
      <c r="E543">
        <f>SUMIFS('data (1)'!$M:$M,'data (1)'!$J:$J,"="&amp;$A543,'data (1)'!$A:$A,"="&amp;вариация!E$2)</f>
        <v>0</v>
      </c>
      <c r="F543">
        <f>SUMIFS('data (1)'!$M:$M,'data (1)'!$J:$J,"="&amp;$A543,'data (1)'!$A:$A,"="&amp;вариация!F$2)</f>
        <v>1</v>
      </c>
      <c r="G543">
        <f>SUMIFS('data (1)'!$M:$M,'data (1)'!$J:$J,"="&amp;$A543,'data (1)'!$A:$A,"="&amp;вариация!G$2)</f>
        <v>0</v>
      </c>
      <c r="H543" t="str">
        <f t="shared" si="17"/>
        <v>No</v>
      </c>
    </row>
    <row r="544" spans="1:8" x14ac:dyDescent="0.25">
      <c r="A544" s="7" t="s">
        <v>705</v>
      </c>
      <c r="B544" s="25">
        <f t="shared" si="16"/>
        <v>1.3693063937629151</v>
      </c>
      <c r="C544">
        <f>SUMIFS('data (1)'!$M:$M,'data (1)'!$J:$J,"="&amp;$A544,'data (1)'!$A:$A,"="&amp;вариация!C$2)</f>
        <v>0</v>
      </c>
      <c r="D544">
        <f>SUMIFS('data (1)'!$M:$M,'data (1)'!$J:$J,"="&amp;$A544,'data (1)'!$A:$A,"="&amp;вариация!D$2)</f>
        <v>1</v>
      </c>
      <c r="E544">
        <f>SUMIFS('data (1)'!$M:$M,'data (1)'!$J:$J,"="&amp;$A544,'data (1)'!$A:$A,"="&amp;вариация!E$2)</f>
        <v>0</v>
      </c>
      <c r="F544">
        <f>SUMIFS('data (1)'!$M:$M,'data (1)'!$J:$J,"="&amp;$A544,'data (1)'!$A:$A,"="&amp;вариация!F$2)</f>
        <v>1</v>
      </c>
      <c r="G544">
        <f>SUMIFS('data (1)'!$M:$M,'data (1)'!$J:$J,"="&amp;$A544,'data (1)'!$A:$A,"="&amp;вариация!G$2)</f>
        <v>0</v>
      </c>
      <c r="H544" t="str">
        <f t="shared" si="17"/>
        <v>No</v>
      </c>
    </row>
    <row r="545" spans="1:8" x14ac:dyDescent="0.25">
      <c r="A545" s="7" t="s">
        <v>437</v>
      </c>
      <c r="B545" s="25">
        <f t="shared" si="16"/>
        <v>2.2360679774997894</v>
      </c>
      <c r="C545">
        <f>SUMIFS('data (1)'!$M:$M,'data (1)'!$J:$J,"="&amp;$A545,'data (1)'!$A:$A,"="&amp;вариация!C$2)</f>
        <v>2</v>
      </c>
      <c r="D545">
        <f>SUMIFS('data (1)'!$M:$M,'data (1)'!$J:$J,"="&amp;$A545,'data (1)'!$A:$A,"="&amp;вариация!D$2)</f>
        <v>0</v>
      </c>
      <c r="E545">
        <f>SUMIFS('data (1)'!$M:$M,'data (1)'!$J:$J,"="&amp;$A545,'data (1)'!$A:$A,"="&amp;вариация!E$2)</f>
        <v>0</v>
      </c>
      <c r="F545">
        <f>SUMIFS('data (1)'!$M:$M,'data (1)'!$J:$J,"="&amp;$A545,'data (1)'!$A:$A,"="&amp;вариация!F$2)</f>
        <v>0</v>
      </c>
      <c r="G545">
        <f>SUMIFS('data (1)'!$M:$M,'data (1)'!$J:$J,"="&amp;$A545,'data (1)'!$A:$A,"="&amp;вариация!G$2)</f>
        <v>0</v>
      </c>
      <c r="H545" t="str">
        <f t="shared" si="17"/>
        <v>No</v>
      </c>
    </row>
    <row r="546" spans="1:8" x14ac:dyDescent="0.25">
      <c r="A546" s="7" t="s">
        <v>288</v>
      </c>
      <c r="B546" s="25">
        <f t="shared" si="16"/>
        <v>1.4907119849998598</v>
      </c>
      <c r="C546">
        <f>SUMIFS('data (1)'!$M:$M,'data (1)'!$J:$J,"="&amp;$A546,'data (1)'!$A:$A,"="&amp;вариация!C$2)</f>
        <v>2</v>
      </c>
      <c r="D546">
        <f>SUMIFS('data (1)'!$M:$M,'data (1)'!$J:$J,"="&amp;$A546,'data (1)'!$A:$A,"="&amp;вариация!D$2)</f>
        <v>0</v>
      </c>
      <c r="E546">
        <f>SUMIFS('data (1)'!$M:$M,'data (1)'!$J:$J,"="&amp;$A546,'data (1)'!$A:$A,"="&amp;вариация!E$2)</f>
        <v>0</v>
      </c>
      <c r="F546">
        <f>SUMIFS('data (1)'!$M:$M,'data (1)'!$J:$J,"="&amp;$A546,'data (1)'!$A:$A,"="&amp;вариация!F$2)</f>
        <v>0</v>
      </c>
      <c r="G546">
        <f>SUMIFS('data (1)'!$M:$M,'data (1)'!$J:$J,"="&amp;$A546,'data (1)'!$A:$A,"="&amp;вариация!G$2)</f>
        <v>1</v>
      </c>
      <c r="H546" t="str">
        <f t="shared" si="17"/>
        <v>No</v>
      </c>
    </row>
    <row r="547" spans="1:8" x14ac:dyDescent="0.25">
      <c r="A547" s="7" t="s">
        <v>132</v>
      </c>
      <c r="B547" s="25">
        <f t="shared" si="16"/>
        <v>2.2360679774997894</v>
      </c>
      <c r="C547">
        <f>SUMIFS('data (1)'!$M:$M,'data (1)'!$J:$J,"="&amp;$A547,'data (1)'!$A:$A,"="&amp;вариация!C$2)</f>
        <v>1</v>
      </c>
      <c r="D547">
        <f>SUMIFS('data (1)'!$M:$M,'data (1)'!$J:$J,"="&amp;$A547,'data (1)'!$A:$A,"="&amp;вариация!D$2)</f>
        <v>0</v>
      </c>
      <c r="E547">
        <f>SUMIFS('data (1)'!$M:$M,'data (1)'!$J:$J,"="&amp;$A547,'data (1)'!$A:$A,"="&amp;вариация!E$2)</f>
        <v>0</v>
      </c>
      <c r="F547">
        <f>SUMIFS('data (1)'!$M:$M,'data (1)'!$J:$J,"="&amp;$A547,'data (1)'!$A:$A,"="&amp;вариация!F$2)</f>
        <v>0</v>
      </c>
      <c r="G547">
        <f>SUMIFS('data (1)'!$M:$M,'data (1)'!$J:$J,"="&amp;$A547,'data (1)'!$A:$A,"="&amp;вариация!G$2)</f>
        <v>0</v>
      </c>
      <c r="H547" t="str">
        <f t="shared" si="17"/>
        <v>No</v>
      </c>
    </row>
    <row r="548" spans="1:8" x14ac:dyDescent="0.25">
      <c r="A548" s="7" t="s">
        <v>967</v>
      </c>
      <c r="B548" s="25">
        <f t="shared" si="16"/>
        <v>2.2360679774997894</v>
      </c>
      <c r="C548">
        <f>SUMIFS('data (1)'!$M:$M,'data (1)'!$J:$J,"="&amp;$A548,'data (1)'!$A:$A,"="&amp;вариация!C$2)</f>
        <v>0</v>
      </c>
      <c r="D548">
        <f>SUMIFS('data (1)'!$M:$M,'data (1)'!$J:$J,"="&amp;$A548,'data (1)'!$A:$A,"="&amp;вариация!D$2)</f>
        <v>0</v>
      </c>
      <c r="E548">
        <f>SUMIFS('data (1)'!$M:$M,'data (1)'!$J:$J,"="&amp;$A548,'data (1)'!$A:$A,"="&amp;вариация!E$2)</f>
        <v>0</v>
      </c>
      <c r="F548">
        <f>SUMIFS('data (1)'!$M:$M,'data (1)'!$J:$J,"="&amp;$A548,'data (1)'!$A:$A,"="&amp;вариация!F$2)</f>
        <v>2</v>
      </c>
      <c r="G548">
        <f>SUMIFS('data (1)'!$M:$M,'data (1)'!$J:$J,"="&amp;$A548,'data (1)'!$A:$A,"="&amp;вариация!G$2)</f>
        <v>0</v>
      </c>
      <c r="H548" t="str">
        <f t="shared" si="17"/>
        <v>No</v>
      </c>
    </row>
    <row r="549" spans="1:8" x14ac:dyDescent="0.25">
      <c r="A549" s="7" t="s">
        <v>899</v>
      </c>
      <c r="B549" s="25">
        <f t="shared" si="16"/>
        <v>2.2360679774997894</v>
      </c>
      <c r="C549">
        <f>SUMIFS('data (1)'!$M:$M,'data (1)'!$J:$J,"="&amp;$A549,'data (1)'!$A:$A,"="&amp;вариация!C$2)</f>
        <v>0</v>
      </c>
      <c r="D549">
        <f>SUMIFS('data (1)'!$M:$M,'data (1)'!$J:$J,"="&amp;$A549,'data (1)'!$A:$A,"="&amp;вариация!D$2)</f>
        <v>0</v>
      </c>
      <c r="E549">
        <f>SUMIFS('data (1)'!$M:$M,'data (1)'!$J:$J,"="&amp;$A549,'data (1)'!$A:$A,"="&amp;вариация!E$2)</f>
        <v>2</v>
      </c>
      <c r="F549">
        <f>SUMIFS('data (1)'!$M:$M,'data (1)'!$J:$J,"="&amp;$A549,'data (1)'!$A:$A,"="&amp;вариация!F$2)</f>
        <v>0</v>
      </c>
      <c r="G549">
        <f>SUMIFS('data (1)'!$M:$M,'data (1)'!$J:$J,"="&amp;$A549,'data (1)'!$A:$A,"="&amp;вариация!G$2)</f>
        <v>0</v>
      </c>
      <c r="H549" t="str">
        <f t="shared" si="17"/>
        <v>No</v>
      </c>
    </row>
    <row r="550" spans="1:8" x14ac:dyDescent="0.25">
      <c r="A550" s="7" t="s">
        <v>63</v>
      </c>
      <c r="B550" s="25">
        <f t="shared" si="16"/>
        <v>2.2360679774997894</v>
      </c>
      <c r="C550">
        <f>SUMIFS('data (1)'!$M:$M,'data (1)'!$J:$J,"="&amp;$A550,'data (1)'!$A:$A,"="&amp;вариация!C$2)</f>
        <v>1</v>
      </c>
      <c r="D550">
        <f>SUMIFS('data (1)'!$M:$M,'data (1)'!$J:$J,"="&amp;$A550,'data (1)'!$A:$A,"="&amp;вариация!D$2)</f>
        <v>0</v>
      </c>
      <c r="E550">
        <f>SUMIFS('data (1)'!$M:$M,'data (1)'!$J:$J,"="&amp;$A550,'data (1)'!$A:$A,"="&amp;вариация!E$2)</f>
        <v>0</v>
      </c>
      <c r="F550">
        <f>SUMIFS('data (1)'!$M:$M,'data (1)'!$J:$J,"="&amp;$A550,'data (1)'!$A:$A,"="&amp;вариация!F$2)</f>
        <v>0</v>
      </c>
      <c r="G550">
        <f>SUMIFS('data (1)'!$M:$M,'data (1)'!$J:$J,"="&amp;$A550,'data (1)'!$A:$A,"="&amp;вариация!G$2)</f>
        <v>0</v>
      </c>
      <c r="H550" t="str">
        <f t="shared" si="17"/>
        <v>No</v>
      </c>
    </row>
    <row r="551" spans="1:8" x14ac:dyDescent="0.25">
      <c r="A551" s="7" t="s">
        <v>701</v>
      </c>
      <c r="B551" s="25">
        <f t="shared" si="16"/>
        <v>2.2360679774997894</v>
      </c>
      <c r="C551">
        <f>SUMIFS('data (1)'!$M:$M,'data (1)'!$J:$J,"="&amp;$A551,'data (1)'!$A:$A,"="&amp;вариация!C$2)</f>
        <v>0</v>
      </c>
      <c r="D551">
        <f>SUMIFS('data (1)'!$M:$M,'data (1)'!$J:$J,"="&amp;$A551,'data (1)'!$A:$A,"="&amp;вариация!D$2)</f>
        <v>1</v>
      </c>
      <c r="E551">
        <f>SUMIFS('data (1)'!$M:$M,'data (1)'!$J:$J,"="&amp;$A551,'data (1)'!$A:$A,"="&amp;вариация!E$2)</f>
        <v>0</v>
      </c>
      <c r="F551">
        <f>SUMIFS('data (1)'!$M:$M,'data (1)'!$J:$J,"="&amp;$A551,'data (1)'!$A:$A,"="&amp;вариация!F$2)</f>
        <v>0</v>
      </c>
      <c r="G551">
        <f>SUMIFS('data (1)'!$M:$M,'data (1)'!$J:$J,"="&amp;$A551,'data (1)'!$A:$A,"="&amp;вариация!G$2)</f>
        <v>0</v>
      </c>
      <c r="H551" t="str">
        <f t="shared" si="17"/>
        <v>No</v>
      </c>
    </row>
    <row r="552" spans="1:8" x14ac:dyDescent="0.25">
      <c r="A552" s="7" t="s">
        <v>162</v>
      </c>
      <c r="B552" s="25">
        <f t="shared" si="16"/>
        <v>1.3693063937629151</v>
      </c>
      <c r="C552">
        <f>SUMIFS('data (1)'!$M:$M,'data (1)'!$J:$J,"="&amp;$A552,'data (1)'!$A:$A,"="&amp;вариация!C$2)</f>
        <v>1</v>
      </c>
      <c r="D552">
        <f>SUMIFS('data (1)'!$M:$M,'data (1)'!$J:$J,"="&amp;$A552,'data (1)'!$A:$A,"="&amp;вариация!D$2)</f>
        <v>0</v>
      </c>
      <c r="E552">
        <f>SUMIFS('data (1)'!$M:$M,'data (1)'!$J:$J,"="&amp;$A552,'data (1)'!$A:$A,"="&amp;вариация!E$2)</f>
        <v>1</v>
      </c>
      <c r="F552">
        <f>SUMIFS('data (1)'!$M:$M,'data (1)'!$J:$J,"="&amp;$A552,'data (1)'!$A:$A,"="&amp;вариация!F$2)</f>
        <v>0</v>
      </c>
      <c r="G552">
        <f>SUMIFS('data (1)'!$M:$M,'data (1)'!$J:$J,"="&amp;$A552,'data (1)'!$A:$A,"="&amp;вариация!G$2)</f>
        <v>0</v>
      </c>
      <c r="H552" t="str">
        <f t="shared" si="17"/>
        <v>No</v>
      </c>
    </row>
    <row r="553" spans="1:8" x14ac:dyDescent="0.25">
      <c r="A553" s="7" t="s">
        <v>583</v>
      </c>
      <c r="B553" s="25">
        <f t="shared" si="16"/>
        <v>2.2360679774997894</v>
      </c>
      <c r="C553">
        <f>SUMIFS('data (1)'!$M:$M,'data (1)'!$J:$J,"="&amp;$A553,'data (1)'!$A:$A,"="&amp;вариация!C$2)</f>
        <v>0</v>
      </c>
      <c r="D553">
        <f>SUMIFS('data (1)'!$M:$M,'data (1)'!$J:$J,"="&amp;$A553,'data (1)'!$A:$A,"="&amp;вариация!D$2)</f>
        <v>1</v>
      </c>
      <c r="E553">
        <f>SUMIFS('data (1)'!$M:$M,'data (1)'!$J:$J,"="&amp;$A553,'data (1)'!$A:$A,"="&amp;вариация!E$2)</f>
        <v>0</v>
      </c>
      <c r="F553">
        <f>SUMIFS('data (1)'!$M:$M,'data (1)'!$J:$J,"="&amp;$A553,'data (1)'!$A:$A,"="&amp;вариация!F$2)</f>
        <v>0</v>
      </c>
      <c r="G553">
        <f>SUMIFS('data (1)'!$M:$M,'data (1)'!$J:$J,"="&amp;$A553,'data (1)'!$A:$A,"="&amp;вариация!G$2)</f>
        <v>0</v>
      </c>
      <c r="H553" t="str">
        <f t="shared" si="17"/>
        <v>No</v>
      </c>
    </row>
    <row r="554" spans="1:8" x14ac:dyDescent="0.25">
      <c r="A554" s="7" t="s">
        <v>1061</v>
      </c>
      <c r="B554" s="25">
        <f t="shared" si="16"/>
        <v>2.2360679774997894</v>
      </c>
      <c r="C554">
        <f>SUMIFS('data (1)'!$M:$M,'data (1)'!$J:$J,"="&amp;$A554,'data (1)'!$A:$A,"="&amp;вариация!C$2)</f>
        <v>0</v>
      </c>
      <c r="D554">
        <f>SUMIFS('data (1)'!$M:$M,'data (1)'!$J:$J,"="&amp;$A554,'data (1)'!$A:$A,"="&amp;вариация!D$2)</f>
        <v>0</v>
      </c>
      <c r="E554">
        <f>SUMIFS('data (1)'!$M:$M,'data (1)'!$J:$J,"="&amp;$A554,'data (1)'!$A:$A,"="&amp;вариация!E$2)</f>
        <v>0</v>
      </c>
      <c r="F554">
        <f>SUMIFS('data (1)'!$M:$M,'data (1)'!$J:$J,"="&amp;$A554,'data (1)'!$A:$A,"="&amp;вариация!F$2)</f>
        <v>1</v>
      </c>
      <c r="G554">
        <f>SUMIFS('data (1)'!$M:$M,'data (1)'!$J:$J,"="&amp;$A554,'data (1)'!$A:$A,"="&amp;вариация!G$2)</f>
        <v>0</v>
      </c>
      <c r="H554" t="str">
        <f t="shared" si="17"/>
        <v>No</v>
      </c>
    </row>
    <row r="555" spans="1:8" x14ac:dyDescent="0.25">
      <c r="A555" s="7" t="s">
        <v>354</v>
      </c>
      <c r="B555" s="25">
        <f t="shared" si="16"/>
        <v>2.2360679774997894</v>
      </c>
      <c r="C555">
        <f>SUMIFS('data (1)'!$M:$M,'data (1)'!$J:$J,"="&amp;$A555,'data (1)'!$A:$A,"="&amp;вариация!C$2)</f>
        <v>1</v>
      </c>
      <c r="D555">
        <f>SUMIFS('data (1)'!$M:$M,'data (1)'!$J:$J,"="&amp;$A555,'data (1)'!$A:$A,"="&amp;вариация!D$2)</f>
        <v>0</v>
      </c>
      <c r="E555">
        <f>SUMIFS('data (1)'!$M:$M,'data (1)'!$J:$J,"="&amp;$A555,'data (1)'!$A:$A,"="&amp;вариация!E$2)</f>
        <v>0</v>
      </c>
      <c r="F555">
        <f>SUMIFS('data (1)'!$M:$M,'data (1)'!$J:$J,"="&amp;$A555,'data (1)'!$A:$A,"="&amp;вариация!F$2)</f>
        <v>0</v>
      </c>
      <c r="G555">
        <f>SUMIFS('data (1)'!$M:$M,'data (1)'!$J:$J,"="&amp;$A555,'data (1)'!$A:$A,"="&amp;вариация!G$2)</f>
        <v>0</v>
      </c>
      <c r="H555" t="str">
        <f t="shared" si="17"/>
        <v>No</v>
      </c>
    </row>
    <row r="556" spans="1:8" x14ac:dyDescent="0.25">
      <c r="A556" s="7" t="s">
        <v>1030</v>
      </c>
      <c r="B556" s="25">
        <f t="shared" si="16"/>
        <v>2.2360679774997894</v>
      </c>
      <c r="C556">
        <f>SUMIFS('data (1)'!$M:$M,'data (1)'!$J:$J,"="&amp;$A556,'data (1)'!$A:$A,"="&amp;вариация!C$2)</f>
        <v>0</v>
      </c>
      <c r="D556">
        <f>SUMIFS('data (1)'!$M:$M,'data (1)'!$J:$J,"="&amp;$A556,'data (1)'!$A:$A,"="&amp;вариация!D$2)</f>
        <v>0</v>
      </c>
      <c r="E556">
        <f>SUMIFS('data (1)'!$M:$M,'data (1)'!$J:$J,"="&amp;$A556,'data (1)'!$A:$A,"="&amp;вариация!E$2)</f>
        <v>0</v>
      </c>
      <c r="F556">
        <f>SUMIFS('data (1)'!$M:$M,'data (1)'!$J:$J,"="&amp;$A556,'data (1)'!$A:$A,"="&amp;вариация!F$2)</f>
        <v>1</v>
      </c>
      <c r="G556">
        <f>SUMIFS('data (1)'!$M:$M,'data (1)'!$J:$J,"="&amp;$A556,'data (1)'!$A:$A,"="&amp;вариация!G$2)</f>
        <v>0</v>
      </c>
      <c r="H556" t="str">
        <f t="shared" si="17"/>
        <v>No</v>
      </c>
    </row>
    <row r="557" spans="1:8" x14ac:dyDescent="0.25">
      <c r="A557" s="7" t="s">
        <v>579</v>
      </c>
      <c r="B557" s="25">
        <f t="shared" si="16"/>
        <v>2.2360679774997894</v>
      </c>
      <c r="C557">
        <f>SUMIFS('data (1)'!$M:$M,'data (1)'!$J:$J,"="&amp;$A557,'data (1)'!$A:$A,"="&amp;вариация!C$2)</f>
        <v>0</v>
      </c>
      <c r="D557">
        <f>SUMIFS('data (1)'!$M:$M,'data (1)'!$J:$J,"="&amp;$A557,'data (1)'!$A:$A,"="&amp;вариация!D$2)</f>
        <v>1</v>
      </c>
      <c r="E557">
        <f>SUMIFS('data (1)'!$M:$M,'data (1)'!$J:$J,"="&amp;$A557,'data (1)'!$A:$A,"="&amp;вариация!E$2)</f>
        <v>0</v>
      </c>
      <c r="F557">
        <f>SUMIFS('data (1)'!$M:$M,'data (1)'!$J:$J,"="&amp;$A557,'data (1)'!$A:$A,"="&amp;вариация!F$2)</f>
        <v>0</v>
      </c>
      <c r="G557">
        <f>SUMIFS('data (1)'!$M:$M,'data (1)'!$J:$J,"="&amp;$A557,'data (1)'!$A:$A,"="&amp;вариация!G$2)</f>
        <v>0</v>
      </c>
      <c r="H557" t="str">
        <f t="shared" si="17"/>
        <v>No</v>
      </c>
    </row>
    <row r="558" spans="1:8" x14ac:dyDescent="0.25">
      <c r="A558" s="7" t="s">
        <v>1000</v>
      </c>
      <c r="B558" s="25">
        <f t="shared" si="16"/>
        <v>2.2360679774997894</v>
      </c>
      <c r="C558">
        <f>SUMIFS('data (1)'!$M:$M,'data (1)'!$J:$J,"="&amp;$A558,'data (1)'!$A:$A,"="&amp;вариация!C$2)</f>
        <v>0</v>
      </c>
      <c r="D558">
        <f>SUMIFS('data (1)'!$M:$M,'data (1)'!$J:$J,"="&amp;$A558,'data (1)'!$A:$A,"="&amp;вариация!D$2)</f>
        <v>0</v>
      </c>
      <c r="E558">
        <f>SUMIFS('data (1)'!$M:$M,'data (1)'!$J:$J,"="&amp;$A558,'data (1)'!$A:$A,"="&amp;вариация!E$2)</f>
        <v>0</v>
      </c>
      <c r="F558">
        <f>SUMIFS('data (1)'!$M:$M,'data (1)'!$J:$J,"="&amp;$A558,'data (1)'!$A:$A,"="&amp;вариация!F$2)</f>
        <v>1</v>
      </c>
      <c r="G558">
        <f>SUMIFS('data (1)'!$M:$M,'data (1)'!$J:$J,"="&amp;$A558,'data (1)'!$A:$A,"="&amp;вариация!G$2)</f>
        <v>0</v>
      </c>
      <c r="H558" t="str">
        <f t="shared" si="17"/>
        <v>No</v>
      </c>
    </row>
    <row r="559" spans="1:8" x14ac:dyDescent="0.25">
      <c r="A559" s="7" t="s">
        <v>1021</v>
      </c>
      <c r="B559" s="25">
        <f t="shared" si="16"/>
        <v>2.2360679774997898</v>
      </c>
      <c r="C559">
        <f>SUMIFS('data (1)'!$M:$M,'data (1)'!$J:$J,"="&amp;$A559,'data (1)'!$A:$A,"="&amp;вариация!C$2)</f>
        <v>0</v>
      </c>
      <c r="D559">
        <f>SUMIFS('data (1)'!$M:$M,'data (1)'!$J:$J,"="&amp;$A559,'data (1)'!$A:$A,"="&amp;вариация!D$2)</f>
        <v>0</v>
      </c>
      <c r="E559">
        <f>SUMIFS('data (1)'!$M:$M,'data (1)'!$J:$J,"="&amp;$A559,'data (1)'!$A:$A,"="&amp;вариация!E$2)</f>
        <v>0</v>
      </c>
      <c r="F559">
        <f>SUMIFS('data (1)'!$M:$M,'data (1)'!$J:$J,"="&amp;$A559,'data (1)'!$A:$A,"="&amp;вариация!F$2)</f>
        <v>0.33333332999999998</v>
      </c>
      <c r="G559">
        <f>SUMIFS('data (1)'!$M:$M,'data (1)'!$J:$J,"="&amp;$A559,'data (1)'!$A:$A,"="&amp;вариация!G$2)</f>
        <v>0</v>
      </c>
      <c r="H559" t="str">
        <f t="shared" si="17"/>
        <v>No</v>
      </c>
    </row>
    <row r="560" spans="1:8" x14ac:dyDescent="0.25">
      <c r="A560" s="7" t="s">
        <v>178</v>
      </c>
      <c r="B560" s="25">
        <f t="shared" si="16"/>
        <v>2.2360679774997894</v>
      </c>
      <c r="C560">
        <f>SUMIFS('data (1)'!$M:$M,'data (1)'!$J:$J,"="&amp;$A560,'data (1)'!$A:$A,"="&amp;вариация!C$2)</f>
        <v>1</v>
      </c>
      <c r="D560">
        <f>SUMIFS('data (1)'!$M:$M,'data (1)'!$J:$J,"="&amp;$A560,'data (1)'!$A:$A,"="&amp;вариация!D$2)</f>
        <v>0</v>
      </c>
      <c r="E560">
        <f>SUMIFS('data (1)'!$M:$M,'data (1)'!$J:$J,"="&amp;$A560,'data (1)'!$A:$A,"="&amp;вариация!E$2)</f>
        <v>0</v>
      </c>
      <c r="F560">
        <f>SUMIFS('data (1)'!$M:$M,'data (1)'!$J:$J,"="&amp;$A560,'data (1)'!$A:$A,"="&amp;вариация!F$2)</f>
        <v>0</v>
      </c>
      <c r="G560">
        <f>SUMIFS('data (1)'!$M:$M,'data (1)'!$J:$J,"="&amp;$A560,'data (1)'!$A:$A,"="&amp;вариация!G$2)</f>
        <v>0</v>
      </c>
      <c r="H560" t="str">
        <f t="shared" si="17"/>
        <v>No</v>
      </c>
    </row>
    <row r="561" spans="1:8" x14ac:dyDescent="0.25">
      <c r="A561" s="7" t="s">
        <v>909</v>
      </c>
      <c r="B561" s="25">
        <f t="shared" si="16"/>
        <v>2.2360679774997894</v>
      </c>
      <c r="C561">
        <f>SUMIFS('data (1)'!$M:$M,'data (1)'!$J:$J,"="&amp;$A561,'data (1)'!$A:$A,"="&amp;вариация!C$2)</f>
        <v>0</v>
      </c>
      <c r="D561">
        <f>SUMIFS('data (1)'!$M:$M,'data (1)'!$J:$J,"="&amp;$A561,'data (1)'!$A:$A,"="&amp;вариация!D$2)</f>
        <v>0</v>
      </c>
      <c r="E561">
        <f>SUMIFS('data (1)'!$M:$M,'data (1)'!$J:$J,"="&amp;$A561,'data (1)'!$A:$A,"="&amp;вариация!E$2)</f>
        <v>1</v>
      </c>
      <c r="F561">
        <f>SUMIFS('data (1)'!$M:$M,'data (1)'!$J:$J,"="&amp;$A561,'data (1)'!$A:$A,"="&amp;вариация!F$2)</f>
        <v>0</v>
      </c>
      <c r="G561">
        <f>SUMIFS('data (1)'!$M:$M,'data (1)'!$J:$J,"="&amp;$A561,'data (1)'!$A:$A,"="&amp;вариация!G$2)</f>
        <v>0</v>
      </c>
      <c r="H561" t="str">
        <f t="shared" si="17"/>
        <v>No</v>
      </c>
    </row>
    <row r="562" spans="1:8" x14ac:dyDescent="0.25">
      <c r="A562" s="7" t="s">
        <v>615</v>
      </c>
      <c r="B562" s="25">
        <f t="shared" si="16"/>
        <v>2.2360679774997894</v>
      </c>
      <c r="C562">
        <f>SUMIFS('data (1)'!$M:$M,'data (1)'!$J:$J,"="&amp;$A562,'data (1)'!$A:$A,"="&amp;вариация!C$2)</f>
        <v>0</v>
      </c>
      <c r="D562">
        <f>SUMIFS('data (1)'!$M:$M,'data (1)'!$J:$J,"="&amp;$A562,'data (1)'!$A:$A,"="&amp;вариация!D$2)</f>
        <v>2</v>
      </c>
      <c r="E562">
        <f>SUMIFS('data (1)'!$M:$M,'data (1)'!$J:$J,"="&amp;$A562,'data (1)'!$A:$A,"="&amp;вариация!E$2)</f>
        <v>0</v>
      </c>
      <c r="F562">
        <f>SUMIFS('data (1)'!$M:$M,'data (1)'!$J:$J,"="&amp;$A562,'data (1)'!$A:$A,"="&amp;вариация!F$2)</f>
        <v>0</v>
      </c>
      <c r="G562">
        <f>SUMIFS('data (1)'!$M:$M,'data (1)'!$J:$J,"="&amp;$A562,'data (1)'!$A:$A,"="&amp;вариация!G$2)</f>
        <v>0</v>
      </c>
      <c r="H562" t="str">
        <f t="shared" si="17"/>
        <v>No</v>
      </c>
    </row>
    <row r="563" spans="1:8" x14ac:dyDescent="0.25">
      <c r="A563" s="7" t="s">
        <v>785</v>
      </c>
      <c r="B563" s="25">
        <f t="shared" si="16"/>
        <v>2.2360679774997894</v>
      </c>
      <c r="C563">
        <f>SUMIFS('data (1)'!$M:$M,'data (1)'!$J:$J,"="&amp;$A563,'data (1)'!$A:$A,"="&amp;вариация!C$2)</f>
        <v>0</v>
      </c>
      <c r="D563">
        <f>SUMIFS('data (1)'!$M:$M,'data (1)'!$J:$J,"="&amp;$A563,'data (1)'!$A:$A,"="&amp;вариация!D$2)</f>
        <v>0</v>
      </c>
      <c r="E563">
        <f>SUMIFS('data (1)'!$M:$M,'data (1)'!$J:$J,"="&amp;$A563,'data (1)'!$A:$A,"="&amp;вариация!E$2)</f>
        <v>1</v>
      </c>
      <c r="F563">
        <f>SUMIFS('data (1)'!$M:$M,'data (1)'!$J:$J,"="&amp;$A563,'data (1)'!$A:$A,"="&amp;вариация!F$2)</f>
        <v>0</v>
      </c>
      <c r="G563">
        <f>SUMIFS('data (1)'!$M:$M,'data (1)'!$J:$J,"="&amp;$A563,'data (1)'!$A:$A,"="&amp;вариация!G$2)</f>
        <v>0</v>
      </c>
      <c r="H563" t="str">
        <f t="shared" si="17"/>
        <v>No</v>
      </c>
    </row>
    <row r="564" spans="1:8" x14ac:dyDescent="0.25">
      <c r="A564" s="7" t="s">
        <v>784</v>
      </c>
      <c r="B564" s="25">
        <f t="shared" si="16"/>
        <v>2.2360679774997894</v>
      </c>
      <c r="C564">
        <f>SUMIFS('data (1)'!$M:$M,'data (1)'!$J:$J,"="&amp;$A564,'data (1)'!$A:$A,"="&amp;вариация!C$2)</f>
        <v>0</v>
      </c>
      <c r="D564">
        <f>SUMIFS('data (1)'!$M:$M,'data (1)'!$J:$J,"="&amp;$A564,'data (1)'!$A:$A,"="&amp;вариация!D$2)</f>
        <v>0</v>
      </c>
      <c r="E564">
        <f>SUMIFS('data (1)'!$M:$M,'data (1)'!$J:$J,"="&amp;$A564,'data (1)'!$A:$A,"="&amp;вариация!E$2)</f>
        <v>2</v>
      </c>
      <c r="F564">
        <f>SUMIFS('data (1)'!$M:$M,'data (1)'!$J:$J,"="&amp;$A564,'data (1)'!$A:$A,"="&amp;вариация!F$2)</f>
        <v>0</v>
      </c>
      <c r="G564">
        <f>SUMIFS('data (1)'!$M:$M,'data (1)'!$J:$J,"="&amp;$A564,'data (1)'!$A:$A,"="&amp;вариация!G$2)</f>
        <v>0</v>
      </c>
      <c r="H564" t="str">
        <f t="shared" si="17"/>
        <v>No</v>
      </c>
    </row>
    <row r="565" spans="1:8" x14ac:dyDescent="0.25">
      <c r="A565" s="7" t="s">
        <v>1141</v>
      </c>
      <c r="B565" s="25">
        <f t="shared" si="16"/>
        <v>2.2360679774997894</v>
      </c>
      <c r="C565">
        <f>SUMIFS('data (1)'!$M:$M,'data (1)'!$J:$J,"="&amp;$A565,'data (1)'!$A:$A,"="&amp;вариация!C$2)</f>
        <v>0</v>
      </c>
      <c r="D565">
        <f>SUMIFS('data (1)'!$M:$M,'data (1)'!$J:$J,"="&amp;$A565,'data (1)'!$A:$A,"="&amp;вариация!D$2)</f>
        <v>0</v>
      </c>
      <c r="E565">
        <f>SUMIFS('data (1)'!$M:$M,'data (1)'!$J:$J,"="&amp;$A565,'data (1)'!$A:$A,"="&amp;вариация!E$2)</f>
        <v>0</v>
      </c>
      <c r="F565">
        <f>SUMIFS('data (1)'!$M:$M,'data (1)'!$J:$J,"="&amp;$A565,'data (1)'!$A:$A,"="&amp;вариация!F$2)</f>
        <v>0</v>
      </c>
      <c r="G565">
        <f>SUMIFS('data (1)'!$M:$M,'data (1)'!$J:$J,"="&amp;$A565,'data (1)'!$A:$A,"="&amp;вариация!G$2)</f>
        <v>1</v>
      </c>
      <c r="H565" t="str">
        <f t="shared" si="17"/>
        <v>No</v>
      </c>
    </row>
    <row r="566" spans="1:8" x14ac:dyDescent="0.25">
      <c r="A566" s="7" t="s">
        <v>183</v>
      </c>
      <c r="B566" s="25">
        <f t="shared" si="16"/>
        <v>2.2360679774997894</v>
      </c>
      <c r="C566">
        <f>SUMIFS('data (1)'!$M:$M,'data (1)'!$J:$J,"="&amp;$A566,'data (1)'!$A:$A,"="&amp;вариация!C$2)</f>
        <v>1</v>
      </c>
      <c r="D566">
        <f>SUMIFS('data (1)'!$M:$M,'data (1)'!$J:$J,"="&amp;$A566,'data (1)'!$A:$A,"="&amp;вариация!D$2)</f>
        <v>0</v>
      </c>
      <c r="E566">
        <f>SUMIFS('data (1)'!$M:$M,'data (1)'!$J:$J,"="&amp;$A566,'data (1)'!$A:$A,"="&amp;вариация!E$2)</f>
        <v>0</v>
      </c>
      <c r="F566">
        <f>SUMIFS('data (1)'!$M:$M,'data (1)'!$J:$J,"="&amp;$A566,'data (1)'!$A:$A,"="&amp;вариация!F$2)</f>
        <v>0</v>
      </c>
      <c r="G566">
        <f>SUMIFS('data (1)'!$M:$M,'data (1)'!$J:$J,"="&amp;$A566,'data (1)'!$A:$A,"="&amp;вариация!G$2)</f>
        <v>0</v>
      </c>
      <c r="H566" t="str">
        <f t="shared" si="17"/>
        <v>No</v>
      </c>
    </row>
    <row r="567" spans="1:8" x14ac:dyDescent="0.25">
      <c r="A567" s="7" t="s">
        <v>1024</v>
      </c>
      <c r="B567" s="25">
        <f t="shared" si="16"/>
        <v>2.2360679774997894</v>
      </c>
      <c r="C567">
        <f>SUMIFS('data (1)'!$M:$M,'data (1)'!$J:$J,"="&amp;$A567,'data (1)'!$A:$A,"="&amp;вариация!C$2)</f>
        <v>0</v>
      </c>
      <c r="D567">
        <f>SUMIFS('data (1)'!$M:$M,'data (1)'!$J:$J,"="&amp;$A567,'data (1)'!$A:$A,"="&amp;вариация!D$2)</f>
        <v>0</v>
      </c>
      <c r="E567">
        <f>SUMIFS('data (1)'!$M:$M,'data (1)'!$J:$J,"="&amp;$A567,'data (1)'!$A:$A,"="&amp;вариация!E$2)</f>
        <v>0</v>
      </c>
      <c r="F567">
        <f>SUMIFS('data (1)'!$M:$M,'data (1)'!$J:$J,"="&amp;$A567,'data (1)'!$A:$A,"="&amp;вариация!F$2)</f>
        <v>1</v>
      </c>
      <c r="G567">
        <f>SUMIFS('data (1)'!$M:$M,'data (1)'!$J:$J,"="&amp;$A567,'data (1)'!$A:$A,"="&amp;вариация!G$2)</f>
        <v>0</v>
      </c>
      <c r="H567" t="str">
        <f t="shared" si="17"/>
        <v>No</v>
      </c>
    </row>
    <row r="568" spans="1:8" x14ac:dyDescent="0.25">
      <c r="A568" s="7" t="s">
        <v>126</v>
      </c>
      <c r="B568" s="25">
        <f t="shared" si="16"/>
        <v>2.2360679774997894</v>
      </c>
      <c r="C568">
        <f>SUMIFS('data (1)'!$M:$M,'data (1)'!$J:$J,"="&amp;$A568,'data (1)'!$A:$A,"="&amp;вариация!C$2)</f>
        <v>1</v>
      </c>
      <c r="D568">
        <f>SUMIFS('data (1)'!$M:$M,'data (1)'!$J:$J,"="&amp;$A568,'data (1)'!$A:$A,"="&amp;вариация!D$2)</f>
        <v>0</v>
      </c>
      <c r="E568">
        <f>SUMIFS('data (1)'!$M:$M,'data (1)'!$J:$J,"="&amp;$A568,'data (1)'!$A:$A,"="&amp;вариация!E$2)</f>
        <v>0</v>
      </c>
      <c r="F568">
        <f>SUMIFS('data (1)'!$M:$M,'data (1)'!$J:$J,"="&amp;$A568,'data (1)'!$A:$A,"="&amp;вариация!F$2)</f>
        <v>0</v>
      </c>
      <c r="G568">
        <f>SUMIFS('data (1)'!$M:$M,'data (1)'!$J:$J,"="&amp;$A568,'data (1)'!$A:$A,"="&amp;вариация!G$2)</f>
        <v>0</v>
      </c>
      <c r="H568" t="str">
        <f t="shared" si="17"/>
        <v>No</v>
      </c>
    </row>
    <row r="569" spans="1:8" x14ac:dyDescent="0.25">
      <c r="A569" s="7" t="s">
        <v>510</v>
      </c>
      <c r="B569" s="25">
        <f t="shared" si="16"/>
        <v>2.2360679774997894</v>
      </c>
      <c r="C569">
        <f>SUMIFS('data (1)'!$M:$M,'data (1)'!$J:$J,"="&amp;$A569,'data (1)'!$A:$A,"="&amp;вариация!C$2)</f>
        <v>0</v>
      </c>
      <c r="D569">
        <f>SUMIFS('data (1)'!$M:$M,'data (1)'!$J:$J,"="&amp;$A569,'data (1)'!$A:$A,"="&amp;вариация!D$2)</f>
        <v>1</v>
      </c>
      <c r="E569">
        <f>SUMIFS('data (1)'!$M:$M,'data (1)'!$J:$J,"="&amp;$A569,'data (1)'!$A:$A,"="&amp;вариация!E$2)</f>
        <v>0</v>
      </c>
      <c r="F569">
        <f>SUMIFS('data (1)'!$M:$M,'data (1)'!$J:$J,"="&amp;$A569,'data (1)'!$A:$A,"="&amp;вариация!F$2)</f>
        <v>0</v>
      </c>
      <c r="G569">
        <f>SUMIFS('data (1)'!$M:$M,'data (1)'!$J:$J,"="&amp;$A569,'data (1)'!$A:$A,"="&amp;вариация!G$2)</f>
        <v>0</v>
      </c>
      <c r="H569" t="str">
        <f t="shared" si="17"/>
        <v>No</v>
      </c>
    </row>
    <row r="570" spans="1:8" x14ac:dyDescent="0.25">
      <c r="A570" s="7" t="s">
        <v>602</v>
      </c>
      <c r="B570" s="25">
        <f t="shared" si="16"/>
        <v>2.2360679774997894</v>
      </c>
      <c r="C570">
        <f>SUMIFS('data (1)'!$M:$M,'data (1)'!$J:$J,"="&amp;$A570,'data (1)'!$A:$A,"="&amp;вариация!C$2)</f>
        <v>0</v>
      </c>
      <c r="D570">
        <f>SUMIFS('data (1)'!$M:$M,'data (1)'!$J:$J,"="&amp;$A570,'data (1)'!$A:$A,"="&amp;вариация!D$2)</f>
        <v>1</v>
      </c>
      <c r="E570">
        <f>SUMIFS('data (1)'!$M:$M,'data (1)'!$J:$J,"="&amp;$A570,'data (1)'!$A:$A,"="&amp;вариация!E$2)</f>
        <v>0</v>
      </c>
      <c r="F570">
        <f>SUMIFS('data (1)'!$M:$M,'data (1)'!$J:$J,"="&amp;$A570,'data (1)'!$A:$A,"="&amp;вариация!F$2)</f>
        <v>0</v>
      </c>
      <c r="G570">
        <f>SUMIFS('data (1)'!$M:$M,'data (1)'!$J:$J,"="&amp;$A570,'data (1)'!$A:$A,"="&amp;вариация!G$2)</f>
        <v>0</v>
      </c>
      <c r="H570" t="str">
        <f t="shared" si="17"/>
        <v>No</v>
      </c>
    </row>
    <row r="571" spans="1:8" x14ac:dyDescent="0.25">
      <c r="A571" s="7" t="s">
        <v>898</v>
      </c>
      <c r="B571" s="25">
        <f t="shared" si="16"/>
        <v>2.2360679774997894</v>
      </c>
      <c r="C571">
        <f>SUMIFS('data (1)'!$M:$M,'data (1)'!$J:$J,"="&amp;$A571,'data (1)'!$A:$A,"="&amp;вариация!C$2)</f>
        <v>0</v>
      </c>
      <c r="D571">
        <f>SUMIFS('data (1)'!$M:$M,'data (1)'!$J:$J,"="&amp;$A571,'data (1)'!$A:$A,"="&amp;вариация!D$2)</f>
        <v>0</v>
      </c>
      <c r="E571">
        <f>SUMIFS('data (1)'!$M:$M,'data (1)'!$J:$J,"="&amp;$A571,'data (1)'!$A:$A,"="&amp;вариация!E$2)</f>
        <v>1</v>
      </c>
      <c r="F571">
        <f>SUMIFS('data (1)'!$M:$M,'data (1)'!$J:$J,"="&amp;$A571,'data (1)'!$A:$A,"="&amp;вариация!F$2)</f>
        <v>0</v>
      </c>
      <c r="G571">
        <f>SUMIFS('data (1)'!$M:$M,'data (1)'!$J:$J,"="&amp;$A571,'data (1)'!$A:$A,"="&amp;вариация!G$2)</f>
        <v>0</v>
      </c>
      <c r="H571" t="str">
        <f t="shared" si="17"/>
        <v>No</v>
      </c>
    </row>
    <row r="572" spans="1:8" x14ac:dyDescent="0.25">
      <c r="A572" s="7" t="s">
        <v>467</v>
      </c>
      <c r="B572" s="25">
        <f t="shared" si="16"/>
        <v>2.2360679774997894</v>
      </c>
      <c r="C572">
        <f>SUMIFS('data (1)'!$M:$M,'data (1)'!$J:$J,"="&amp;$A572,'data (1)'!$A:$A,"="&amp;вариация!C$2)</f>
        <v>1</v>
      </c>
      <c r="D572">
        <f>SUMIFS('data (1)'!$M:$M,'data (1)'!$J:$J,"="&amp;$A572,'data (1)'!$A:$A,"="&amp;вариация!D$2)</f>
        <v>0</v>
      </c>
      <c r="E572">
        <f>SUMIFS('data (1)'!$M:$M,'data (1)'!$J:$J,"="&amp;$A572,'data (1)'!$A:$A,"="&amp;вариация!E$2)</f>
        <v>0</v>
      </c>
      <c r="F572">
        <f>SUMIFS('data (1)'!$M:$M,'data (1)'!$J:$J,"="&amp;$A572,'data (1)'!$A:$A,"="&amp;вариация!F$2)</f>
        <v>0</v>
      </c>
      <c r="G572">
        <f>SUMIFS('data (1)'!$M:$M,'data (1)'!$J:$J,"="&amp;$A572,'data (1)'!$A:$A,"="&amp;вариация!G$2)</f>
        <v>0</v>
      </c>
      <c r="H572" t="str">
        <f t="shared" si="17"/>
        <v>No</v>
      </c>
    </row>
    <row r="573" spans="1:8" x14ac:dyDescent="0.25">
      <c r="A573" s="7" t="s">
        <v>605</v>
      </c>
      <c r="B573" s="25">
        <f t="shared" si="16"/>
        <v>1.3693063937629151</v>
      </c>
      <c r="C573">
        <f>SUMIFS('data (1)'!$M:$M,'data (1)'!$J:$J,"="&amp;$A573,'data (1)'!$A:$A,"="&amp;вариация!C$2)</f>
        <v>0</v>
      </c>
      <c r="D573">
        <f>SUMIFS('data (1)'!$M:$M,'data (1)'!$J:$J,"="&amp;$A573,'data (1)'!$A:$A,"="&amp;вариация!D$2)</f>
        <v>0.25</v>
      </c>
      <c r="E573">
        <f>SUMIFS('data (1)'!$M:$M,'data (1)'!$J:$J,"="&amp;$A573,'data (1)'!$A:$A,"="&amp;вариация!E$2)</f>
        <v>0.25</v>
      </c>
      <c r="F573">
        <f>SUMIFS('data (1)'!$M:$M,'data (1)'!$J:$J,"="&amp;$A573,'data (1)'!$A:$A,"="&amp;вариация!F$2)</f>
        <v>0</v>
      </c>
      <c r="G573">
        <f>SUMIFS('data (1)'!$M:$M,'data (1)'!$J:$J,"="&amp;$A573,'data (1)'!$A:$A,"="&amp;вариация!G$2)</f>
        <v>0</v>
      </c>
      <c r="H573" t="str">
        <f t="shared" si="17"/>
        <v>No</v>
      </c>
    </row>
    <row r="574" spans="1:8" x14ac:dyDescent="0.25">
      <c r="A574" s="7" t="s">
        <v>250</v>
      </c>
      <c r="B574" s="25">
        <f t="shared" si="16"/>
        <v>0.63887656499993983</v>
      </c>
      <c r="C574">
        <f>SUMIFS('data (1)'!$M:$M,'data (1)'!$J:$J,"="&amp;$A574,'data (1)'!$A:$A,"="&amp;вариация!C$2)</f>
        <v>2</v>
      </c>
      <c r="D574">
        <f>SUMIFS('data (1)'!$M:$M,'data (1)'!$J:$J,"="&amp;$A574,'data (1)'!$A:$A,"="&amp;вариация!D$2)</f>
        <v>0</v>
      </c>
      <c r="E574">
        <f>SUMIFS('data (1)'!$M:$M,'data (1)'!$J:$J,"="&amp;$A574,'data (1)'!$A:$A,"="&amp;вариация!E$2)</f>
        <v>1</v>
      </c>
      <c r="F574">
        <f>SUMIFS('data (1)'!$M:$M,'data (1)'!$J:$J,"="&amp;$A574,'data (1)'!$A:$A,"="&amp;вариация!F$2)</f>
        <v>2</v>
      </c>
      <c r="G574">
        <f>SUMIFS('data (1)'!$M:$M,'data (1)'!$J:$J,"="&amp;$A574,'data (1)'!$A:$A,"="&amp;вариация!G$2)</f>
        <v>2</v>
      </c>
      <c r="H574" t="str">
        <f t="shared" si="17"/>
        <v>Yes</v>
      </c>
    </row>
    <row r="575" spans="1:8" x14ac:dyDescent="0.25">
      <c r="A575" s="7" t="s">
        <v>828</v>
      </c>
      <c r="B575" s="25">
        <f t="shared" si="16"/>
        <v>1.0865337342004415</v>
      </c>
      <c r="C575">
        <f>SUMIFS('data (1)'!$M:$M,'data (1)'!$J:$J,"="&amp;$A575,'data (1)'!$A:$A,"="&amp;вариация!C$2)</f>
        <v>0</v>
      </c>
      <c r="D575">
        <f>SUMIFS('data (1)'!$M:$M,'data (1)'!$J:$J,"="&amp;$A575,'data (1)'!$A:$A,"="&amp;вариация!D$2)</f>
        <v>0</v>
      </c>
      <c r="E575">
        <f>SUMIFS('data (1)'!$M:$M,'data (1)'!$J:$J,"="&amp;$A575,'data (1)'!$A:$A,"="&amp;вариация!E$2)</f>
        <v>2</v>
      </c>
      <c r="F575">
        <f>SUMIFS('data (1)'!$M:$M,'data (1)'!$J:$J,"="&amp;$A575,'data (1)'!$A:$A,"="&amp;вариация!F$2)</f>
        <v>3</v>
      </c>
      <c r="G575">
        <f>SUMIFS('data (1)'!$M:$M,'data (1)'!$J:$J,"="&amp;$A575,'data (1)'!$A:$A,"="&amp;вариация!G$2)</f>
        <v>1</v>
      </c>
      <c r="H575" t="str">
        <f t="shared" si="17"/>
        <v>Yes</v>
      </c>
    </row>
    <row r="576" spans="1:8" x14ac:dyDescent="0.25">
      <c r="A576" s="7" t="s">
        <v>901</v>
      </c>
      <c r="B576" s="25">
        <f t="shared" si="16"/>
        <v>2.2360679774997894</v>
      </c>
      <c r="C576">
        <f>SUMIFS('data (1)'!$M:$M,'data (1)'!$J:$J,"="&amp;$A576,'data (1)'!$A:$A,"="&amp;вариация!C$2)</f>
        <v>0</v>
      </c>
      <c r="D576">
        <f>SUMIFS('data (1)'!$M:$M,'data (1)'!$J:$J,"="&amp;$A576,'data (1)'!$A:$A,"="&amp;вариация!D$2)</f>
        <v>0</v>
      </c>
      <c r="E576">
        <f>SUMIFS('data (1)'!$M:$M,'data (1)'!$J:$J,"="&amp;$A576,'data (1)'!$A:$A,"="&amp;вариация!E$2)</f>
        <v>1</v>
      </c>
      <c r="F576">
        <f>SUMIFS('data (1)'!$M:$M,'data (1)'!$J:$J,"="&amp;$A576,'data (1)'!$A:$A,"="&amp;вариация!F$2)</f>
        <v>0</v>
      </c>
      <c r="G576">
        <f>SUMIFS('data (1)'!$M:$M,'data (1)'!$J:$J,"="&amp;$A576,'data (1)'!$A:$A,"="&amp;вариация!G$2)</f>
        <v>0</v>
      </c>
      <c r="H576" t="str">
        <f t="shared" si="17"/>
        <v>No</v>
      </c>
    </row>
    <row r="577" spans="1:8" x14ac:dyDescent="0.25">
      <c r="A577" s="7" t="s">
        <v>152</v>
      </c>
      <c r="B577" s="25">
        <f t="shared" si="16"/>
        <v>2.2360679774997894</v>
      </c>
      <c r="C577">
        <f>SUMIFS('data (1)'!$M:$M,'data (1)'!$J:$J,"="&amp;$A577,'data (1)'!$A:$A,"="&amp;вариация!C$2)</f>
        <v>1</v>
      </c>
      <c r="D577">
        <f>SUMIFS('data (1)'!$M:$M,'data (1)'!$J:$J,"="&amp;$A577,'data (1)'!$A:$A,"="&amp;вариация!D$2)</f>
        <v>0</v>
      </c>
      <c r="E577">
        <f>SUMIFS('data (1)'!$M:$M,'data (1)'!$J:$J,"="&amp;$A577,'data (1)'!$A:$A,"="&amp;вариация!E$2)</f>
        <v>0</v>
      </c>
      <c r="F577">
        <f>SUMIFS('data (1)'!$M:$M,'data (1)'!$J:$J,"="&amp;$A577,'data (1)'!$A:$A,"="&amp;вариация!F$2)</f>
        <v>0</v>
      </c>
      <c r="G577">
        <f>SUMIFS('data (1)'!$M:$M,'data (1)'!$J:$J,"="&amp;$A577,'data (1)'!$A:$A,"="&amp;вариация!G$2)</f>
        <v>0</v>
      </c>
      <c r="H577" t="str">
        <f t="shared" si="17"/>
        <v>No</v>
      </c>
    </row>
    <row r="578" spans="1:8" x14ac:dyDescent="0.25">
      <c r="A578" s="7" t="s">
        <v>514</v>
      </c>
      <c r="B578" s="25">
        <f t="shared" si="16"/>
        <v>2.2360679774997894</v>
      </c>
      <c r="C578">
        <f>SUMIFS('data (1)'!$M:$M,'data (1)'!$J:$J,"="&amp;$A578,'data (1)'!$A:$A,"="&amp;вариация!C$2)</f>
        <v>0</v>
      </c>
      <c r="D578">
        <f>SUMIFS('data (1)'!$M:$M,'data (1)'!$J:$J,"="&amp;$A578,'data (1)'!$A:$A,"="&amp;вариация!D$2)</f>
        <v>1</v>
      </c>
      <c r="E578">
        <f>SUMIFS('data (1)'!$M:$M,'data (1)'!$J:$J,"="&amp;$A578,'data (1)'!$A:$A,"="&amp;вариация!E$2)</f>
        <v>0</v>
      </c>
      <c r="F578">
        <f>SUMIFS('data (1)'!$M:$M,'data (1)'!$J:$J,"="&amp;$A578,'data (1)'!$A:$A,"="&amp;вариация!F$2)</f>
        <v>0</v>
      </c>
      <c r="G578">
        <f>SUMIFS('data (1)'!$M:$M,'data (1)'!$J:$J,"="&amp;$A578,'data (1)'!$A:$A,"="&amp;вариация!G$2)</f>
        <v>0</v>
      </c>
      <c r="H578" t="str">
        <f t="shared" si="17"/>
        <v>No</v>
      </c>
    </row>
    <row r="579" spans="1:8" x14ac:dyDescent="0.25">
      <c r="A579" s="7" t="s">
        <v>1143</v>
      </c>
      <c r="B579" s="25">
        <f t="shared" si="16"/>
        <v>2.2360679774997894</v>
      </c>
      <c r="C579">
        <f>SUMIFS('data (1)'!$M:$M,'data (1)'!$J:$J,"="&amp;$A579,'data (1)'!$A:$A,"="&amp;вариация!C$2)</f>
        <v>0</v>
      </c>
      <c r="D579">
        <f>SUMIFS('data (1)'!$M:$M,'data (1)'!$J:$J,"="&amp;$A579,'data (1)'!$A:$A,"="&amp;вариация!D$2)</f>
        <v>0</v>
      </c>
      <c r="E579">
        <f>SUMIFS('data (1)'!$M:$M,'data (1)'!$J:$J,"="&amp;$A579,'data (1)'!$A:$A,"="&amp;вариация!E$2)</f>
        <v>0</v>
      </c>
      <c r="F579">
        <f>SUMIFS('data (1)'!$M:$M,'data (1)'!$J:$J,"="&amp;$A579,'data (1)'!$A:$A,"="&amp;вариация!F$2)</f>
        <v>0</v>
      </c>
      <c r="G579">
        <f>SUMIFS('data (1)'!$M:$M,'data (1)'!$J:$J,"="&amp;$A579,'data (1)'!$A:$A,"="&amp;вариация!G$2)</f>
        <v>13</v>
      </c>
      <c r="H579" t="str">
        <f t="shared" si="17"/>
        <v>No</v>
      </c>
    </row>
    <row r="580" spans="1:8" x14ac:dyDescent="0.25">
      <c r="A580" s="7" t="s">
        <v>1101</v>
      </c>
      <c r="B580" s="25">
        <f t="shared" ref="B580:B643" si="18">_xlfn.STDEV.S(C580:G580)/AVERAGE(C580:G580)</f>
        <v>2.2360679774997894</v>
      </c>
      <c r="C580">
        <f>SUMIFS('data (1)'!$M:$M,'data (1)'!$J:$J,"="&amp;$A580,'data (1)'!$A:$A,"="&amp;вариация!C$2)</f>
        <v>0</v>
      </c>
      <c r="D580">
        <f>SUMIFS('data (1)'!$M:$M,'data (1)'!$J:$J,"="&amp;$A580,'data (1)'!$A:$A,"="&amp;вариация!D$2)</f>
        <v>0</v>
      </c>
      <c r="E580">
        <f>SUMIFS('data (1)'!$M:$M,'data (1)'!$J:$J,"="&amp;$A580,'data (1)'!$A:$A,"="&amp;вариация!E$2)</f>
        <v>0</v>
      </c>
      <c r="F580">
        <f>SUMIFS('data (1)'!$M:$M,'data (1)'!$J:$J,"="&amp;$A580,'data (1)'!$A:$A,"="&amp;вариация!F$2)</f>
        <v>0</v>
      </c>
      <c r="G580">
        <f>SUMIFS('data (1)'!$M:$M,'data (1)'!$J:$J,"="&amp;$A580,'data (1)'!$A:$A,"="&amp;вариация!G$2)</f>
        <v>2</v>
      </c>
      <c r="H580" t="str">
        <f t="shared" ref="H580:H643" si="19">IF(COUNTIF(C580:G580,"&gt;0") &gt;=3, "Yes", "No")</f>
        <v>No</v>
      </c>
    </row>
    <row r="581" spans="1:8" x14ac:dyDescent="0.25">
      <c r="A581" s="7" t="s">
        <v>164</v>
      </c>
      <c r="B581" s="25">
        <f t="shared" si="18"/>
        <v>2.2360679774997894</v>
      </c>
      <c r="C581">
        <f>SUMIFS('data (1)'!$M:$M,'data (1)'!$J:$J,"="&amp;$A581,'data (1)'!$A:$A,"="&amp;вариация!C$2)</f>
        <v>1</v>
      </c>
      <c r="D581">
        <f>SUMIFS('data (1)'!$M:$M,'data (1)'!$J:$J,"="&amp;$A581,'data (1)'!$A:$A,"="&amp;вариация!D$2)</f>
        <v>0</v>
      </c>
      <c r="E581">
        <f>SUMIFS('data (1)'!$M:$M,'data (1)'!$J:$J,"="&amp;$A581,'data (1)'!$A:$A,"="&amp;вариация!E$2)</f>
        <v>0</v>
      </c>
      <c r="F581">
        <f>SUMIFS('data (1)'!$M:$M,'data (1)'!$J:$J,"="&amp;$A581,'data (1)'!$A:$A,"="&amp;вариация!F$2)</f>
        <v>0</v>
      </c>
      <c r="G581">
        <f>SUMIFS('data (1)'!$M:$M,'data (1)'!$J:$J,"="&amp;$A581,'data (1)'!$A:$A,"="&amp;вариация!G$2)</f>
        <v>0</v>
      </c>
      <c r="H581" t="str">
        <f t="shared" si="19"/>
        <v>No</v>
      </c>
    </row>
    <row r="582" spans="1:8" x14ac:dyDescent="0.25">
      <c r="A582" s="7" t="s">
        <v>879</v>
      </c>
      <c r="B582" s="25">
        <f t="shared" si="18"/>
        <v>2.2360679774997898</v>
      </c>
      <c r="C582">
        <f>SUMIFS('data (1)'!$M:$M,'data (1)'!$J:$J,"="&amp;$A582,'data (1)'!$A:$A,"="&amp;вариация!C$2)</f>
        <v>0</v>
      </c>
      <c r="D582">
        <f>SUMIFS('data (1)'!$M:$M,'data (1)'!$J:$J,"="&amp;$A582,'data (1)'!$A:$A,"="&amp;вариация!D$2)</f>
        <v>0</v>
      </c>
      <c r="E582">
        <f>SUMIFS('data (1)'!$M:$M,'data (1)'!$J:$J,"="&amp;$A582,'data (1)'!$A:$A,"="&amp;вариация!E$2)</f>
        <v>0.1</v>
      </c>
      <c r="F582">
        <f>SUMIFS('data (1)'!$M:$M,'data (1)'!$J:$J,"="&amp;$A582,'data (1)'!$A:$A,"="&amp;вариация!F$2)</f>
        <v>0</v>
      </c>
      <c r="G582">
        <f>SUMIFS('data (1)'!$M:$M,'data (1)'!$J:$J,"="&amp;$A582,'data (1)'!$A:$A,"="&amp;вариация!G$2)</f>
        <v>0</v>
      </c>
      <c r="H582" t="str">
        <f t="shared" si="19"/>
        <v>No</v>
      </c>
    </row>
    <row r="583" spans="1:8" x14ac:dyDescent="0.25">
      <c r="A583" s="7" t="s">
        <v>1085</v>
      </c>
      <c r="B583" s="25">
        <f t="shared" si="18"/>
        <v>2.2360679774997898</v>
      </c>
      <c r="C583">
        <f>SUMIFS('data (1)'!$M:$M,'data (1)'!$J:$J,"="&amp;$A583,'data (1)'!$A:$A,"="&amp;вариация!C$2)</f>
        <v>0</v>
      </c>
      <c r="D583">
        <f>SUMIFS('data (1)'!$M:$M,'data (1)'!$J:$J,"="&amp;$A583,'data (1)'!$A:$A,"="&amp;вариация!D$2)</f>
        <v>0</v>
      </c>
      <c r="E583">
        <f>SUMIFS('data (1)'!$M:$M,'data (1)'!$J:$J,"="&amp;$A583,'data (1)'!$A:$A,"="&amp;вариация!E$2)</f>
        <v>0</v>
      </c>
      <c r="F583">
        <f>SUMIFS('data (1)'!$M:$M,'data (1)'!$J:$J,"="&amp;$A583,'data (1)'!$A:$A,"="&amp;вариация!F$2)</f>
        <v>0</v>
      </c>
      <c r="G583">
        <f>SUMIFS('data (1)'!$M:$M,'data (1)'!$J:$J,"="&amp;$A583,'data (1)'!$A:$A,"="&amp;вариация!G$2)</f>
        <v>0.33333332999999998</v>
      </c>
      <c r="H583" t="str">
        <f t="shared" si="19"/>
        <v>No</v>
      </c>
    </row>
    <row r="584" spans="1:8" x14ac:dyDescent="0.25">
      <c r="A584" s="7" t="s">
        <v>892</v>
      </c>
      <c r="B584" s="25">
        <f t="shared" si="18"/>
        <v>2.2360679774997894</v>
      </c>
      <c r="C584">
        <f>SUMIFS('data (1)'!$M:$M,'data (1)'!$J:$J,"="&amp;$A584,'data (1)'!$A:$A,"="&amp;вариация!C$2)</f>
        <v>0</v>
      </c>
      <c r="D584">
        <f>SUMIFS('data (1)'!$M:$M,'data (1)'!$J:$J,"="&amp;$A584,'data (1)'!$A:$A,"="&amp;вариация!D$2)</f>
        <v>0</v>
      </c>
      <c r="E584">
        <f>SUMIFS('data (1)'!$M:$M,'data (1)'!$J:$J,"="&amp;$A584,'data (1)'!$A:$A,"="&amp;вариация!E$2)</f>
        <v>1</v>
      </c>
      <c r="F584">
        <f>SUMIFS('data (1)'!$M:$M,'data (1)'!$J:$J,"="&amp;$A584,'data (1)'!$A:$A,"="&amp;вариация!F$2)</f>
        <v>0</v>
      </c>
      <c r="G584">
        <f>SUMIFS('data (1)'!$M:$M,'data (1)'!$J:$J,"="&amp;$A584,'data (1)'!$A:$A,"="&amp;вариация!G$2)</f>
        <v>0</v>
      </c>
      <c r="H584" t="str">
        <f t="shared" si="19"/>
        <v>No</v>
      </c>
    </row>
    <row r="585" spans="1:8" x14ac:dyDescent="0.25">
      <c r="A585" s="7" t="s">
        <v>1175</v>
      </c>
      <c r="B585" s="25">
        <f t="shared" si="18"/>
        <v>2.2360679774997894</v>
      </c>
      <c r="C585">
        <f>SUMIFS('data (1)'!$M:$M,'data (1)'!$J:$J,"="&amp;$A585,'data (1)'!$A:$A,"="&amp;вариация!C$2)</f>
        <v>0</v>
      </c>
      <c r="D585">
        <f>SUMIFS('data (1)'!$M:$M,'data (1)'!$J:$J,"="&amp;$A585,'data (1)'!$A:$A,"="&amp;вариация!D$2)</f>
        <v>0</v>
      </c>
      <c r="E585">
        <f>SUMIFS('data (1)'!$M:$M,'data (1)'!$J:$J,"="&amp;$A585,'data (1)'!$A:$A,"="&amp;вариация!E$2)</f>
        <v>0</v>
      </c>
      <c r="F585">
        <f>SUMIFS('data (1)'!$M:$M,'data (1)'!$J:$J,"="&amp;$A585,'data (1)'!$A:$A,"="&amp;вариация!F$2)</f>
        <v>0</v>
      </c>
      <c r="G585">
        <f>SUMIFS('data (1)'!$M:$M,'data (1)'!$J:$J,"="&amp;$A585,'data (1)'!$A:$A,"="&amp;вариация!G$2)</f>
        <v>2</v>
      </c>
      <c r="H585" t="str">
        <f t="shared" si="19"/>
        <v>No</v>
      </c>
    </row>
    <row r="586" spans="1:8" x14ac:dyDescent="0.25">
      <c r="A586" s="7" t="s">
        <v>412</v>
      </c>
      <c r="B586" s="25">
        <f t="shared" si="18"/>
        <v>2.2360679774997894</v>
      </c>
      <c r="C586">
        <f>SUMIFS('data (1)'!$M:$M,'data (1)'!$J:$J,"="&amp;$A586,'data (1)'!$A:$A,"="&amp;вариация!C$2)</f>
        <v>1</v>
      </c>
      <c r="D586">
        <f>SUMIFS('data (1)'!$M:$M,'data (1)'!$J:$J,"="&amp;$A586,'data (1)'!$A:$A,"="&amp;вариация!D$2)</f>
        <v>0</v>
      </c>
      <c r="E586">
        <f>SUMIFS('data (1)'!$M:$M,'data (1)'!$J:$J,"="&amp;$A586,'data (1)'!$A:$A,"="&amp;вариация!E$2)</f>
        <v>0</v>
      </c>
      <c r="F586">
        <f>SUMIFS('data (1)'!$M:$M,'data (1)'!$J:$J,"="&amp;$A586,'data (1)'!$A:$A,"="&amp;вариация!F$2)</f>
        <v>0</v>
      </c>
      <c r="G586">
        <f>SUMIFS('data (1)'!$M:$M,'data (1)'!$J:$J,"="&amp;$A586,'data (1)'!$A:$A,"="&amp;вариация!G$2)</f>
        <v>0</v>
      </c>
      <c r="H586" t="str">
        <f t="shared" si="19"/>
        <v>No</v>
      </c>
    </row>
    <row r="587" spans="1:8" x14ac:dyDescent="0.25">
      <c r="A587" s="7" t="s">
        <v>1132</v>
      </c>
      <c r="B587" s="25">
        <f t="shared" si="18"/>
        <v>2.2360679774997894</v>
      </c>
      <c r="C587">
        <f>SUMIFS('data (1)'!$M:$M,'data (1)'!$J:$J,"="&amp;$A587,'data (1)'!$A:$A,"="&amp;вариация!C$2)</f>
        <v>0</v>
      </c>
      <c r="D587">
        <f>SUMIFS('data (1)'!$M:$M,'data (1)'!$J:$J,"="&amp;$A587,'data (1)'!$A:$A,"="&amp;вариация!D$2)</f>
        <v>0</v>
      </c>
      <c r="E587">
        <f>SUMIFS('data (1)'!$M:$M,'data (1)'!$J:$J,"="&amp;$A587,'data (1)'!$A:$A,"="&amp;вариация!E$2)</f>
        <v>0</v>
      </c>
      <c r="F587">
        <f>SUMIFS('data (1)'!$M:$M,'data (1)'!$J:$J,"="&amp;$A587,'data (1)'!$A:$A,"="&amp;вариация!F$2)</f>
        <v>0</v>
      </c>
      <c r="G587">
        <f>SUMIFS('data (1)'!$M:$M,'data (1)'!$J:$J,"="&amp;$A587,'data (1)'!$A:$A,"="&amp;вариация!G$2)</f>
        <v>1</v>
      </c>
      <c r="H587" t="str">
        <f t="shared" si="19"/>
        <v>No</v>
      </c>
    </row>
    <row r="588" spans="1:8" x14ac:dyDescent="0.25">
      <c r="A588" s="7" t="s">
        <v>630</v>
      </c>
      <c r="B588" s="25">
        <f t="shared" si="18"/>
        <v>2.2360679774997894</v>
      </c>
      <c r="C588">
        <f>SUMIFS('data (1)'!$M:$M,'data (1)'!$J:$J,"="&amp;$A588,'data (1)'!$A:$A,"="&amp;вариация!C$2)</f>
        <v>0</v>
      </c>
      <c r="D588">
        <f>SUMIFS('data (1)'!$M:$M,'data (1)'!$J:$J,"="&amp;$A588,'data (1)'!$A:$A,"="&amp;вариация!D$2)</f>
        <v>1</v>
      </c>
      <c r="E588">
        <f>SUMIFS('data (1)'!$M:$M,'data (1)'!$J:$J,"="&amp;$A588,'data (1)'!$A:$A,"="&amp;вариация!E$2)</f>
        <v>0</v>
      </c>
      <c r="F588">
        <f>SUMIFS('data (1)'!$M:$M,'data (1)'!$J:$J,"="&amp;$A588,'data (1)'!$A:$A,"="&amp;вариация!F$2)</f>
        <v>0</v>
      </c>
      <c r="G588">
        <f>SUMIFS('data (1)'!$M:$M,'data (1)'!$J:$J,"="&amp;$A588,'data (1)'!$A:$A,"="&amp;вариация!G$2)</f>
        <v>0</v>
      </c>
      <c r="H588" t="str">
        <f t="shared" si="19"/>
        <v>No</v>
      </c>
    </row>
    <row r="589" spans="1:8" x14ac:dyDescent="0.25">
      <c r="A589" s="7" t="s">
        <v>1209</v>
      </c>
      <c r="B589" s="25">
        <f t="shared" si="18"/>
        <v>2.2360679774997894</v>
      </c>
      <c r="C589">
        <f>SUMIFS('data (1)'!$M:$M,'data (1)'!$J:$J,"="&amp;$A589,'data (1)'!$A:$A,"="&amp;вариация!C$2)</f>
        <v>0</v>
      </c>
      <c r="D589">
        <f>SUMIFS('data (1)'!$M:$M,'data (1)'!$J:$J,"="&amp;$A589,'data (1)'!$A:$A,"="&amp;вариация!D$2)</f>
        <v>0</v>
      </c>
      <c r="E589">
        <f>SUMIFS('data (1)'!$M:$M,'data (1)'!$J:$J,"="&amp;$A589,'data (1)'!$A:$A,"="&amp;вариация!E$2)</f>
        <v>0</v>
      </c>
      <c r="F589">
        <f>SUMIFS('data (1)'!$M:$M,'data (1)'!$J:$J,"="&amp;$A589,'data (1)'!$A:$A,"="&amp;вариация!F$2)</f>
        <v>0</v>
      </c>
      <c r="G589">
        <f>SUMIFS('data (1)'!$M:$M,'data (1)'!$J:$J,"="&amp;$A589,'data (1)'!$A:$A,"="&amp;вариация!G$2)</f>
        <v>1</v>
      </c>
      <c r="H589" t="str">
        <f t="shared" si="19"/>
        <v>No</v>
      </c>
    </row>
    <row r="590" spans="1:8" x14ac:dyDescent="0.25">
      <c r="A590" s="7" t="s">
        <v>590</v>
      </c>
      <c r="B590" s="25">
        <f t="shared" si="18"/>
        <v>2.2360679774997898</v>
      </c>
      <c r="C590">
        <f>SUMIFS('data (1)'!$M:$M,'data (1)'!$J:$J,"="&amp;$A590,'data (1)'!$A:$A,"="&amp;вариация!C$2)</f>
        <v>0</v>
      </c>
      <c r="D590">
        <f>SUMIFS('data (1)'!$M:$M,'data (1)'!$J:$J,"="&amp;$A590,'data (1)'!$A:$A,"="&amp;вариация!D$2)</f>
        <v>3</v>
      </c>
      <c r="E590">
        <f>SUMIFS('data (1)'!$M:$M,'data (1)'!$J:$J,"="&amp;$A590,'data (1)'!$A:$A,"="&amp;вариация!E$2)</f>
        <v>0</v>
      </c>
      <c r="F590">
        <f>SUMIFS('data (1)'!$M:$M,'data (1)'!$J:$J,"="&amp;$A590,'data (1)'!$A:$A,"="&amp;вариация!F$2)</f>
        <v>0</v>
      </c>
      <c r="G590">
        <f>SUMIFS('data (1)'!$M:$M,'data (1)'!$J:$J,"="&amp;$A590,'data (1)'!$A:$A,"="&amp;вариация!G$2)</f>
        <v>0</v>
      </c>
      <c r="H590" t="str">
        <f t="shared" si="19"/>
        <v>No</v>
      </c>
    </row>
    <row r="591" spans="1:8" x14ac:dyDescent="0.25">
      <c r="A591" s="7" t="s">
        <v>1020</v>
      </c>
      <c r="B591" s="25">
        <f t="shared" si="18"/>
        <v>2.2360679774997894</v>
      </c>
      <c r="C591">
        <f>SUMIFS('data (1)'!$M:$M,'data (1)'!$J:$J,"="&amp;$A591,'data (1)'!$A:$A,"="&amp;вариация!C$2)</f>
        <v>0</v>
      </c>
      <c r="D591">
        <f>SUMIFS('data (1)'!$M:$M,'data (1)'!$J:$J,"="&amp;$A591,'data (1)'!$A:$A,"="&amp;вариация!D$2)</f>
        <v>0</v>
      </c>
      <c r="E591">
        <f>SUMIFS('data (1)'!$M:$M,'data (1)'!$J:$J,"="&amp;$A591,'data (1)'!$A:$A,"="&amp;вариация!E$2)</f>
        <v>0</v>
      </c>
      <c r="F591">
        <f>SUMIFS('data (1)'!$M:$M,'data (1)'!$J:$J,"="&amp;$A591,'data (1)'!$A:$A,"="&amp;вариация!F$2)</f>
        <v>2</v>
      </c>
      <c r="G591">
        <f>SUMIFS('data (1)'!$M:$M,'data (1)'!$J:$J,"="&amp;$A591,'data (1)'!$A:$A,"="&amp;вариация!G$2)</f>
        <v>0</v>
      </c>
      <c r="H591" t="str">
        <f t="shared" si="19"/>
        <v>No</v>
      </c>
    </row>
    <row r="592" spans="1:8" x14ac:dyDescent="0.25">
      <c r="A592" s="7" t="s">
        <v>763</v>
      </c>
      <c r="B592" s="25">
        <f t="shared" si="18"/>
        <v>1.4907119896583345</v>
      </c>
      <c r="C592">
        <f>SUMIFS('data (1)'!$M:$M,'data (1)'!$J:$J,"="&amp;$A592,'data (1)'!$A:$A,"="&amp;вариация!C$2)</f>
        <v>0</v>
      </c>
      <c r="D592">
        <f>SUMIFS('data (1)'!$M:$M,'data (1)'!$J:$J,"="&amp;$A592,'data (1)'!$A:$A,"="&amp;вариация!D$2)</f>
        <v>0</v>
      </c>
      <c r="E592">
        <f>SUMIFS('data (1)'!$M:$M,'data (1)'!$J:$J,"="&amp;$A592,'data (1)'!$A:$A,"="&amp;вариация!E$2)</f>
        <v>0.66666667000000002</v>
      </c>
      <c r="F592">
        <f>SUMIFS('data (1)'!$M:$M,'data (1)'!$J:$J,"="&amp;$A592,'data (1)'!$A:$A,"="&amp;вариация!F$2)</f>
        <v>0.33333332999999998</v>
      </c>
      <c r="G592">
        <f>SUMIFS('data (1)'!$M:$M,'data (1)'!$J:$J,"="&amp;$A592,'data (1)'!$A:$A,"="&amp;вариация!G$2)</f>
        <v>0</v>
      </c>
      <c r="H592" t="str">
        <f t="shared" si="19"/>
        <v>No</v>
      </c>
    </row>
    <row r="593" spans="1:8" x14ac:dyDescent="0.25">
      <c r="A593" s="7" t="s">
        <v>1094</v>
      </c>
      <c r="B593" s="25">
        <f t="shared" si="18"/>
        <v>2.2360679774997894</v>
      </c>
      <c r="C593">
        <f>SUMIFS('data (1)'!$M:$M,'data (1)'!$J:$J,"="&amp;$A593,'data (1)'!$A:$A,"="&amp;вариация!C$2)</f>
        <v>0</v>
      </c>
      <c r="D593">
        <f>SUMIFS('data (1)'!$M:$M,'data (1)'!$J:$J,"="&amp;$A593,'data (1)'!$A:$A,"="&amp;вариация!D$2)</f>
        <v>0</v>
      </c>
      <c r="E593">
        <f>SUMIFS('data (1)'!$M:$M,'data (1)'!$J:$J,"="&amp;$A593,'data (1)'!$A:$A,"="&amp;вариация!E$2)</f>
        <v>0</v>
      </c>
      <c r="F593">
        <f>SUMIFS('data (1)'!$M:$M,'data (1)'!$J:$J,"="&amp;$A593,'data (1)'!$A:$A,"="&amp;вариация!F$2)</f>
        <v>0</v>
      </c>
      <c r="G593">
        <f>SUMIFS('data (1)'!$M:$M,'data (1)'!$J:$J,"="&amp;$A593,'data (1)'!$A:$A,"="&amp;вариация!G$2)</f>
        <v>1</v>
      </c>
      <c r="H593" t="str">
        <f t="shared" si="19"/>
        <v>No</v>
      </c>
    </row>
    <row r="594" spans="1:8" x14ac:dyDescent="0.25">
      <c r="A594" s="7" t="s">
        <v>695</v>
      </c>
      <c r="B594" s="25">
        <f t="shared" si="18"/>
        <v>2.2360679774997894</v>
      </c>
      <c r="C594">
        <f>SUMIFS('data (1)'!$M:$M,'data (1)'!$J:$J,"="&amp;$A594,'data (1)'!$A:$A,"="&amp;вариация!C$2)</f>
        <v>0</v>
      </c>
      <c r="D594">
        <f>SUMIFS('data (1)'!$M:$M,'data (1)'!$J:$J,"="&amp;$A594,'data (1)'!$A:$A,"="&amp;вариация!D$2)</f>
        <v>1</v>
      </c>
      <c r="E594">
        <f>SUMIFS('data (1)'!$M:$M,'data (1)'!$J:$J,"="&amp;$A594,'data (1)'!$A:$A,"="&amp;вариация!E$2)</f>
        <v>0</v>
      </c>
      <c r="F594">
        <f>SUMIFS('data (1)'!$M:$M,'data (1)'!$J:$J,"="&amp;$A594,'data (1)'!$A:$A,"="&amp;вариация!F$2)</f>
        <v>0</v>
      </c>
      <c r="G594">
        <f>SUMIFS('data (1)'!$M:$M,'data (1)'!$J:$J,"="&amp;$A594,'data (1)'!$A:$A,"="&amp;вариация!G$2)</f>
        <v>0</v>
      </c>
      <c r="H594" t="str">
        <f t="shared" si="19"/>
        <v>No</v>
      </c>
    </row>
    <row r="595" spans="1:8" x14ac:dyDescent="0.25">
      <c r="A595" s="7" t="s">
        <v>55</v>
      </c>
      <c r="B595" s="25">
        <f t="shared" si="18"/>
        <v>1.4907119849998598</v>
      </c>
      <c r="C595">
        <f>SUMIFS('data (1)'!$M:$M,'data (1)'!$J:$J,"="&amp;$A595,'data (1)'!$A:$A,"="&amp;вариация!C$2)</f>
        <v>2</v>
      </c>
      <c r="D595">
        <f>SUMIFS('data (1)'!$M:$M,'data (1)'!$J:$J,"="&amp;$A595,'data (1)'!$A:$A,"="&amp;вариация!D$2)</f>
        <v>1</v>
      </c>
      <c r="E595">
        <f>SUMIFS('data (1)'!$M:$M,'data (1)'!$J:$J,"="&amp;$A595,'data (1)'!$A:$A,"="&amp;вариация!E$2)</f>
        <v>0</v>
      </c>
      <c r="F595">
        <f>SUMIFS('data (1)'!$M:$M,'data (1)'!$J:$J,"="&amp;$A595,'data (1)'!$A:$A,"="&amp;вариация!F$2)</f>
        <v>0</v>
      </c>
      <c r="G595">
        <f>SUMIFS('data (1)'!$M:$M,'data (1)'!$J:$J,"="&amp;$A595,'data (1)'!$A:$A,"="&amp;вариация!G$2)</f>
        <v>0</v>
      </c>
      <c r="H595" t="str">
        <f t="shared" si="19"/>
        <v>No</v>
      </c>
    </row>
    <row r="596" spans="1:8" x14ac:dyDescent="0.25">
      <c r="A596" s="7" t="s">
        <v>617</v>
      </c>
      <c r="B596" s="25">
        <f t="shared" si="18"/>
        <v>1.4907119849998598</v>
      </c>
      <c r="C596">
        <f>SUMIFS('data (1)'!$M:$M,'data (1)'!$J:$J,"="&amp;$A596,'data (1)'!$A:$A,"="&amp;вариация!C$2)</f>
        <v>0</v>
      </c>
      <c r="D596">
        <f>SUMIFS('data (1)'!$M:$M,'data (1)'!$J:$J,"="&amp;$A596,'data (1)'!$A:$A,"="&amp;вариация!D$2)</f>
        <v>2</v>
      </c>
      <c r="E596">
        <f>SUMIFS('data (1)'!$M:$M,'data (1)'!$J:$J,"="&amp;$A596,'data (1)'!$A:$A,"="&amp;вариация!E$2)</f>
        <v>0</v>
      </c>
      <c r="F596">
        <f>SUMIFS('data (1)'!$M:$M,'data (1)'!$J:$J,"="&amp;$A596,'data (1)'!$A:$A,"="&amp;вариация!F$2)</f>
        <v>0</v>
      </c>
      <c r="G596">
        <f>SUMIFS('data (1)'!$M:$M,'data (1)'!$J:$J,"="&amp;$A596,'data (1)'!$A:$A,"="&amp;вариация!G$2)</f>
        <v>1</v>
      </c>
      <c r="H596" t="str">
        <f t="shared" si="19"/>
        <v>No</v>
      </c>
    </row>
    <row r="597" spans="1:8" x14ac:dyDescent="0.25">
      <c r="A597" s="7" t="s">
        <v>878</v>
      </c>
      <c r="B597" s="25">
        <f t="shared" si="18"/>
        <v>2.2360679774997894</v>
      </c>
      <c r="C597">
        <f>SUMIFS('data (1)'!$M:$M,'data (1)'!$J:$J,"="&amp;$A597,'data (1)'!$A:$A,"="&amp;вариация!C$2)</f>
        <v>0</v>
      </c>
      <c r="D597">
        <f>SUMIFS('data (1)'!$M:$M,'data (1)'!$J:$J,"="&amp;$A597,'data (1)'!$A:$A,"="&amp;вариация!D$2)</f>
        <v>0</v>
      </c>
      <c r="E597">
        <f>SUMIFS('data (1)'!$M:$M,'data (1)'!$J:$J,"="&amp;$A597,'data (1)'!$A:$A,"="&amp;вариация!E$2)</f>
        <v>1</v>
      </c>
      <c r="F597">
        <f>SUMIFS('data (1)'!$M:$M,'data (1)'!$J:$J,"="&amp;$A597,'data (1)'!$A:$A,"="&amp;вариация!F$2)</f>
        <v>0</v>
      </c>
      <c r="G597">
        <f>SUMIFS('data (1)'!$M:$M,'data (1)'!$J:$J,"="&amp;$A597,'data (1)'!$A:$A,"="&amp;вариация!G$2)</f>
        <v>0</v>
      </c>
      <c r="H597" t="str">
        <f t="shared" si="19"/>
        <v>No</v>
      </c>
    </row>
    <row r="598" spans="1:8" x14ac:dyDescent="0.25">
      <c r="A598" s="7" t="s">
        <v>676</v>
      </c>
      <c r="B598" s="25">
        <f t="shared" si="18"/>
        <v>1.4907119849998598</v>
      </c>
      <c r="C598">
        <f>SUMIFS('data (1)'!$M:$M,'data (1)'!$J:$J,"="&amp;$A598,'data (1)'!$A:$A,"="&amp;вариация!C$2)</f>
        <v>0</v>
      </c>
      <c r="D598">
        <f>SUMIFS('data (1)'!$M:$M,'data (1)'!$J:$J,"="&amp;$A598,'data (1)'!$A:$A,"="&amp;вариация!D$2)</f>
        <v>1</v>
      </c>
      <c r="E598">
        <f>SUMIFS('data (1)'!$M:$M,'data (1)'!$J:$J,"="&amp;$A598,'data (1)'!$A:$A,"="&amp;вариация!E$2)</f>
        <v>2</v>
      </c>
      <c r="F598">
        <f>SUMIFS('data (1)'!$M:$M,'data (1)'!$J:$J,"="&amp;$A598,'data (1)'!$A:$A,"="&amp;вариация!F$2)</f>
        <v>0</v>
      </c>
      <c r="G598">
        <f>SUMIFS('data (1)'!$M:$M,'data (1)'!$J:$J,"="&amp;$A598,'data (1)'!$A:$A,"="&amp;вариация!G$2)</f>
        <v>0</v>
      </c>
      <c r="H598" t="str">
        <f t="shared" si="19"/>
        <v>No</v>
      </c>
    </row>
    <row r="599" spans="1:8" x14ac:dyDescent="0.25">
      <c r="A599" s="7" t="s">
        <v>281</v>
      </c>
      <c r="B599" s="25">
        <f t="shared" si="18"/>
        <v>0.91287092917527679</v>
      </c>
      <c r="C599">
        <f>SUMIFS('data (1)'!$M:$M,'data (1)'!$J:$J,"="&amp;$A599,'data (1)'!$A:$A,"="&amp;вариация!C$2)</f>
        <v>1</v>
      </c>
      <c r="D599">
        <f>SUMIFS('data (1)'!$M:$M,'data (1)'!$J:$J,"="&amp;$A599,'data (1)'!$A:$A,"="&amp;вариация!D$2)</f>
        <v>0</v>
      </c>
      <c r="E599">
        <f>SUMIFS('data (1)'!$M:$M,'data (1)'!$J:$J,"="&amp;$A599,'data (1)'!$A:$A,"="&amp;вариация!E$2)</f>
        <v>0</v>
      </c>
      <c r="F599">
        <f>SUMIFS('data (1)'!$M:$M,'data (1)'!$J:$J,"="&amp;$A599,'data (1)'!$A:$A,"="&amp;вариация!F$2)</f>
        <v>1</v>
      </c>
      <c r="G599">
        <f>SUMIFS('data (1)'!$M:$M,'data (1)'!$J:$J,"="&amp;$A599,'data (1)'!$A:$A,"="&amp;вариация!G$2)</f>
        <v>1</v>
      </c>
      <c r="H599" t="str">
        <f t="shared" si="19"/>
        <v>Yes</v>
      </c>
    </row>
    <row r="600" spans="1:8" x14ac:dyDescent="0.25">
      <c r="A600" s="7" t="s">
        <v>134</v>
      </c>
      <c r="B600" s="25">
        <f t="shared" si="18"/>
        <v>2.2360679774997894</v>
      </c>
      <c r="C600">
        <f>SUMIFS('data (1)'!$M:$M,'data (1)'!$J:$J,"="&amp;$A600,'data (1)'!$A:$A,"="&amp;вариация!C$2)</f>
        <v>1</v>
      </c>
      <c r="D600">
        <f>SUMIFS('data (1)'!$M:$M,'data (1)'!$J:$J,"="&amp;$A600,'data (1)'!$A:$A,"="&amp;вариация!D$2)</f>
        <v>0</v>
      </c>
      <c r="E600">
        <f>SUMIFS('data (1)'!$M:$M,'data (1)'!$J:$J,"="&amp;$A600,'data (1)'!$A:$A,"="&amp;вариация!E$2)</f>
        <v>0</v>
      </c>
      <c r="F600">
        <f>SUMIFS('data (1)'!$M:$M,'data (1)'!$J:$J,"="&amp;$A600,'data (1)'!$A:$A,"="&amp;вариация!F$2)</f>
        <v>0</v>
      </c>
      <c r="G600">
        <f>SUMIFS('data (1)'!$M:$M,'data (1)'!$J:$J,"="&amp;$A600,'data (1)'!$A:$A,"="&amp;вариация!G$2)</f>
        <v>0</v>
      </c>
      <c r="H600" t="str">
        <f t="shared" si="19"/>
        <v>No</v>
      </c>
    </row>
    <row r="601" spans="1:8" x14ac:dyDescent="0.25">
      <c r="A601" s="7" t="s">
        <v>1220</v>
      </c>
      <c r="B601" s="25">
        <f t="shared" si="18"/>
        <v>2.2360679774997894</v>
      </c>
      <c r="C601">
        <f>SUMIFS('data (1)'!$M:$M,'data (1)'!$J:$J,"="&amp;$A601,'data (1)'!$A:$A,"="&amp;вариация!C$2)</f>
        <v>0</v>
      </c>
      <c r="D601">
        <f>SUMIFS('data (1)'!$M:$M,'data (1)'!$J:$J,"="&amp;$A601,'data (1)'!$A:$A,"="&amp;вариация!D$2)</f>
        <v>0</v>
      </c>
      <c r="E601">
        <f>SUMIFS('data (1)'!$M:$M,'data (1)'!$J:$J,"="&amp;$A601,'data (1)'!$A:$A,"="&amp;вариация!E$2)</f>
        <v>0</v>
      </c>
      <c r="F601">
        <f>SUMIFS('data (1)'!$M:$M,'data (1)'!$J:$J,"="&amp;$A601,'data (1)'!$A:$A,"="&amp;вариация!F$2)</f>
        <v>0</v>
      </c>
      <c r="G601">
        <f>SUMIFS('data (1)'!$M:$M,'data (1)'!$J:$J,"="&amp;$A601,'data (1)'!$A:$A,"="&amp;вариация!G$2)</f>
        <v>0.33333333999999998</v>
      </c>
      <c r="H601" t="str">
        <f t="shared" si="19"/>
        <v>No</v>
      </c>
    </row>
    <row r="602" spans="1:8" x14ac:dyDescent="0.25">
      <c r="A602" s="7" t="s">
        <v>816</v>
      </c>
      <c r="B602" s="25">
        <f t="shared" si="18"/>
        <v>2.2360679774997894</v>
      </c>
      <c r="C602">
        <f>SUMIFS('data (1)'!$M:$M,'data (1)'!$J:$J,"="&amp;$A602,'data (1)'!$A:$A,"="&amp;вариация!C$2)</f>
        <v>0</v>
      </c>
      <c r="D602">
        <f>SUMIFS('data (1)'!$M:$M,'data (1)'!$J:$J,"="&amp;$A602,'data (1)'!$A:$A,"="&amp;вариация!D$2)</f>
        <v>0</v>
      </c>
      <c r="E602">
        <f>SUMIFS('data (1)'!$M:$M,'data (1)'!$J:$J,"="&amp;$A602,'data (1)'!$A:$A,"="&amp;вариация!E$2)</f>
        <v>1</v>
      </c>
      <c r="F602">
        <f>SUMIFS('data (1)'!$M:$M,'data (1)'!$J:$J,"="&amp;$A602,'data (1)'!$A:$A,"="&amp;вариация!F$2)</f>
        <v>0</v>
      </c>
      <c r="G602">
        <f>SUMIFS('data (1)'!$M:$M,'data (1)'!$J:$J,"="&amp;$A602,'data (1)'!$A:$A,"="&amp;вариация!G$2)</f>
        <v>0</v>
      </c>
      <c r="H602" t="str">
        <f t="shared" si="19"/>
        <v>No</v>
      </c>
    </row>
    <row r="603" spans="1:8" x14ac:dyDescent="0.25">
      <c r="A603" s="7" t="s">
        <v>1092</v>
      </c>
      <c r="B603" s="25">
        <f t="shared" si="18"/>
        <v>2.2360679774997894</v>
      </c>
      <c r="C603">
        <f>SUMIFS('data (1)'!$M:$M,'data (1)'!$J:$J,"="&amp;$A603,'data (1)'!$A:$A,"="&amp;вариация!C$2)</f>
        <v>0</v>
      </c>
      <c r="D603">
        <f>SUMIFS('data (1)'!$M:$M,'data (1)'!$J:$J,"="&amp;$A603,'data (1)'!$A:$A,"="&amp;вариация!D$2)</f>
        <v>0</v>
      </c>
      <c r="E603">
        <f>SUMIFS('data (1)'!$M:$M,'data (1)'!$J:$J,"="&amp;$A603,'data (1)'!$A:$A,"="&amp;вариация!E$2)</f>
        <v>0</v>
      </c>
      <c r="F603">
        <f>SUMIFS('data (1)'!$M:$M,'data (1)'!$J:$J,"="&amp;$A603,'data (1)'!$A:$A,"="&amp;вариация!F$2)</f>
        <v>0</v>
      </c>
      <c r="G603">
        <f>SUMIFS('data (1)'!$M:$M,'data (1)'!$J:$J,"="&amp;$A603,'data (1)'!$A:$A,"="&amp;вариация!G$2)</f>
        <v>1</v>
      </c>
      <c r="H603" t="str">
        <f t="shared" si="19"/>
        <v>No</v>
      </c>
    </row>
    <row r="604" spans="1:8" x14ac:dyDescent="0.25">
      <c r="A604" s="7" t="s">
        <v>149</v>
      </c>
      <c r="B604" s="25">
        <f t="shared" si="18"/>
        <v>1.4907119849998598</v>
      </c>
      <c r="C604">
        <f>SUMIFS('data (1)'!$M:$M,'data (1)'!$J:$J,"="&amp;$A604,'data (1)'!$A:$A,"="&amp;вариация!C$2)</f>
        <v>2</v>
      </c>
      <c r="D604">
        <f>SUMIFS('data (1)'!$M:$M,'data (1)'!$J:$J,"="&amp;$A604,'data (1)'!$A:$A,"="&amp;вариация!D$2)</f>
        <v>0</v>
      </c>
      <c r="E604">
        <f>SUMIFS('data (1)'!$M:$M,'data (1)'!$J:$J,"="&amp;$A604,'data (1)'!$A:$A,"="&amp;вариация!E$2)</f>
        <v>0</v>
      </c>
      <c r="F604">
        <f>SUMIFS('data (1)'!$M:$M,'data (1)'!$J:$J,"="&amp;$A604,'data (1)'!$A:$A,"="&amp;вариация!F$2)</f>
        <v>1</v>
      </c>
      <c r="G604">
        <f>SUMIFS('data (1)'!$M:$M,'data (1)'!$J:$J,"="&amp;$A604,'data (1)'!$A:$A,"="&amp;вариация!G$2)</f>
        <v>0</v>
      </c>
      <c r="H604" t="str">
        <f t="shared" si="19"/>
        <v>No</v>
      </c>
    </row>
    <row r="605" spans="1:8" x14ac:dyDescent="0.25">
      <c r="A605" s="7" t="s">
        <v>1010</v>
      </c>
      <c r="B605" s="25">
        <f t="shared" si="18"/>
        <v>2.2360679774997894</v>
      </c>
      <c r="C605">
        <f>SUMIFS('data (1)'!$M:$M,'data (1)'!$J:$J,"="&amp;$A605,'data (1)'!$A:$A,"="&amp;вариация!C$2)</f>
        <v>0</v>
      </c>
      <c r="D605">
        <f>SUMIFS('data (1)'!$M:$M,'data (1)'!$J:$J,"="&amp;$A605,'data (1)'!$A:$A,"="&amp;вариация!D$2)</f>
        <v>0</v>
      </c>
      <c r="E605">
        <f>SUMIFS('data (1)'!$M:$M,'data (1)'!$J:$J,"="&amp;$A605,'data (1)'!$A:$A,"="&amp;вариация!E$2)</f>
        <v>0</v>
      </c>
      <c r="F605">
        <f>SUMIFS('data (1)'!$M:$M,'data (1)'!$J:$J,"="&amp;$A605,'data (1)'!$A:$A,"="&amp;вариация!F$2)</f>
        <v>1</v>
      </c>
      <c r="G605">
        <f>SUMIFS('data (1)'!$M:$M,'data (1)'!$J:$J,"="&amp;$A605,'data (1)'!$A:$A,"="&amp;вариация!G$2)</f>
        <v>0</v>
      </c>
      <c r="H605" t="str">
        <f t="shared" si="19"/>
        <v>No</v>
      </c>
    </row>
    <row r="606" spans="1:8" x14ac:dyDescent="0.25">
      <c r="A606" s="7" t="s">
        <v>271</v>
      </c>
      <c r="B606" s="25">
        <f t="shared" si="18"/>
        <v>2.2360679774997894</v>
      </c>
      <c r="C606">
        <f>SUMIFS('data (1)'!$M:$M,'data (1)'!$J:$J,"="&amp;$A606,'data (1)'!$A:$A,"="&amp;вариация!C$2)</f>
        <v>1</v>
      </c>
      <c r="D606">
        <f>SUMIFS('data (1)'!$M:$M,'data (1)'!$J:$J,"="&amp;$A606,'data (1)'!$A:$A,"="&amp;вариация!D$2)</f>
        <v>0</v>
      </c>
      <c r="E606">
        <f>SUMIFS('data (1)'!$M:$M,'data (1)'!$J:$J,"="&amp;$A606,'data (1)'!$A:$A,"="&amp;вариация!E$2)</f>
        <v>0</v>
      </c>
      <c r="F606">
        <f>SUMIFS('data (1)'!$M:$M,'data (1)'!$J:$J,"="&amp;$A606,'data (1)'!$A:$A,"="&amp;вариация!F$2)</f>
        <v>0</v>
      </c>
      <c r="G606">
        <f>SUMIFS('data (1)'!$M:$M,'data (1)'!$J:$J,"="&amp;$A606,'data (1)'!$A:$A,"="&amp;вариация!G$2)</f>
        <v>0</v>
      </c>
      <c r="H606" t="str">
        <f t="shared" si="19"/>
        <v>No</v>
      </c>
    </row>
    <row r="607" spans="1:8" x14ac:dyDescent="0.25">
      <c r="A607" s="7" t="s">
        <v>304</v>
      </c>
      <c r="B607" s="25">
        <f t="shared" si="18"/>
        <v>1.4907119849998598</v>
      </c>
      <c r="C607">
        <f>SUMIFS('data (1)'!$M:$M,'data (1)'!$J:$J,"="&amp;$A607,'data (1)'!$A:$A,"="&amp;вариация!C$2)</f>
        <v>1</v>
      </c>
      <c r="D607">
        <f>SUMIFS('data (1)'!$M:$M,'data (1)'!$J:$J,"="&amp;$A607,'data (1)'!$A:$A,"="&amp;вариация!D$2)</f>
        <v>0</v>
      </c>
      <c r="E607">
        <f>SUMIFS('data (1)'!$M:$M,'data (1)'!$J:$J,"="&amp;$A607,'data (1)'!$A:$A,"="&amp;вариация!E$2)</f>
        <v>0</v>
      </c>
      <c r="F607">
        <f>SUMIFS('data (1)'!$M:$M,'data (1)'!$J:$J,"="&amp;$A607,'data (1)'!$A:$A,"="&amp;вариация!F$2)</f>
        <v>0</v>
      </c>
      <c r="G607">
        <f>SUMIFS('data (1)'!$M:$M,'data (1)'!$J:$J,"="&amp;$A607,'data (1)'!$A:$A,"="&amp;вариация!G$2)</f>
        <v>2</v>
      </c>
      <c r="H607" t="str">
        <f t="shared" si="19"/>
        <v>No</v>
      </c>
    </row>
    <row r="608" spans="1:8" x14ac:dyDescent="0.25">
      <c r="A608" s="7" t="s">
        <v>968</v>
      </c>
      <c r="B608" s="25">
        <f t="shared" si="18"/>
        <v>2.2360679774997894</v>
      </c>
      <c r="C608">
        <f>SUMIFS('data (1)'!$M:$M,'data (1)'!$J:$J,"="&amp;$A608,'data (1)'!$A:$A,"="&amp;вариация!C$2)</f>
        <v>0</v>
      </c>
      <c r="D608">
        <f>SUMIFS('data (1)'!$M:$M,'data (1)'!$J:$J,"="&amp;$A608,'data (1)'!$A:$A,"="&amp;вариация!D$2)</f>
        <v>0</v>
      </c>
      <c r="E608">
        <f>SUMIFS('data (1)'!$M:$M,'data (1)'!$J:$J,"="&amp;$A608,'data (1)'!$A:$A,"="&amp;вариация!E$2)</f>
        <v>0</v>
      </c>
      <c r="F608">
        <f>SUMIFS('data (1)'!$M:$M,'data (1)'!$J:$J,"="&amp;$A608,'data (1)'!$A:$A,"="&amp;вариация!F$2)</f>
        <v>1</v>
      </c>
      <c r="G608">
        <f>SUMIFS('data (1)'!$M:$M,'data (1)'!$J:$J,"="&amp;$A608,'data (1)'!$A:$A,"="&amp;вариация!G$2)</f>
        <v>0</v>
      </c>
      <c r="H608" t="str">
        <f t="shared" si="19"/>
        <v>No</v>
      </c>
    </row>
    <row r="609" spans="1:8" x14ac:dyDescent="0.25">
      <c r="A609" s="7" t="s">
        <v>237</v>
      </c>
      <c r="B609" s="25">
        <f t="shared" si="18"/>
        <v>1.4907119849998598</v>
      </c>
      <c r="C609">
        <f>SUMIFS('data (1)'!$M:$M,'data (1)'!$J:$J,"="&amp;$A609,'data (1)'!$A:$A,"="&amp;вариация!C$2)</f>
        <v>2</v>
      </c>
      <c r="D609">
        <f>SUMIFS('data (1)'!$M:$M,'data (1)'!$J:$J,"="&amp;$A609,'data (1)'!$A:$A,"="&amp;вариация!D$2)</f>
        <v>0</v>
      </c>
      <c r="E609">
        <f>SUMIFS('data (1)'!$M:$M,'data (1)'!$J:$J,"="&amp;$A609,'data (1)'!$A:$A,"="&amp;вариация!E$2)</f>
        <v>0</v>
      </c>
      <c r="F609">
        <f>SUMIFS('data (1)'!$M:$M,'data (1)'!$J:$J,"="&amp;$A609,'data (1)'!$A:$A,"="&amp;вариация!F$2)</f>
        <v>0</v>
      </c>
      <c r="G609">
        <f>SUMIFS('data (1)'!$M:$M,'data (1)'!$J:$J,"="&amp;$A609,'data (1)'!$A:$A,"="&amp;вариация!G$2)</f>
        <v>1</v>
      </c>
      <c r="H609" t="str">
        <f t="shared" si="19"/>
        <v>No</v>
      </c>
    </row>
    <row r="610" spans="1:8" x14ac:dyDescent="0.25">
      <c r="A610" s="7" t="s">
        <v>267</v>
      </c>
      <c r="B610" s="25">
        <f t="shared" si="18"/>
        <v>2.2360679774997894</v>
      </c>
      <c r="C610">
        <f>SUMIFS('data (1)'!$M:$M,'data (1)'!$J:$J,"="&amp;$A610,'data (1)'!$A:$A,"="&amp;вариация!C$2)</f>
        <v>2</v>
      </c>
      <c r="D610">
        <f>SUMIFS('data (1)'!$M:$M,'data (1)'!$J:$J,"="&amp;$A610,'data (1)'!$A:$A,"="&amp;вариация!D$2)</f>
        <v>0</v>
      </c>
      <c r="E610">
        <f>SUMIFS('data (1)'!$M:$M,'data (1)'!$J:$J,"="&amp;$A610,'data (1)'!$A:$A,"="&amp;вариация!E$2)</f>
        <v>0</v>
      </c>
      <c r="F610">
        <f>SUMIFS('data (1)'!$M:$M,'data (1)'!$J:$J,"="&amp;$A610,'data (1)'!$A:$A,"="&amp;вариация!F$2)</f>
        <v>0</v>
      </c>
      <c r="G610">
        <f>SUMIFS('data (1)'!$M:$M,'data (1)'!$J:$J,"="&amp;$A610,'data (1)'!$A:$A,"="&amp;вариация!G$2)</f>
        <v>0</v>
      </c>
      <c r="H610" t="str">
        <f t="shared" si="19"/>
        <v>No</v>
      </c>
    </row>
    <row r="611" spans="1:8" x14ac:dyDescent="0.25">
      <c r="A611" s="7" t="s">
        <v>997</v>
      </c>
      <c r="B611" s="25">
        <f t="shared" si="18"/>
        <v>2.2360679774997894</v>
      </c>
      <c r="C611">
        <f>SUMIFS('data (1)'!$M:$M,'data (1)'!$J:$J,"="&amp;$A611,'data (1)'!$A:$A,"="&amp;вариация!C$2)</f>
        <v>0</v>
      </c>
      <c r="D611">
        <f>SUMIFS('data (1)'!$M:$M,'data (1)'!$J:$J,"="&amp;$A611,'data (1)'!$A:$A,"="&amp;вариация!D$2)</f>
        <v>0</v>
      </c>
      <c r="E611">
        <f>SUMIFS('data (1)'!$M:$M,'data (1)'!$J:$J,"="&amp;$A611,'data (1)'!$A:$A,"="&amp;вариация!E$2)</f>
        <v>0</v>
      </c>
      <c r="F611">
        <f>SUMIFS('data (1)'!$M:$M,'data (1)'!$J:$J,"="&amp;$A611,'data (1)'!$A:$A,"="&amp;вариация!F$2)</f>
        <v>2</v>
      </c>
      <c r="G611">
        <f>SUMIFS('data (1)'!$M:$M,'data (1)'!$J:$J,"="&amp;$A611,'data (1)'!$A:$A,"="&amp;вариация!G$2)</f>
        <v>0</v>
      </c>
      <c r="H611" t="str">
        <f t="shared" si="19"/>
        <v>No</v>
      </c>
    </row>
    <row r="612" spans="1:8" x14ac:dyDescent="0.25">
      <c r="A612" s="7" t="s">
        <v>406</v>
      </c>
      <c r="B612" s="25">
        <f t="shared" si="18"/>
        <v>2.2360679774997894</v>
      </c>
      <c r="C612">
        <f>SUMIFS('data (1)'!$M:$M,'data (1)'!$J:$J,"="&amp;$A612,'data (1)'!$A:$A,"="&amp;вариация!C$2)</f>
        <v>1</v>
      </c>
      <c r="D612">
        <f>SUMIFS('data (1)'!$M:$M,'data (1)'!$J:$J,"="&amp;$A612,'data (1)'!$A:$A,"="&amp;вариация!D$2)</f>
        <v>0</v>
      </c>
      <c r="E612">
        <f>SUMIFS('data (1)'!$M:$M,'data (1)'!$J:$J,"="&amp;$A612,'data (1)'!$A:$A,"="&amp;вариация!E$2)</f>
        <v>0</v>
      </c>
      <c r="F612">
        <f>SUMIFS('data (1)'!$M:$M,'data (1)'!$J:$J,"="&amp;$A612,'data (1)'!$A:$A,"="&amp;вариация!F$2)</f>
        <v>0</v>
      </c>
      <c r="G612">
        <f>SUMIFS('data (1)'!$M:$M,'data (1)'!$J:$J,"="&amp;$A612,'data (1)'!$A:$A,"="&amp;вариация!G$2)</f>
        <v>0</v>
      </c>
      <c r="H612" t="str">
        <f t="shared" si="19"/>
        <v>No</v>
      </c>
    </row>
    <row r="613" spans="1:8" x14ac:dyDescent="0.25">
      <c r="A613" s="7" t="s">
        <v>641</v>
      </c>
      <c r="B613" s="25">
        <f t="shared" si="18"/>
        <v>2.2360679774997898</v>
      </c>
      <c r="C613">
        <f>SUMIFS('data (1)'!$M:$M,'data (1)'!$J:$J,"="&amp;$A613,'data (1)'!$A:$A,"="&amp;вариация!C$2)</f>
        <v>0</v>
      </c>
      <c r="D613">
        <f>SUMIFS('data (1)'!$M:$M,'data (1)'!$J:$J,"="&amp;$A613,'data (1)'!$A:$A,"="&amp;вариация!D$2)</f>
        <v>3</v>
      </c>
      <c r="E613">
        <f>SUMIFS('data (1)'!$M:$M,'data (1)'!$J:$J,"="&amp;$A613,'data (1)'!$A:$A,"="&amp;вариация!E$2)</f>
        <v>0</v>
      </c>
      <c r="F613">
        <f>SUMIFS('data (1)'!$M:$M,'data (1)'!$J:$J,"="&amp;$A613,'data (1)'!$A:$A,"="&amp;вариация!F$2)</f>
        <v>0</v>
      </c>
      <c r="G613">
        <f>SUMIFS('data (1)'!$M:$M,'data (1)'!$J:$J,"="&amp;$A613,'data (1)'!$A:$A,"="&amp;вариация!G$2)</f>
        <v>0</v>
      </c>
      <c r="H613" t="str">
        <f t="shared" si="19"/>
        <v>No</v>
      </c>
    </row>
    <row r="614" spans="1:8" x14ac:dyDescent="0.25">
      <c r="A614" s="7" t="s">
        <v>265</v>
      </c>
      <c r="B614" s="25">
        <f t="shared" si="18"/>
        <v>2.2360679774997894</v>
      </c>
      <c r="C614">
        <f>SUMIFS('data (1)'!$M:$M,'data (1)'!$J:$J,"="&amp;$A614,'data (1)'!$A:$A,"="&amp;вариация!C$2)</f>
        <v>1</v>
      </c>
      <c r="D614">
        <f>SUMIFS('data (1)'!$M:$M,'data (1)'!$J:$J,"="&amp;$A614,'data (1)'!$A:$A,"="&amp;вариация!D$2)</f>
        <v>0</v>
      </c>
      <c r="E614">
        <f>SUMIFS('data (1)'!$M:$M,'data (1)'!$J:$J,"="&amp;$A614,'data (1)'!$A:$A,"="&amp;вариация!E$2)</f>
        <v>0</v>
      </c>
      <c r="F614">
        <f>SUMIFS('data (1)'!$M:$M,'data (1)'!$J:$J,"="&amp;$A614,'data (1)'!$A:$A,"="&amp;вариация!F$2)</f>
        <v>0</v>
      </c>
      <c r="G614">
        <f>SUMIFS('data (1)'!$M:$M,'data (1)'!$J:$J,"="&amp;$A614,'data (1)'!$A:$A,"="&amp;вариация!G$2)</f>
        <v>0</v>
      </c>
      <c r="H614" t="str">
        <f t="shared" si="19"/>
        <v>No</v>
      </c>
    </row>
    <row r="615" spans="1:8" x14ac:dyDescent="0.25">
      <c r="A615" s="7" t="s">
        <v>503</v>
      </c>
      <c r="B615" s="25">
        <f t="shared" si="18"/>
        <v>2.2360679774997894</v>
      </c>
      <c r="C615">
        <f>SUMIFS('data (1)'!$M:$M,'data (1)'!$J:$J,"="&amp;$A615,'data (1)'!$A:$A,"="&amp;вариация!C$2)</f>
        <v>0</v>
      </c>
      <c r="D615">
        <f>SUMIFS('data (1)'!$M:$M,'data (1)'!$J:$J,"="&amp;$A615,'data (1)'!$A:$A,"="&amp;вариация!D$2)</f>
        <v>1</v>
      </c>
      <c r="E615">
        <f>SUMIFS('data (1)'!$M:$M,'data (1)'!$J:$J,"="&amp;$A615,'data (1)'!$A:$A,"="&amp;вариация!E$2)</f>
        <v>0</v>
      </c>
      <c r="F615">
        <f>SUMIFS('data (1)'!$M:$M,'data (1)'!$J:$J,"="&amp;$A615,'data (1)'!$A:$A,"="&amp;вариация!F$2)</f>
        <v>0</v>
      </c>
      <c r="G615">
        <f>SUMIFS('data (1)'!$M:$M,'data (1)'!$J:$J,"="&amp;$A615,'data (1)'!$A:$A,"="&amp;вариация!G$2)</f>
        <v>0</v>
      </c>
      <c r="H615" t="str">
        <f t="shared" si="19"/>
        <v>No</v>
      </c>
    </row>
    <row r="616" spans="1:8" x14ac:dyDescent="0.25">
      <c r="A616" s="7" t="s">
        <v>403</v>
      </c>
      <c r="B616" s="25">
        <f t="shared" si="18"/>
        <v>2.2360679774997894</v>
      </c>
      <c r="C616">
        <f>SUMIFS('data (1)'!$M:$M,'data (1)'!$J:$J,"="&amp;$A616,'data (1)'!$A:$A,"="&amp;вариация!C$2)</f>
        <v>1</v>
      </c>
      <c r="D616">
        <f>SUMIFS('data (1)'!$M:$M,'data (1)'!$J:$J,"="&amp;$A616,'data (1)'!$A:$A,"="&amp;вариация!D$2)</f>
        <v>0</v>
      </c>
      <c r="E616">
        <f>SUMIFS('data (1)'!$M:$M,'data (1)'!$J:$J,"="&amp;$A616,'data (1)'!$A:$A,"="&amp;вариация!E$2)</f>
        <v>0</v>
      </c>
      <c r="F616">
        <f>SUMIFS('data (1)'!$M:$M,'data (1)'!$J:$J,"="&amp;$A616,'data (1)'!$A:$A,"="&amp;вариация!F$2)</f>
        <v>0</v>
      </c>
      <c r="G616">
        <f>SUMIFS('data (1)'!$M:$M,'data (1)'!$J:$J,"="&amp;$A616,'data (1)'!$A:$A,"="&amp;вариация!G$2)</f>
        <v>0</v>
      </c>
      <c r="H616" t="str">
        <f t="shared" si="19"/>
        <v>No</v>
      </c>
    </row>
    <row r="617" spans="1:8" x14ac:dyDescent="0.25">
      <c r="A617" s="7" t="s">
        <v>430</v>
      </c>
      <c r="B617" s="25">
        <f t="shared" si="18"/>
        <v>2.2360679774997894</v>
      </c>
      <c r="C617">
        <f>SUMIFS('data (1)'!$M:$M,'data (1)'!$J:$J,"="&amp;$A617,'data (1)'!$A:$A,"="&amp;вариация!C$2)</f>
        <v>1</v>
      </c>
      <c r="D617">
        <f>SUMIFS('data (1)'!$M:$M,'data (1)'!$J:$J,"="&amp;$A617,'data (1)'!$A:$A,"="&amp;вариация!D$2)</f>
        <v>0</v>
      </c>
      <c r="E617">
        <f>SUMIFS('data (1)'!$M:$M,'data (1)'!$J:$J,"="&amp;$A617,'data (1)'!$A:$A,"="&amp;вариация!E$2)</f>
        <v>0</v>
      </c>
      <c r="F617">
        <f>SUMIFS('data (1)'!$M:$M,'data (1)'!$J:$J,"="&amp;$A617,'data (1)'!$A:$A,"="&amp;вариация!F$2)</f>
        <v>0</v>
      </c>
      <c r="G617">
        <f>SUMIFS('data (1)'!$M:$M,'data (1)'!$J:$J,"="&amp;$A617,'data (1)'!$A:$A,"="&amp;вариация!G$2)</f>
        <v>0</v>
      </c>
      <c r="H617" t="str">
        <f t="shared" si="19"/>
        <v>No</v>
      </c>
    </row>
    <row r="618" spans="1:8" x14ac:dyDescent="0.25">
      <c r="A618" s="7" t="s">
        <v>434</v>
      </c>
      <c r="B618" s="25">
        <f t="shared" si="18"/>
        <v>2.2360679774997898</v>
      </c>
      <c r="C618">
        <f>SUMIFS('data (1)'!$M:$M,'data (1)'!$J:$J,"="&amp;$A618,'data (1)'!$A:$A,"="&amp;вариация!C$2)</f>
        <v>3</v>
      </c>
      <c r="D618">
        <f>SUMIFS('data (1)'!$M:$M,'data (1)'!$J:$J,"="&amp;$A618,'data (1)'!$A:$A,"="&amp;вариация!D$2)</f>
        <v>0</v>
      </c>
      <c r="E618">
        <f>SUMIFS('data (1)'!$M:$M,'data (1)'!$J:$J,"="&amp;$A618,'data (1)'!$A:$A,"="&amp;вариация!E$2)</f>
        <v>0</v>
      </c>
      <c r="F618">
        <f>SUMIFS('data (1)'!$M:$M,'data (1)'!$J:$J,"="&amp;$A618,'data (1)'!$A:$A,"="&amp;вариация!F$2)</f>
        <v>0</v>
      </c>
      <c r="G618">
        <f>SUMIFS('data (1)'!$M:$M,'data (1)'!$J:$J,"="&amp;$A618,'data (1)'!$A:$A,"="&amp;вариация!G$2)</f>
        <v>0</v>
      </c>
      <c r="H618" t="str">
        <f t="shared" si="19"/>
        <v>No</v>
      </c>
    </row>
    <row r="619" spans="1:8" x14ac:dyDescent="0.25">
      <c r="A619" s="7" t="s">
        <v>176</v>
      </c>
      <c r="B619" s="25">
        <f t="shared" si="18"/>
        <v>1.0865337342004415</v>
      </c>
      <c r="C619">
        <f>SUMIFS('data (1)'!$M:$M,'data (1)'!$J:$J,"="&amp;$A619,'data (1)'!$A:$A,"="&amp;вариация!C$2)</f>
        <v>1</v>
      </c>
      <c r="D619">
        <f>SUMIFS('data (1)'!$M:$M,'data (1)'!$J:$J,"="&amp;$A619,'data (1)'!$A:$A,"="&amp;вариация!D$2)</f>
        <v>0</v>
      </c>
      <c r="E619">
        <f>SUMIFS('data (1)'!$M:$M,'data (1)'!$J:$J,"="&amp;$A619,'data (1)'!$A:$A,"="&amp;вариация!E$2)</f>
        <v>3</v>
      </c>
      <c r="F619">
        <f>SUMIFS('data (1)'!$M:$M,'data (1)'!$J:$J,"="&amp;$A619,'data (1)'!$A:$A,"="&amp;вариация!F$2)</f>
        <v>0</v>
      </c>
      <c r="G619">
        <f>SUMIFS('data (1)'!$M:$M,'data (1)'!$J:$J,"="&amp;$A619,'data (1)'!$A:$A,"="&amp;вариация!G$2)</f>
        <v>2</v>
      </c>
      <c r="H619" t="str">
        <f t="shared" si="19"/>
        <v>Yes</v>
      </c>
    </row>
    <row r="620" spans="1:8" x14ac:dyDescent="0.25">
      <c r="A620" s="7" t="s">
        <v>859</v>
      </c>
      <c r="B620" s="25">
        <f t="shared" si="18"/>
        <v>2.2360679774997894</v>
      </c>
      <c r="C620">
        <f>SUMIFS('data (1)'!$M:$M,'data (1)'!$J:$J,"="&amp;$A620,'data (1)'!$A:$A,"="&amp;вариация!C$2)</f>
        <v>0</v>
      </c>
      <c r="D620">
        <f>SUMIFS('data (1)'!$M:$M,'data (1)'!$J:$J,"="&amp;$A620,'data (1)'!$A:$A,"="&amp;вариация!D$2)</f>
        <v>0</v>
      </c>
      <c r="E620">
        <f>SUMIFS('data (1)'!$M:$M,'data (1)'!$J:$J,"="&amp;$A620,'data (1)'!$A:$A,"="&amp;вариация!E$2)</f>
        <v>1</v>
      </c>
      <c r="F620">
        <f>SUMIFS('data (1)'!$M:$M,'data (1)'!$J:$J,"="&amp;$A620,'data (1)'!$A:$A,"="&amp;вариация!F$2)</f>
        <v>0</v>
      </c>
      <c r="G620">
        <f>SUMIFS('data (1)'!$M:$M,'data (1)'!$J:$J,"="&amp;$A620,'data (1)'!$A:$A,"="&amp;вариация!G$2)</f>
        <v>0</v>
      </c>
      <c r="H620" t="str">
        <f t="shared" si="19"/>
        <v>No</v>
      </c>
    </row>
    <row r="621" spans="1:8" x14ac:dyDescent="0.25">
      <c r="A621" s="7" t="s">
        <v>960</v>
      </c>
      <c r="B621" s="25">
        <f t="shared" si="18"/>
        <v>2.2360679774997894</v>
      </c>
      <c r="C621">
        <f>SUMIFS('data (1)'!$M:$M,'data (1)'!$J:$J,"="&amp;$A621,'data (1)'!$A:$A,"="&amp;вариация!C$2)</f>
        <v>0</v>
      </c>
      <c r="D621">
        <f>SUMIFS('data (1)'!$M:$M,'data (1)'!$J:$J,"="&amp;$A621,'data (1)'!$A:$A,"="&amp;вариация!D$2)</f>
        <v>0</v>
      </c>
      <c r="E621">
        <f>SUMIFS('data (1)'!$M:$M,'data (1)'!$J:$J,"="&amp;$A621,'data (1)'!$A:$A,"="&amp;вариация!E$2)</f>
        <v>0</v>
      </c>
      <c r="F621">
        <f>SUMIFS('data (1)'!$M:$M,'data (1)'!$J:$J,"="&amp;$A621,'data (1)'!$A:$A,"="&amp;вариация!F$2)</f>
        <v>0.28000000000000003</v>
      </c>
      <c r="G621">
        <f>SUMIFS('data (1)'!$M:$M,'data (1)'!$J:$J,"="&amp;$A621,'data (1)'!$A:$A,"="&amp;вариация!G$2)</f>
        <v>0</v>
      </c>
      <c r="H621" t="str">
        <f t="shared" si="19"/>
        <v>No</v>
      </c>
    </row>
    <row r="622" spans="1:8" x14ac:dyDescent="0.25">
      <c r="A622" s="7" t="s">
        <v>1218</v>
      </c>
      <c r="B622" s="25">
        <f t="shared" si="18"/>
        <v>2.2360679774997898</v>
      </c>
      <c r="C622">
        <f>SUMIFS('data (1)'!$M:$M,'data (1)'!$J:$J,"="&amp;$A622,'data (1)'!$A:$A,"="&amp;вариация!C$2)</f>
        <v>0</v>
      </c>
      <c r="D622">
        <f>SUMIFS('data (1)'!$M:$M,'data (1)'!$J:$J,"="&amp;$A622,'data (1)'!$A:$A,"="&amp;вариация!D$2)</f>
        <v>0</v>
      </c>
      <c r="E622">
        <f>SUMIFS('data (1)'!$M:$M,'data (1)'!$J:$J,"="&amp;$A622,'data (1)'!$A:$A,"="&amp;вариация!E$2)</f>
        <v>0</v>
      </c>
      <c r="F622">
        <f>SUMIFS('data (1)'!$M:$M,'data (1)'!$J:$J,"="&amp;$A622,'data (1)'!$A:$A,"="&amp;вариация!F$2)</f>
        <v>0</v>
      </c>
      <c r="G622">
        <f>SUMIFS('data (1)'!$M:$M,'data (1)'!$J:$J,"="&amp;$A622,'data (1)'!$A:$A,"="&amp;вариация!G$2)</f>
        <v>0.33333332999999998</v>
      </c>
      <c r="H622" t="str">
        <f t="shared" si="19"/>
        <v>No</v>
      </c>
    </row>
    <row r="623" spans="1:8" x14ac:dyDescent="0.25">
      <c r="A623" s="7" t="s">
        <v>921</v>
      </c>
      <c r="B623" s="25">
        <f t="shared" si="18"/>
        <v>2.2360679774997898</v>
      </c>
      <c r="C623">
        <f>SUMIFS('data (1)'!$M:$M,'data (1)'!$J:$J,"="&amp;$A623,'data (1)'!$A:$A,"="&amp;вариация!C$2)</f>
        <v>0</v>
      </c>
      <c r="D623">
        <f>SUMIFS('data (1)'!$M:$M,'data (1)'!$J:$J,"="&amp;$A623,'data (1)'!$A:$A,"="&amp;вариация!D$2)</f>
        <v>0</v>
      </c>
      <c r="E623">
        <f>SUMIFS('data (1)'!$M:$M,'data (1)'!$J:$J,"="&amp;$A623,'data (1)'!$A:$A,"="&amp;вариация!E$2)</f>
        <v>0.33333332999999998</v>
      </c>
      <c r="F623">
        <f>SUMIFS('data (1)'!$M:$M,'data (1)'!$J:$J,"="&amp;$A623,'data (1)'!$A:$A,"="&amp;вариация!F$2)</f>
        <v>0</v>
      </c>
      <c r="G623">
        <f>SUMIFS('data (1)'!$M:$M,'data (1)'!$J:$J,"="&amp;$A623,'data (1)'!$A:$A,"="&amp;вариация!G$2)</f>
        <v>0</v>
      </c>
      <c r="H623" t="str">
        <f t="shared" si="19"/>
        <v>No</v>
      </c>
    </row>
    <row r="624" spans="1:8" x14ac:dyDescent="0.25">
      <c r="A624" s="7" t="s">
        <v>1041</v>
      </c>
      <c r="B624" s="25">
        <f t="shared" si="18"/>
        <v>2.2360679774997894</v>
      </c>
      <c r="C624">
        <f>SUMIFS('data (1)'!$M:$M,'data (1)'!$J:$J,"="&amp;$A624,'data (1)'!$A:$A,"="&amp;вариация!C$2)</f>
        <v>0</v>
      </c>
      <c r="D624">
        <f>SUMIFS('data (1)'!$M:$M,'data (1)'!$J:$J,"="&amp;$A624,'data (1)'!$A:$A,"="&amp;вариация!D$2)</f>
        <v>0</v>
      </c>
      <c r="E624">
        <f>SUMIFS('data (1)'!$M:$M,'data (1)'!$J:$J,"="&amp;$A624,'data (1)'!$A:$A,"="&amp;вариация!E$2)</f>
        <v>0</v>
      </c>
      <c r="F624">
        <f>SUMIFS('data (1)'!$M:$M,'data (1)'!$J:$J,"="&amp;$A624,'data (1)'!$A:$A,"="&amp;вариация!F$2)</f>
        <v>1</v>
      </c>
      <c r="G624">
        <f>SUMIFS('data (1)'!$M:$M,'data (1)'!$J:$J,"="&amp;$A624,'data (1)'!$A:$A,"="&amp;вариация!G$2)</f>
        <v>0</v>
      </c>
      <c r="H624" t="str">
        <f t="shared" si="19"/>
        <v>No</v>
      </c>
    </row>
    <row r="625" spans="1:8" x14ac:dyDescent="0.25">
      <c r="A625" s="7" t="s">
        <v>1089</v>
      </c>
      <c r="B625" s="25">
        <f t="shared" si="18"/>
        <v>2.2360679774997894</v>
      </c>
      <c r="C625">
        <f>SUMIFS('data (1)'!$M:$M,'data (1)'!$J:$J,"="&amp;$A625,'data (1)'!$A:$A,"="&amp;вариация!C$2)</f>
        <v>0</v>
      </c>
      <c r="D625">
        <f>SUMIFS('data (1)'!$M:$M,'data (1)'!$J:$J,"="&amp;$A625,'data (1)'!$A:$A,"="&amp;вариация!D$2)</f>
        <v>0</v>
      </c>
      <c r="E625">
        <f>SUMIFS('data (1)'!$M:$M,'data (1)'!$J:$J,"="&amp;$A625,'data (1)'!$A:$A,"="&amp;вариация!E$2)</f>
        <v>0</v>
      </c>
      <c r="F625">
        <f>SUMIFS('data (1)'!$M:$M,'data (1)'!$J:$J,"="&amp;$A625,'data (1)'!$A:$A,"="&amp;вариация!F$2)</f>
        <v>0</v>
      </c>
      <c r="G625">
        <f>SUMIFS('data (1)'!$M:$M,'data (1)'!$J:$J,"="&amp;$A625,'data (1)'!$A:$A,"="&amp;вариация!G$2)</f>
        <v>2</v>
      </c>
      <c r="H625" t="str">
        <f t="shared" si="19"/>
        <v>No</v>
      </c>
    </row>
    <row r="626" spans="1:8" x14ac:dyDescent="0.25">
      <c r="A626" s="7" t="s">
        <v>340</v>
      </c>
      <c r="B626" s="25">
        <f t="shared" si="18"/>
        <v>1.3693063937629151</v>
      </c>
      <c r="C626">
        <f>SUMIFS('data (1)'!$M:$M,'data (1)'!$J:$J,"="&amp;$A626,'data (1)'!$A:$A,"="&amp;вариация!C$2)</f>
        <v>1</v>
      </c>
      <c r="D626">
        <f>SUMIFS('data (1)'!$M:$M,'data (1)'!$J:$J,"="&amp;$A626,'data (1)'!$A:$A,"="&amp;вариация!D$2)</f>
        <v>0</v>
      </c>
      <c r="E626">
        <f>SUMIFS('data (1)'!$M:$M,'data (1)'!$J:$J,"="&amp;$A626,'data (1)'!$A:$A,"="&amp;вариация!E$2)</f>
        <v>0</v>
      </c>
      <c r="F626">
        <f>SUMIFS('data (1)'!$M:$M,'data (1)'!$J:$J,"="&amp;$A626,'data (1)'!$A:$A,"="&amp;вариация!F$2)</f>
        <v>1</v>
      </c>
      <c r="G626">
        <f>SUMIFS('data (1)'!$M:$M,'data (1)'!$J:$J,"="&amp;$A626,'data (1)'!$A:$A,"="&amp;вариация!G$2)</f>
        <v>0</v>
      </c>
      <c r="H626" t="str">
        <f t="shared" si="19"/>
        <v>No</v>
      </c>
    </row>
    <row r="627" spans="1:8" x14ac:dyDescent="0.25">
      <c r="A627" s="7" t="s">
        <v>240</v>
      </c>
      <c r="B627" s="25">
        <f t="shared" si="18"/>
        <v>2.2360679774997894</v>
      </c>
      <c r="C627">
        <f>SUMIFS('data (1)'!$M:$M,'data (1)'!$J:$J,"="&amp;$A627,'data (1)'!$A:$A,"="&amp;вариация!C$2)</f>
        <v>1</v>
      </c>
      <c r="D627">
        <f>SUMIFS('data (1)'!$M:$M,'data (1)'!$J:$J,"="&amp;$A627,'data (1)'!$A:$A,"="&amp;вариация!D$2)</f>
        <v>0</v>
      </c>
      <c r="E627">
        <f>SUMIFS('data (1)'!$M:$M,'data (1)'!$J:$J,"="&amp;$A627,'data (1)'!$A:$A,"="&amp;вариация!E$2)</f>
        <v>0</v>
      </c>
      <c r="F627">
        <f>SUMIFS('data (1)'!$M:$M,'data (1)'!$J:$J,"="&amp;$A627,'data (1)'!$A:$A,"="&amp;вариация!F$2)</f>
        <v>0</v>
      </c>
      <c r="G627">
        <f>SUMIFS('data (1)'!$M:$M,'data (1)'!$J:$J,"="&amp;$A627,'data (1)'!$A:$A,"="&amp;вариация!G$2)</f>
        <v>0</v>
      </c>
      <c r="H627" t="str">
        <f t="shared" si="19"/>
        <v>No</v>
      </c>
    </row>
    <row r="628" spans="1:8" x14ac:dyDescent="0.25">
      <c r="A628" s="7" t="s">
        <v>537</v>
      </c>
      <c r="B628" s="25">
        <f t="shared" si="18"/>
        <v>2.2360679774997894</v>
      </c>
      <c r="C628">
        <f>SUMIFS('data (1)'!$M:$M,'data (1)'!$J:$J,"="&amp;$A628,'data (1)'!$A:$A,"="&amp;вариация!C$2)</f>
        <v>0</v>
      </c>
      <c r="D628">
        <f>SUMIFS('data (1)'!$M:$M,'data (1)'!$J:$J,"="&amp;$A628,'data (1)'!$A:$A,"="&amp;вариация!D$2)</f>
        <v>1</v>
      </c>
      <c r="E628">
        <f>SUMIFS('data (1)'!$M:$M,'data (1)'!$J:$J,"="&amp;$A628,'data (1)'!$A:$A,"="&amp;вариация!E$2)</f>
        <v>0</v>
      </c>
      <c r="F628">
        <f>SUMIFS('data (1)'!$M:$M,'data (1)'!$J:$J,"="&amp;$A628,'data (1)'!$A:$A,"="&amp;вариация!F$2)</f>
        <v>0</v>
      </c>
      <c r="G628">
        <f>SUMIFS('data (1)'!$M:$M,'data (1)'!$J:$J,"="&amp;$A628,'data (1)'!$A:$A,"="&amp;вариация!G$2)</f>
        <v>0</v>
      </c>
      <c r="H628" t="str">
        <f t="shared" si="19"/>
        <v>No</v>
      </c>
    </row>
    <row r="629" spans="1:8" x14ac:dyDescent="0.25">
      <c r="A629" s="7" t="s">
        <v>681</v>
      </c>
      <c r="B629" s="25">
        <f t="shared" si="18"/>
        <v>2.2360679774997894</v>
      </c>
      <c r="C629">
        <f>SUMIFS('data (1)'!$M:$M,'data (1)'!$J:$J,"="&amp;$A629,'data (1)'!$A:$A,"="&amp;вариация!C$2)</f>
        <v>0</v>
      </c>
      <c r="D629">
        <f>SUMIFS('data (1)'!$M:$M,'data (1)'!$J:$J,"="&amp;$A629,'data (1)'!$A:$A,"="&amp;вариация!D$2)</f>
        <v>1</v>
      </c>
      <c r="E629">
        <f>SUMIFS('data (1)'!$M:$M,'data (1)'!$J:$J,"="&amp;$A629,'data (1)'!$A:$A,"="&amp;вариация!E$2)</f>
        <v>0</v>
      </c>
      <c r="F629">
        <f>SUMIFS('data (1)'!$M:$M,'data (1)'!$J:$J,"="&amp;$A629,'data (1)'!$A:$A,"="&amp;вариация!F$2)</f>
        <v>0</v>
      </c>
      <c r="G629">
        <f>SUMIFS('data (1)'!$M:$M,'data (1)'!$J:$J,"="&amp;$A629,'data (1)'!$A:$A,"="&amp;вариация!G$2)</f>
        <v>0</v>
      </c>
      <c r="H629" t="str">
        <f t="shared" si="19"/>
        <v>No</v>
      </c>
    </row>
    <row r="630" spans="1:8" x14ac:dyDescent="0.25">
      <c r="A630" s="7" t="s">
        <v>471</v>
      </c>
      <c r="B630" s="25">
        <f t="shared" si="18"/>
        <v>2.2360679774997894</v>
      </c>
      <c r="C630">
        <f>SUMIFS('data (1)'!$M:$M,'data (1)'!$J:$J,"="&amp;$A630,'data (1)'!$A:$A,"="&amp;вариация!C$2)</f>
        <v>1</v>
      </c>
      <c r="D630">
        <f>SUMIFS('data (1)'!$M:$M,'data (1)'!$J:$J,"="&amp;$A630,'data (1)'!$A:$A,"="&amp;вариация!D$2)</f>
        <v>0</v>
      </c>
      <c r="E630">
        <f>SUMIFS('data (1)'!$M:$M,'data (1)'!$J:$J,"="&amp;$A630,'data (1)'!$A:$A,"="&amp;вариация!E$2)</f>
        <v>0</v>
      </c>
      <c r="F630">
        <f>SUMIFS('data (1)'!$M:$M,'data (1)'!$J:$J,"="&amp;$A630,'data (1)'!$A:$A,"="&amp;вариация!F$2)</f>
        <v>0</v>
      </c>
      <c r="G630">
        <f>SUMIFS('data (1)'!$M:$M,'data (1)'!$J:$J,"="&amp;$A630,'data (1)'!$A:$A,"="&amp;вариация!G$2)</f>
        <v>0</v>
      </c>
      <c r="H630" t="str">
        <f t="shared" si="19"/>
        <v>No</v>
      </c>
    </row>
    <row r="631" spans="1:8" x14ac:dyDescent="0.25">
      <c r="A631" s="7" t="s">
        <v>344</v>
      </c>
      <c r="B631" s="25">
        <f t="shared" si="18"/>
        <v>2.2360679774997894</v>
      </c>
      <c r="C631">
        <f>SUMIFS('data (1)'!$M:$M,'data (1)'!$J:$J,"="&amp;$A631,'data (1)'!$A:$A,"="&amp;вариация!C$2)</f>
        <v>1</v>
      </c>
      <c r="D631">
        <f>SUMIFS('data (1)'!$M:$M,'data (1)'!$J:$J,"="&amp;$A631,'data (1)'!$A:$A,"="&amp;вариация!D$2)</f>
        <v>0</v>
      </c>
      <c r="E631">
        <f>SUMIFS('data (1)'!$M:$M,'data (1)'!$J:$J,"="&amp;$A631,'data (1)'!$A:$A,"="&amp;вариация!E$2)</f>
        <v>0</v>
      </c>
      <c r="F631">
        <f>SUMIFS('data (1)'!$M:$M,'data (1)'!$J:$J,"="&amp;$A631,'data (1)'!$A:$A,"="&amp;вариация!F$2)</f>
        <v>0</v>
      </c>
      <c r="G631">
        <f>SUMIFS('data (1)'!$M:$M,'data (1)'!$J:$J,"="&amp;$A631,'data (1)'!$A:$A,"="&amp;вариация!G$2)</f>
        <v>0</v>
      </c>
      <c r="H631" t="str">
        <f t="shared" si="19"/>
        <v>No</v>
      </c>
    </row>
    <row r="632" spans="1:8" x14ac:dyDescent="0.25">
      <c r="A632" s="7" t="s">
        <v>243</v>
      </c>
      <c r="B632" s="25">
        <f t="shared" si="18"/>
        <v>2.2360679774997894</v>
      </c>
      <c r="C632">
        <f>SUMIFS('data (1)'!$M:$M,'data (1)'!$J:$J,"="&amp;$A632,'data (1)'!$A:$A,"="&amp;вариация!C$2)</f>
        <v>1</v>
      </c>
      <c r="D632">
        <f>SUMIFS('data (1)'!$M:$M,'data (1)'!$J:$J,"="&amp;$A632,'data (1)'!$A:$A,"="&amp;вариация!D$2)</f>
        <v>0</v>
      </c>
      <c r="E632">
        <f>SUMIFS('data (1)'!$M:$M,'data (1)'!$J:$J,"="&amp;$A632,'data (1)'!$A:$A,"="&amp;вариация!E$2)</f>
        <v>0</v>
      </c>
      <c r="F632">
        <f>SUMIFS('data (1)'!$M:$M,'data (1)'!$J:$J,"="&amp;$A632,'data (1)'!$A:$A,"="&amp;вариация!F$2)</f>
        <v>0</v>
      </c>
      <c r="G632">
        <f>SUMIFS('data (1)'!$M:$M,'data (1)'!$J:$J,"="&amp;$A632,'data (1)'!$A:$A,"="&amp;вариация!G$2)</f>
        <v>0</v>
      </c>
      <c r="H632" t="str">
        <f t="shared" si="19"/>
        <v>No</v>
      </c>
    </row>
    <row r="633" spans="1:8" x14ac:dyDescent="0.25">
      <c r="A633" s="7" t="s">
        <v>767</v>
      </c>
      <c r="B633" s="25">
        <f t="shared" si="18"/>
        <v>1.0458250331675945</v>
      </c>
      <c r="C633">
        <f>SUMIFS('data (1)'!$M:$M,'data (1)'!$J:$J,"="&amp;$A633,'data (1)'!$A:$A,"="&amp;вариация!C$2)</f>
        <v>0</v>
      </c>
      <c r="D633">
        <f>SUMIFS('data (1)'!$M:$M,'data (1)'!$J:$J,"="&amp;$A633,'data (1)'!$A:$A,"="&amp;вариация!D$2)</f>
        <v>0</v>
      </c>
      <c r="E633">
        <f>SUMIFS('data (1)'!$M:$M,'data (1)'!$J:$J,"="&amp;$A633,'data (1)'!$A:$A,"="&amp;вариация!E$2)</f>
        <v>2</v>
      </c>
      <c r="F633">
        <f>SUMIFS('data (1)'!$M:$M,'data (1)'!$J:$J,"="&amp;$A633,'data (1)'!$A:$A,"="&amp;вариация!F$2)</f>
        <v>1</v>
      </c>
      <c r="G633">
        <f>SUMIFS('data (1)'!$M:$M,'data (1)'!$J:$J,"="&amp;$A633,'data (1)'!$A:$A,"="&amp;вариация!G$2)</f>
        <v>1</v>
      </c>
      <c r="H633" t="str">
        <f t="shared" si="19"/>
        <v>Yes</v>
      </c>
    </row>
    <row r="634" spans="1:8" x14ac:dyDescent="0.25">
      <c r="A634" s="7" t="s">
        <v>370</v>
      </c>
      <c r="B634" s="25">
        <f t="shared" si="18"/>
        <v>2.2360679774997894</v>
      </c>
      <c r="C634">
        <f>SUMIFS('data (1)'!$M:$M,'data (1)'!$J:$J,"="&amp;$A634,'data (1)'!$A:$A,"="&amp;вариация!C$2)</f>
        <v>1</v>
      </c>
      <c r="D634">
        <f>SUMIFS('data (1)'!$M:$M,'data (1)'!$J:$J,"="&amp;$A634,'data (1)'!$A:$A,"="&amp;вариация!D$2)</f>
        <v>0</v>
      </c>
      <c r="E634">
        <f>SUMIFS('data (1)'!$M:$M,'data (1)'!$J:$J,"="&amp;$A634,'data (1)'!$A:$A,"="&amp;вариация!E$2)</f>
        <v>0</v>
      </c>
      <c r="F634">
        <f>SUMIFS('data (1)'!$M:$M,'data (1)'!$J:$J,"="&amp;$A634,'data (1)'!$A:$A,"="&amp;вариация!F$2)</f>
        <v>0</v>
      </c>
      <c r="G634">
        <f>SUMIFS('data (1)'!$M:$M,'data (1)'!$J:$J,"="&amp;$A634,'data (1)'!$A:$A,"="&amp;вариация!G$2)</f>
        <v>0</v>
      </c>
      <c r="H634" t="str">
        <f t="shared" si="19"/>
        <v>No</v>
      </c>
    </row>
    <row r="635" spans="1:8" x14ac:dyDescent="0.25">
      <c r="A635" s="7" t="s">
        <v>359</v>
      </c>
      <c r="B635" s="25">
        <f t="shared" si="18"/>
        <v>2.2360679774997894</v>
      </c>
      <c r="C635">
        <f>SUMIFS('data (1)'!$M:$M,'data (1)'!$J:$J,"="&amp;$A635,'data (1)'!$A:$A,"="&amp;вариация!C$2)</f>
        <v>2</v>
      </c>
      <c r="D635">
        <f>SUMIFS('data (1)'!$M:$M,'data (1)'!$J:$J,"="&amp;$A635,'data (1)'!$A:$A,"="&amp;вариация!D$2)</f>
        <v>0</v>
      </c>
      <c r="E635">
        <f>SUMIFS('data (1)'!$M:$M,'data (1)'!$J:$J,"="&amp;$A635,'data (1)'!$A:$A,"="&amp;вариация!E$2)</f>
        <v>0</v>
      </c>
      <c r="F635">
        <f>SUMIFS('data (1)'!$M:$M,'data (1)'!$J:$J,"="&amp;$A635,'data (1)'!$A:$A,"="&amp;вариация!F$2)</f>
        <v>0</v>
      </c>
      <c r="G635">
        <f>SUMIFS('data (1)'!$M:$M,'data (1)'!$J:$J,"="&amp;$A635,'data (1)'!$A:$A,"="&amp;вариация!G$2)</f>
        <v>0</v>
      </c>
      <c r="H635" t="str">
        <f t="shared" si="19"/>
        <v>No</v>
      </c>
    </row>
    <row r="636" spans="1:8" x14ac:dyDescent="0.25">
      <c r="A636" s="7" t="s">
        <v>361</v>
      </c>
      <c r="B636" s="25">
        <f t="shared" si="18"/>
        <v>2.2360679774997894</v>
      </c>
      <c r="C636">
        <f>SUMIFS('data (1)'!$M:$M,'data (1)'!$J:$J,"="&amp;$A636,'data (1)'!$A:$A,"="&amp;вариация!C$2)</f>
        <v>1</v>
      </c>
      <c r="D636">
        <f>SUMIFS('data (1)'!$M:$M,'data (1)'!$J:$J,"="&amp;$A636,'data (1)'!$A:$A,"="&amp;вариация!D$2)</f>
        <v>0</v>
      </c>
      <c r="E636">
        <f>SUMIFS('data (1)'!$M:$M,'data (1)'!$J:$J,"="&amp;$A636,'data (1)'!$A:$A,"="&amp;вариация!E$2)</f>
        <v>0</v>
      </c>
      <c r="F636">
        <f>SUMIFS('data (1)'!$M:$M,'data (1)'!$J:$J,"="&amp;$A636,'data (1)'!$A:$A,"="&amp;вариация!F$2)</f>
        <v>0</v>
      </c>
      <c r="G636">
        <f>SUMIFS('data (1)'!$M:$M,'data (1)'!$J:$J,"="&amp;$A636,'data (1)'!$A:$A,"="&amp;вариация!G$2)</f>
        <v>0</v>
      </c>
      <c r="H636" t="str">
        <f t="shared" si="19"/>
        <v>No</v>
      </c>
    </row>
    <row r="637" spans="1:8" x14ac:dyDescent="0.25">
      <c r="A637" s="7" t="s">
        <v>866</v>
      </c>
      <c r="B637" s="25">
        <f t="shared" si="18"/>
        <v>1.4142135623730951</v>
      </c>
      <c r="C637">
        <f>SUMIFS('data (1)'!$M:$M,'data (1)'!$J:$J,"="&amp;$A637,'data (1)'!$A:$A,"="&amp;вариация!C$2)</f>
        <v>0</v>
      </c>
      <c r="D637">
        <f>SUMIFS('data (1)'!$M:$M,'data (1)'!$J:$J,"="&amp;$A637,'data (1)'!$A:$A,"="&amp;вариация!D$2)</f>
        <v>0</v>
      </c>
      <c r="E637">
        <f>SUMIFS('data (1)'!$M:$M,'data (1)'!$J:$J,"="&amp;$A637,'data (1)'!$A:$A,"="&amp;вариация!E$2)</f>
        <v>3</v>
      </c>
      <c r="F637">
        <f>SUMIFS('data (1)'!$M:$M,'data (1)'!$J:$J,"="&amp;$A637,'data (1)'!$A:$A,"="&amp;вариация!F$2)</f>
        <v>0</v>
      </c>
      <c r="G637">
        <f>SUMIFS('data (1)'!$M:$M,'data (1)'!$J:$J,"="&amp;$A637,'data (1)'!$A:$A,"="&amp;вариация!G$2)</f>
        <v>2</v>
      </c>
      <c r="H637" t="str">
        <f t="shared" si="19"/>
        <v>No</v>
      </c>
    </row>
    <row r="638" spans="1:8" x14ac:dyDescent="0.25">
      <c r="A638" s="7" t="s">
        <v>1074</v>
      </c>
      <c r="B638" s="25">
        <f t="shared" si="18"/>
        <v>2.2360679774997898</v>
      </c>
      <c r="C638">
        <f>SUMIFS('data (1)'!$M:$M,'data (1)'!$J:$J,"="&amp;$A638,'data (1)'!$A:$A,"="&amp;вариация!C$2)</f>
        <v>0</v>
      </c>
      <c r="D638">
        <f>SUMIFS('data (1)'!$M:$M,'data (1)'!$J:$J,"="&amp;$A638,'data (1)'!$A:$A,"="&amp;вариация!D$2)</f>
        <v>0</v>
      </c>
      <c r="E638">
        <f>SUMIFS('data (1)'!$M:$M,'data (1)'!$J:$J,"="&amp;$A638,'data (1)'!$A:$A,"="&amp;вариация!E$2)</f>
        <v>0</v>
      </c>
      <c r="F638">
        <f>SUMIFS('data (1)'!$M:$M,'data (1)'!$J:$J,"="&amp;$A638,'data (1)'!$A:$A,"="&amp;вариация!F$2)</f>
        <v>3</v>
      </c>
      <c r="G638">
        <f>SUMIFS('data (1)'!$M:$M,'data (1)'!$J:$J,"="&amp;$A638,'data (1)'!$A:$A,"="&amp;вариация!G$2)</f>
        <v>0</v>
      </c>
      <c r="H638" t="str">
        <f t="shared" si="19"/>
        <v>No</v>
      </c>
    </row>
    <row r="639" spans="1:8" x14ac:dyDescent="0.25">
      <c r="A639" s="7" t="s">
        <v>1225</v>
      </c>
      <c r="B639" s="25">
        <f t="shared" si="18"/>
        <v>2.2360679774997894</v>
      </c>
      <c r="C639">
        <f>SUMIFS('data (1)'!$M:$M,'data (1)'!$J:$J,"="&amp;$A639,'data (1)'!$A:$A,"="&amp;вариация!C$2)</f>
        <v>0</v>
      </c>
      <c r="D639">
        <f>SUMIFS('data (1)'!$M:$M,'data (1)'!$J:$J,"="&amp;$A639,'data (1)'!$A:$A,"="&amp;вариация!D$2)</f>
        <v>0</v>
      </c>
      <c r="E639">
        <f>SUMIFS('data (1)'!$M:$M,'data (1)'!$J:$J,"="&amp;$A639,'data (1)'!$A:$A,"="&amp;вариация!E$2)</f>
        <v>0</v>
      </c>
      <c r="F639">
        <f>SUMIFS('data (1)'!$M:$M,'data (1)'!$J:$J,"="&amp;$A639,'data (1)'!$A:$A,"="&amp;вариация!F$2)</f>
        <v>0</v>
      </c>
      <c r="G639">
        <f>SUMIFS('data (1)'!$M:$M,'data (1)'!$J:$J,"="&amp;$A639,'data (1)'!$A:$A,"="&amp;вариация!G$2)</f>
        <v>1</v>
      </c>
      <c r="H639" t="str">
        <f t="shared" si="19"/>
        <v>No</v>
      </c>
    </row>
    <row r="640" spans="1:8" x14ac:dyDescent="0.25">
      <c r="A640" s="7" t="s">
        <v>980</v>
      </c>
      <c r="B640" s="25">
        <f t="shared" si="18"/>
        <v>2.2360679774997894</v>
      </c>
      <c r="C640">
        <f>SUMIFS('data (1)'!$M:$M,'data (1)'!$J:$J,"="&amp;$A640,'data (1)'!$A:$A,"="&amp;вариация!C$2)</f>
        <v>0</v>
      </c>
      <c r="D640">
        <f>SUMIFS('data (1)'!$M:$M,'data (1)'!$J:$J,"="&amp;$A640,'data (1)'!$A:$A,"="&amp;вариация!D$2)</f>
        <v>0</v>
      </c>
      <c r="E640">
        <f>SUMIFS('data (1)'!$M:$M,'data (1)'!$J:$J,"="&amp;$A640,'data (1)'!$A:$A,"="&amp;вариация!E$2)</f>
        <v>0</v>
      </c>
      <c r="F640">
        <f>SUMIFS('data (1)'!$M:$M,'data (1)'!$J:$J,"="&amp;$A640,'data (1)'!$A:$A,"="&amp;вариация!F$2)</f>
        <v>1</v>
      </c>
      <c r="G640">
        <f>SUMIFS('data (1)'!$M:$M,'data (1)'!$J:$J,"="&amp;$A640,'data (1)'!$A:$A,"="&amp;вариация!G$2)</f>
        <v>0</v>
      </c>
      <c r="H640" t="str">
        <f t="shared" si="19"/>
        <v>No</v>
      </c>
    </row>
    <row r="641" spans="1:8" x14ac:dyDescent="0.25">
      <c r="A641" s="7" t="s">
        <v>1196</v>
      </c>
      <c r="B641" s="25">
        <f t="shared" si="18"/>
        <v>2.2360679774997894</v>
      </c>
      <c r="C641">
        <f>SUMIFS('data (1)'!$M:$M,'data (1)'!$J:$J,"="&amp;$A641,'data (1)'!$A:$A,"="&amp;вариация!C$2)</f>
        <v>0</v>
      </c>
      <c r="D641">
        <f>SUMIFS('data (1)'!$M:$M,'data (1)'!$J:$J,"="&amp;$A641,'data (1)'!$A:$A,"="&amp;вариация!D$2)</f>
        <v>0</v>
      </c>
      <c r="E641">
        <f>SUMIFS('data (1)'!$M:$M,'data (1)'!$J:$J,"="&amp;$A641,'data (1)'!$A:$A,"="&amp;вариация!E$2)</f>
        <v>0</v>
      </c>
      <c r="F641">
        <f>SUMIFS('data (1)'!$M:$M,'data (1)'!$J:$J,"="&amp;$A641,'data (1)'!$A:$A,"="&amp;вариация!F$2)</f>
        <v>0</v>
      </c>
      <c r="G641">
        <f>SUMIFS('data (1)'!$M:$M,'data (1)'!$J:$J,"="&amp;$A641,'data (1)'!$A:$A,"="&amp;вариация!G$2)</f>
        <v>1</v>
      </c>
      <c r="H641" t="str">
        <f t="shared" si="19"/>
        <v>No</v>
      </c>
    </row>
    <row r="642" spans="1:8" x14ac:dyDescent="0.25">
      <c r="A642" s="7" t="s">
        <v>798</v>
      </c>
      <c r="B642" s="25">
        <f t="shared" si="18"/>
        <v>2.2360679774997894</v>
      </c>
      <c r="C642">
        <f>SUMIFS('data (1)'!$M:$M,'data (1)'!$J:$J,"="&amp;$A642,'data (1)'!$A:$A,"="&amp;вариация!C$2)</f>
        <v>0</v>
      </c>
      <c r="D642">
        <f>SUMIFS('data (1)'!$M:$M,'data (1)'!$J:$J,"="&amp;$A642,'data (1)'!$A:$A,"="&amp;вариация!D$2)</f>
        <v>0</v>
      </c>
      <c r="E642">
        <f>SUMIFS('data (1)'!$M:$M,'data (1)'!$J:$J,"="&amp;$A642,'data (1)'!$A:$A,"="&amp;вариация!E$2)</f>
        <v>1</v>
      </c>
      <c r="F642">
        <f>SUMIFS('data (1)'!$M:$M,'data (1)'!$J:$J,"="&amp;$A642,'data (1)'!$A:$A,"="&amp;вариация!F$2)</f>
        <v>0</v>
      </c>
      <c r="G642">
        <f>SUMIFS('data (1)'!$M:$M,'data (1)'!$J:$J,"="&amp;$A642,'data (1)'!$A:$A,"="&amp;вариация!G$2)</f>
        <v>0</v>
      </c>
      <c r="H642" t="str">
        <f t="shared" si="19"/>
        <v>No</v>
      </c>
    </row>
    <row r="643" spans="1:8" x14ac:dyDescent="0.25">
      <c r="A643" s="7" t="s">
        <v>160</v>
      </c>
      <c r="B643" s="25">
        <f t="shared" si="18"/>
        <v>1.3693063937629151</v>
      </c>
      <c r="C643">
        <f>SUMIFS('data (1)'!$M:$M,'data (1)'!$J:$J,"="&amp;$A643,'data (1)'!$A:$A,"="&amp;вариация!C$2)</f>
        <v>2</v>
      </c>
      <c r="D643">
        <f>SUMIFS('data (1)'!$M:$M,'data (1)'!$J:$J,"="&amp;$A643,'data (1)'!$A:$A,"="&amp;вариация!D$2)</f>
        <v>0</v>
      </c>
      <c r="E643">
        <f>SUMIFS('data (1)'!$M:$M,'data (1)'!$J:$J,"="&amp;$A643,'data (1)'!$A:$A,"="&amp;вариация!E$2)</f>
        <v>2</v>
      </c>
      <c r="F643">
        <f>SUMIFS('data (1)'!$M:$M,'data (1)'!$J:$J,"="&amp;$A643,'data (1)'!$A:$A,"="&amp;вариация!F$2)</f>
        <v>0</v>
      </c>
      <c r="G643">
        <f>SUMIFS('data (1)'!$M:$M,'data (1)'!$J:$J,"="&amp;$A643,'data (1)'!$A:$A,"="&amp;вариация!G$2)</f>
        <v>0</v>
      </c>
      <c r="H643" t="str">
        <f t="shared" si="19"/>
        <v>No</v>
      </c>
    </row>
    <row r="644" spans="1:8" x14ac:dyDescent="0.25">
      <c r="A644" s="7" t="s">
        <v>845</v>
      </c>
      <c r="B644" s="25">
        <f t="shared" ref="B644:B707" si="20">_xlfn.STDEV.S(C644:G644)/AVERAGE(C644:G644)</f>
        <v>1.3693063937629151</v>
      </c>
      <c r="C644">
        <f>SUMIFS('data (1)'!$M:$M,'data (1)'!$J:$J,"="&amp;$A644,'data (1)'!$A:$A,"="&amp;вариация!C$2)</f>
        <v>0</v>
      </c>
      <c r="D644">
        <f>SUMIFS('data (1)'!$M:$M,'data (1)'!$J:$J,"="&amp;$A644,'data (1)'!$A:$A,"="&amp;вариация!D$2)</f>
        <v>0</v>
      </c>
      <c r="E644">
        <f>SUMIFS('data (1)'!$M:$M,'data (1)'!$J:$J,"="&amp;$A644,'data (1)'!$A:$A,"="&amp;вариация!E$2)</f>
        <v>1</v>
      </c>
      <c r="F644">
        <f>SUMIFS('data (1)'!$M:$M,'data (1)'!$J:$J,"="&amp;$A644,'data (1)'!$A:$A,"="&amp;вариация!F$2)</f>
        <v>0</v>
      </c>
      <c r="G644">
        <f>SUMIFS('data (1)'!$M:$M,'data (1)'!$J:$J,"="&amp;$A644,'data (1)'!$A:$A,"="&amp;вариация!G$2)</f>
        <v>1</v>
      </c>
      <c r="H644" t="str">
        <f t="shared" ref="H644:H707" si="21">IF(COUNTIF(C644:G644,"&gt;0") &gt;=3, "Yes", "No")</f>
        <v>No</v>
      </c>
    </row>
    <row r="645" spans="1:8" x14ac:dyDescent="0.25">
      <c r="A645" s="7" t="s">
        <v>219</v>
      </c>
      <c r="B645" s="25">
        <f t="shared" si="20"/>
        <v>2.2360679774997894</v>
      </c>
      <c r="C645">
        <f>SUMIFS('data (1)'!$M:$M,'data (1)'!$J:$J,"="&amp;$A645,'data (1)'!$A:$A,"="&amp;вариация!C$2)</f>
        <v>1</v>
      </c>
      <c r="D645">
        <f>SUMIFS('data (1)'!$M:$M,'data (1)'!$J:$J,"="&amp;$A645,'data (1)'!$A:$A,"="&amp;вариация!D$2)</f>
        <v>0</v>
      </c>
      <c r="E645">
        <f>SUMIFS('data (1)'!$M:$M,'data (1)'!$J:$J,"="&amp;$A645,'data (1)'!$A:$A,"="&amp;вариация!E$2)</f>
        <v>0</v>
      </c>
      <c r="F645">
        <f>SUMIFS('data (1)'!$M:$M,'data (1)'!$J:$J,"="&amp;$A645,'data (1)'!$A:$A,"="&amp;вариация!F$2)</f>
        <v>0</v>
      </c>
      <c r="G645">
        <f>SUMIFS('data (1)'!$M:$M,'data (1)'!$J:$J,"="&amp;$A645,'data (1)'!$A:$A,"="&amp;вариация!G$2)</f>
        <v>0</v>
      </c>
      <c r="H645" t="str">
        <f t="shared" si="21"/>
        <v>No</v>
      </c>
    </row>
    <row r="646" spans="1:8" x14ac:dyDescent="0.25">
      <c r="A646" s="7" t="s">
        <v>293</v>
      </c>
      <c r="B646" s="25">
        <f t="shared" si="20"/>
        <v>0.91287092917527679</v>
      </c>
      <c r="C646">
        <f>SUMIFS('data (1)'!$M:$M,'data (1)'!$J:$J,"="&amp;$A646,'data (1)'!$A:$A,"="&amp;вариация!C$2)</f>
        <v>1</v>
      </c>
      <c r="D646">
        <f>SUMIFS('data (1)'!$M:$M,'data (1)'!$J:$J,"="&amp;$A646,'data (1)'!$A:$A,"="&amp;вариация!D$2)</f>
        <v>1</v>
      </c>
      <c r="E646">
        <f>SUMIFS('data (1)'!$M:$M,'data (1)'!$J:$J,"="&amp;$A646,'data (1)'!$A:$A,"="&amp;вариация!E$2)</f>
        <v>0</v>
      </c>
      <c r="F646">
        <f>SUMIFS('data (1)'!$M:$M,'data (1)'!$J:$J,"="&amp;$A646,'data (1)'!$A:$A,"="&amp;вариация!F$2)</f>
        <v>1</v>
      </c>
      <c r="G646">
        <f>SUMIFS('data (1)'!$M:$M,'data (1)'!$J:$J,"="&amp;$A646,'data (1)'!$A:$A,"="&amp;вариация!G$2)</f>
        <v>0</v>
      </c>
      <c r="H646" t="str">
        <f t="shared" si="21"/>
        <v>Yes</v>
      </c>
    </row>
    <row r="647" spans="1:8" x14ac:dyDescent="0.25">
      <c r="A647" s="7" t="s">
        <v>790</v>
      </c>
      <c r="B647" s="25">
        <f t="shared" si="20"/>
        <v>2.2360679774997894</v>
      </c>
      <c r="C647">
        <f>SUMIFS('data (1)'!$M:$M,'data (1)'!$J:$J,"="&amp;$A647,'data (1)'!$A:$A,"="&amp;вариация!C$2)</f>
        <v>0</v>
      </c>
      <c r="D647">
        <f>SUMIFS('data (1)'!$M:$M,'data (1)'!$J:$J,"="&amp;$A647,'data (1)'!$A:$A,"="&amp;вариация!D$2)</f>
        <v>0</v>
      </c>
      <c r="E647">
        <f>SUMIFS('data (1)'!$M:$M,'data (1)'!$J:$J,"="&amp;$A647,'data (1)'!$A:$A,"="&amp;вариация!E$2)</f>
        <v>1</v>
      </c>
      <c r="F647">
        <f>SUMIFS('data (1)'!$M:$M,'data (1)'!$J:$J,"="&amp;$A647,'data (1)'!$A:$A,"="&amp;вариация!F$2)</f>
        <v>0</v>
      </c>
      <c r="G647">
        <f>SUMIFS('data (1)'!$M:$M,'data (1)'!$J:$J,"="&amp;$A647,'data (1)'!$A:$A,"="&amp;вариация!G$2)</f>
        <v>0</v>
      </c>
      <c r="H647" t="str">
        <f t="shared" si="21"/>
        <v>No</v>
      </c>
    </row>
    <row r="648" spans="1:8" x14ac:dyDescent="0.25">
      <c r="A648" s="7" t="s">
        <v>1026</v>
      </c>
      <c r="B648" s="25">
        <f t="shared" si="20"/>
        <v>2.2360679774997894</v>
      </c>
      <c r="C648">
        <f>SUMIFS('data (1)'!$M:$M,'data (1)'!$J:$J,"="&amp;$A648,'data (1)'!$A:$A,"="&amp;вариация!C$2)</f>
        <v>0</v>
      </c>
      <c r="D648">
        <f>SUMIFS('data (1)'!$M:$M,'data (1)'!$J:$J,"="&amp;$A648,'data (1)'!$A:$A,"="&amp;вариация!D$2)</f>
        <v>0</v>
      </c>
      <c r="E648">
        <f>SUMIFS('data (1)'!$M:$M,'data (1)'!$J:$J,"="&amp;$A648,'data (1)'!$A:$A,"="&amp;вариация!E$2)</f>
        <v>0</v>
      </c>
      <c r="F648">
        <f>SUMIFS('data (1)'!$M:$M,'data (1)'!$J:$J,"="&amp;$A648,'data (1)'!$A:$A,"="&amp;вариация!F$2)</f>
        <v>1</v>
      </c>
      <c r="G648">
        <f>SUMIFS('data (1)'!$M:$M,'data (1)'!$J:$J,"="&amp;$A648,'data (1)'!$A:$A,"="&amp;вариация!G$2)</f>
        <v>0</v>
      </c>
      <c r="H648" t="str">
        <f t="shared" si="21"/>
        <v>No</v>
      </c>
    </row>
    <row r="649" spans="1:8" x14ac:dyDescent="0.25">
      <c r="A649" s="7" t="s">
        <v>973</v>
      </c>
      <c r="B649" s="25">
        <f t="shared" si="20"/>
        <v>2.2360679774997898</v>
      </c>
      <c r="C649">
        <f>SUMIFS('data (1)'!$M:$M,'data (1)'!$J:$J,"="&amp;$A649,'data (1)'!$A:$A,"="&amp;вариация!C$2)</f>
        <v>0</v>
      </c>
      <c r="D649">
        <f>SUMIFS('data (1)'!$M:$M,'data (1)'!$J:$J,"="&amp;$A649,'data (1)'!$A:$A,"="&amp;вариация!D$2)</f>
        <v>0</v>
      </c>
      <c r="E649">
        <f>SUMIFS('data (1)'!$M:$M,'data (1)'!$J:$J,"="&amp;$A649,'data (1)'!$A:$A,"="&amp;вариация!E$2)</f>
        <v>0</v>
      </c>
      <c r="F649">
        <f>SUMIFS('data (1)'!$M:$M,'data (1)'!$J:$J,"="&amp;$A649,'data (1)'!$A:$A,"="&amp;вариация!F$2)</f>
        <v>0.2</v>
      </c>
      <c r="G649">
        <f>SUMIFS('data (1)'!$M:$M,'data (1)'!$J:$J,"="&amp;$A649,'data (1)'!$A:$A,"="&amp;вариация!G$2)</f>
        <v>0</v>
      </c>
      <c r="H649" t="str">
        <f t="shared" si="21"/>
        <v>No</v>
      </c>
    </row>
    <row r="650" spans="1:8" x14ac:dyDescent="0.25">
      <c r="A650" s="7" t="s">
        <v>562</v>
      </c>
      <c r="B650" s="25">
        <f t="shared" si="20"/>
        <v>2.2360679774997894</v>
      </c>
      <c r="C650">
        <f>SUMIFS('data (1)'!$M:$M,'data (1)'!$J:$J,"="&amp;$A650,'data (1)'!$A:$A,"="&amp;вариация!C$2)</f>
        <v>0</v>
      </c>
      <c r="D650">
        <f>SUMIFS('data (1)'!$M:$M,'data (1)'!$J:$J,"="&amp;$A650,'data (1)'!$A:$A,"="&amp;вариация!D$2)</f>
        <v>1</v>
      </c>
      <c r="E650">
        <f>SUMIFS('data (1)'!$M:$M,'data (1)'!$J:$J,"="&amp;$A650,'data (1)'!$A:$A,"="&amp;вариация!E$2)</f>
        <v>0</v>
      </c>
      <c r="F650">
        <f>SUMIFS('data (1)'!$M:$M,'data (1)'!$J:$J,"="&amp;$A650,'data (1)'!$A:$A,"="&amp;вариация!F$2)</f>
        <v>0</v>
      </c>
      <c r="G650">
        <f>SUMIFS('data (1)'!$M:$M,'data (1)'!$J:$J,"="&amp;$A650,'data (1)'!$A:$A,"="&amp;вариация!G$2)</f>
        <v>0</v>
      </c>
      <c r="H650" t="str">
        <f t="shared" si="21"/>
        <v>No</v>
      </c>
    </row>
    <row r="651" spans="1:8" x14ac:dyDescent="0.25">
      <c r="A651" s="7" t="s">
        <v>570</v>
      </c>
      <c r="B651" s="25">
        <f t="shared" si="20"/>
        <v>1.3693063937629151</v>
      </c>
      <c r="C651">
        <f>SUMIFS('data (1)'!$M:$M,'data (1)'!$J:$J,"="&amp;$A651,'data (1)'!$A:$A,"="&amp;вариация!C$2)</f>
        <v>0</v>
      </c>
      <c r="D651">
        <f>SUMIFS('data (1)'!$M:$M,'data (1)'!$J:$J,"="&amp;$A651,'data (1)'!$A:$A,"="&amp;вариация!D$2)</f>
        <v>1</v>
      </c>
      <c r="E651">
        <f>SUMIFS('data (1)'!$M:$M,'data (1)'!$J:$J,"="&amp;$A651,'data (1)'!$A:$A,"="&amp;вариация!E$2)</f>
        <v>0</v>
      </c>
      <c r="F651">
        <f>SUMIFS('data (1)'!$M:$M,'data (1)'!$J:$J,"="&amp;$A651,'data (1)'!$A:$A,"="&amp;вариация!F$2)</f>
        <v>0</v>
      </c>
      <c r="G651">
        <f>SUMIFS('data (1)'!$M:$M,'data (1)'!$J:$J,"="&amp;$A651,'data (1)'!$A:$A,"="&amp;вариация!G$2)</f>
        <v>1</v>
      </c>
      <c r="H651" t="str">
        <f t="shared" si="21"/>
        <v>No</v>
      </c>
    </row>
    <row r="652" spans="1:8" x14ac:dyDescent="0.25">
      <c r="A652" s="7" t="s">
        <v>574</v>
      </c>
      <c r="B652" s="25">
        <f t="shared" si="20"/>
        <v>1.4907119849998598</v>
      </c>
      <c r="C652">
        <f>SUMIFS('data (1)'!$M:$M,'data (1)'!$J:$J,"="&amp;$A652,'data (1)'!$A:$A,"="&amp;вариация!C$2)</f>
        <v>0</v>
      </c>
      <c r="D652">
        <f>SUMIFS('data (1)'!$M:$M,'data (1)'!$J:$J,"="&amp;$A652,'data (1)'!$A:$A,"="&amp;вариация!D$2)</f>
        <v>1</v>
      </c>
      <c r="E652">
        <f>SUMIFS('data (1)'!$M:$M,'data (1)'!$J:$J,"="&amp;$A652,'data (1)'!$A:$A,"="&amp;вариация!E$2)</f>
        <v>2</v>
      </c>
      <c r="F652">
        <f>SUMIFS('data (1)'!$M:$M,'data (1)'!$J:$J,"="&amp;$A652,'data (1)'!$A:$A,"="&amp;вариация!F$2)</f>
        <v>0</v>
      </c>
      <c r="G652">
        <f>SUMIFS('data (1)'!$M:$M,'data (1)'!$J:$J,"="&amp;$A652,'data (1)'!$A:$A,"="&amp;вариация!G$2)</f>
        <v>0</v>
      </c>
      <c r="H652" t="str">
        <f t="shared" si="21"/>
        <v>No</v>
      </c>
    </row>
    <row r="653" spans="1:8" x14ac:dyDescent="0.25">
      <c r="A653" s="7" t="s">
        <v>105</v>
      </c>
      <c r="B653" s="25">
        <f t="shared" si="20"/>
        <v>2.2360679774997894</v>
      </c>
      <c r="C653">
        <f>SUMIFS('data (1)'!$M:$M,'data (1)'!$J:$J,"="&amp;$A653,'data (1)'!$A:$A,"="&amp;вариация!C$2)</f>
        <v>1</v>
      </c>
      <c r="D653">
        <f>SUMIFS('data (1)'!$M:$M,'data (1)'!$J:$J,"="&amp;$A653,'data (1)'!$A:$A,"="&amp;вариация!D$2)</f>
        <v>0</v>
      </c>
      <c r="E653">
        <f>SUMIFS('data (1)'!$M:$M,'data (1)'!$J:$J,"="&amp;$A653,'data (1)'!$A:$A,"="&amp;вариация!E$2)</f>
        <v>0</v>
      </c>
      <c r="F653">
        <f>SUMIFS('data (1)'!$M:$M,'data (1)'!$J:$J,"="&amp;$A653,'data (1)'!$A:$A,"="&amp;вариация!F$2)</f>
        <v>0</v>
      </c>
      <c r="G653">
        <f>SUMIFS('data (1)'!$M:$M,'data (1)'!$J:$J,"="&amp;$A653,'data (1)'!$A:$A,"="&amp;вариация!G$2)</f>
        <v>0</v>
      </c>
      <c r="H653" t="str">
        <f t="shared" si="21"/>
        <v>No</v>
      </c>
    </row>
    <row r="654" spans="1:8" x14ac:dyDescent="0.25">
      <c r="A654" s="7" t="s">
        <v>571</v>
      </c>
      <c r="B654" s="25">
        <f t="shared" si="20"/>
        <v>0.91287092917527679</v>
      </c>
      <c r="C654">
        <f>SUMIFS('data (1)'!$M:$M,'data (1)'!$J:$J,"="&amp;$A654,'data (1)'!$A:$A,"="&amp;вариация!C$2)</f>
        <v>0</v>
      </c>
      <c r="D654">
        <f>SUMIFS('data (1)'!$M:$M,'data (1)'!$J:$J,"="&amp;$A654,'data (1)'!$A:$A,"="&amp;вариация!D$2)</f>
        <v>1</v>
      </c>
      <c r="E654">
        <f>SUMIFS('data (1)'!$M:$M,'data (1)'!$J:$J,"="&amp;$A654,'data (1)'!$A:$A,"="&amp;вариация!E$2)</f>
        <v>1</v>
      </c>
      <c r="F654">
        <f>SUMIFS('data (1)'!$M:$M,'data (1)'!$J:$J,"="&amp;$A654,'data (1)'!$A:$A,"="&amp;вариация!F$2)</f>
        <v>1</v>
      </c>
      <c r="G654">
        <f>SUMIFS('data (1)'!$M:$M,'data (1)'!$J:$J,"="&amp;$A654,'data (1)'!$A:$A,"="&amp;вариация!G$2)</f>
        <v>0</v>
      </c>
      <c r="H654" t="str">
        <f t="shared" si="21"/>
        <v>Yes</v>
      </c>
    </row>
    <row r="655" spans="1:8" x14ac:dyDescent="0.25">
      <c r="A655" s="7" t="s">
        <v>1045</v>
      </c>
      <c r="B655" s="25">
        <f t="shared" si="20"/>
        <v>2.2360679774997894</v>
      </c>
      <c r="C655">
        <f>SUMIFS('data (1)'!$M:$M,'data (1)'!$J:$J,"="&amp;$A655,'data (1)'!$A:$A,"="&amp;вариация!C$2)</f>
        <v>0</v>
      </c>
      <c r="D655">
        <f>SUMIFS('data (1)'!$M:$M,'data (1)'!$J:$J,"="&amp;$A655,'data (1)'!$A:$A,"="&amp;вариация!D$2)</f>
        <v>0</v>
      </c>
      <c r="E655">
        <f>SUMIFS('data (1)'!$M:$M,'data (1)'!$J:$J,"="&amp;$A655,'data (1)'!$A:$A,"="&amp;вариация!E$2)</f>
        <v>0</v>
      </c>
      <c r="F655">
        <f>SUMIFS('data (1)'!$M:$M,'data (1)'!$J:$J,"="&amp;$A655,'data (1)'!$A:$A,"="&amp;вариация!F$2)</f>
        <v>1</v>
      </c>
      <c r="G655">
        <f>SUMIFS('data (1)'!$M:$M,'data (1)'!$J:$J,"="&amp;$A655,'data (1)'!$A:$A,"="&amp;вариация!G$2)</f>
        <v>0</v>
      </c>
      <c r="H655" t="str">
        <f t="shared" si="21"/>
        <v>No</v>
      </c>
    </row>
    <row r="656" spans="1:8" x14ac:dyDescent="0.25">
      <c r="A656" s="7" t="s">
        <v>760</v>
      </c>
      <c r="B656" s="25">
        <f t="shared" si="20"/>
        <v>2.2360679774997894</v>
      </c>
      <c r="C656">
        <f>SUMIFS('data (1)'!$M:$M,'data (1)'!$J:$J,"="&amp;$A656,'data (1)'!$A:$A,"="&amp;вариация!C$2)</f>
        <v>0</v>
      </c>
      <c r="D656">
        <f>SUMIFS('data (1)'!$M:$M,'data (1)'!$J:$J,"="&amp;$A656,'data (1)'!$A:$A,"="&amp;вариация!D$2)</f>
        <v>0</v>
      </c>
      <c r="E656">
        <f>SUMIFS('data (1)'!$M:$M,'data (1)'!$J:$J,"="&amp;$A656,'data (1)'!$A:$A,"="&amp;вариация!E$2)</f>
        <v>1</v>
      </c>
      <c r="F656">
        <f>SUMIFS('data (1)'!$M:$M,'data (1)'!$J:$J,"="&amp;$A656,'data (1)'!$A:$A,"="&amp;вариация!F$2)</f>
        <v>0</v>
      </c>
      <c r="G656">
        <f>SUMIFS('data (1)'!$M:$M,'data (1)'!$J:$J,"="&amp;$A656,'data (1)'!$A:$A,"="&amp;вариация!G$2)</f>
        <v>0</v>
      </c>
      <c r="H656" t="str">
        <f t="shared" si="21"/>
        <v>No</v>
      </c>
    </row>
    <row r="657" spans="1:8" x14ac:dyDescent="0.25">
      <c r="A657" s="7" t="s">
        <v>1167</v>
      </c>
      <c r="B657" s="25">
        <f t="shared" si="20"/>
        <v>2.2360679774997894</v>
      </c>
      <c r="C657">
        <f>SUMIFS('data (1)'!$M:$M,'data (1)'!$J:$J,"="&amp;$A657,'data (1)'!$A:$A,"="&amp;вариация!C$2)</f>
        <v>0</v>
      </c>
      <c r="D657">
        <f>SUMIFS('data (1)'!$M:$M,'data (1)'!$J:$J,"="&amp;$A657,'data (1)'!$A:$A,"="&amp;вариация!D$2)</f>
        <v>0</v>
      </c>
      <c r="E657">
        <f>SUMIFS('data (1)'!$M:$M,'data (1)'!$J:$J,"="&amp;$A657,'data (1)'!$A:$A,"="&amp;вариация!E$2)</f>
        <v>0</v>
      </c>
      <c r="F657">
        <f>SUMIFS('data (1)'!$M:$M,'data (1)'!$J:$J,"="&amp;$A657,'data (1)'!$A:$A,"="&amp;вариация!F$2)</f>
        <v>0</v>
      </c>
      <c r="G657">
        <f>SUMIFS('data (1)'!$M:$M,'data (1)'!$J:$J,"="&amp;$A657,'data (1)'!$A:$A,"="&amp;вариация!G$2)</f>
        <v>1</v>
      </c>
      <c r="H657" t="str">
        <f t="shared" si="21"/>
        <v>No</v>
      </c>
    </row>
    <row r="658" spans="1:8" x14ac:dyDescent="0.25">
      <c r="A658" s="7" t="s">
        <v>47</v>
      </c>
      <c r="B658" s="25">
        <f t="shared" si="20"/>
        <v>1.0458250331675945</v>
      </c>
      <c r="C658">
        <f>SUMIFS('data (1)'!$M:$M,'data (1)'!$J:$J,"="&amp;$A658,'data (1)'!$A:$A,"="&amp;вариация!C$2)</f>
        <v>1</v>
      </c>
      <c r="D658">
        <f>SUMIFS('data (1)'!$M:$M,'data (1)'!$J:$J,"="&amp;$A658,'data (1)'!$A:$A,"="&amp;вариация!D$2)</f>
        <v>2</v>
      </c>
      <c r="E658">
        <f>SUMIFS('data (1)'!$M:$M,'data (1)'!$J:$J,"="&amp;$A658,'data (1)'!$A:$A,"="&amp;вариация!E$2)</f>
        <v>0</v>
      </c>
      <c r="F658">
        <f>SUMIFS('data (1)'!$M:$M,'data (1)'!$J:$J,"="&amp;$A658,'data (1)'!$A:$A,"="&amp;вариация!F$2)</f>
        <v>0</v>
      </c>
      <c r="G658">
        <f>SUMIFS('data (1)'!$M:$M,'data (1)'!$J:$J,"="&amp;$A658,'data (1)'!$A:$A,"="&amp;вариация!G$2)</f>
        <v>1</v>
      </c>
      <c r="H658" t="str">
        <f t="shared" si="21"/>
        <v>Yes</v>
      </c>
    </row>
    <row r="659" spans="1:8" x14ac:dyDescent="0.25">
      <c r="A659" s="7" t="s">
        <v>619</v>
      </c>
      <c r="B659" s="25">
        <f t="shared" si="20"/>
        <v>2.2360679774997894</v>
      </c>
      <c r="C659">
        <f>SUMIFS('data (1)'!$M:$M,'data (1)'!$J:$J,"="&amp;$A659,'data (1)'!$A:$A,"="&amp;вариация!C$2)</f>
        <v>0</v>
      </c>
      <c r="D659">
        <f>SUMIFS('data (1)'!$M:$M,'data (1)'!$J:$J,"="&amp;$A659,'data (1)'!$A:$A,"="&amp;вариация!D$2)</f>
        <v>1</v>
      </c>
      <c r="E659">
        <f>SUMIFS('data (1)'!$M:$M,'data (1)'!$J:$J,"="&amp;$A659,'data (1)'!$A:$A,"="&amp;вариация!E$2)</f>
        <v>0</v>
      </c>
      <c r="F659">
        <f>SUMIFS('data (1)'!$M:$M,'data (1)'!$J:$J,"="&amp;$A659,'data (1)'!$A:$A,"="&amp;вариация!F$2)</f>
        <v>0</v>
      </c>
      <c r="G659">
        <f>SUMIFS('data (1)'!$M:$M,'data (1)'!$J:$J,"="&amp;$A659,'data (1)'!$A:$A,"="&amp;вариация!G$2)</f>
        <v>0</v>
      </c>
      <c r="H659" t="str">
        <f t="shared" si="21"/>
        <v>No</v>
      </c>
    </row>
    <row r="660" spans="1:8" x14ac:dyDescent="0.25">
      <c r="A660" s="7" t="s">
        <v>1136</v>
      </c>
      <c r="B660" s="25">
        <f t="shared" si="20"/>
        <v>2.2360679774997894</v>
      </c>
      <c r="C660">
        <f>SUMIFS('data (1)'!$M:$M,'data (1)'!$J:$J,"="&amp;$A660,'data (1)'!$A:$A,"="&amp;вариация!C$2)</f>
        <v>0</v>
      </c>
      <c r="D660">
        <f>SUMIFS('data (1)'!$M:$M,'data (1)'!$J:$J,"="&amp;$A660,'data (1)'!$A:$A,"="&amp;вариация!D$2)</f>
        <v>0</v>
      </c>
      <c r="E660">
        <f>SUMIFS('data (1)'!$M:$M,'data (1)'!$J:$J,"="&amp;$A660,'data (1)'!$A:$A,"="&amp;вариация!E$2)</f>
        <v>0</v>
      </c>
      <c r="F660">
        <f>SUMIFS('data (1)'!$M:$M,'data (1)'!$J:$J,"="&amp;$A660,'data (1)'!$A:$A,"="&amp;вариация!F$2)</f>
        <v>0</v>
      </c>
      <c r="G660">
        <f>SUMIFS('data (1)'!$M:$M,'data (1)'!$J:$J,"="&amp;$A660,'data (1)'!$A:$A,"="&amp;вариация!G$2)</f>
        <v>1</v>
      </c>
      <c r="H660" t="str">
        <f t="shared" si="21"/>
        <v>No</v>
      </c>
    </row>
    <row r="661" spans="1:8" x14ac:dyDescent="0.25">
      <c r="A661" s="7" t="s">
        <v>561</v>
      </c>
      <c r="B661" s="25">
        <f t="shared" si="20"/>
        <v>2.2360679774997894</v>
      </c>
      <c r="C661">
        <f>SUMIFS('data (1)'!$M:$M,'data (1)'!$J:$J,"="&amp;$A661,'data (1)'!$A:$A,"="&amp;вариация!C$2)</f>
        <v>0</v>
      </c>
      <c r="D661">
        <f>SUMIFS('data (1)'!$M:$M,'data (1)'!$J:$J,"="&amp;$A661,'data (1)'!$A:$A,"="&amp;вариация!D$2)</f>
        <v>1</v>
      </c>
      <c r="E661">
        <f>SUMIFS('data (1)'!$M:$M,'data (1)'!$J:$J,"="&amp;$A661,'data (1)'!$A:$A,"="&amp;вариация!E$2)</f>
        <v>0</v>
      </c>
      <c r="F661">
        <f>SUMIFS('data (1)'!$M:$M,'data (1)'!$J:$J,"="&amp;$A661,'data (1)'!$A:$A,"="&amp;вариация!F$2)</f>
        <v>0</v>
      </c>
      <c r="G661">
        <f>SUMIFS('data (1)'!$M:$M,'data (1)'!$J:$J,"="&amp;$A661,'data (1)'!$A:$A,"="&amp;вариация!G$2)</f>
        <v>0</v>
      </c>
      <c r="H661" t="str">
        <f t="shared" si="21"/>
        <v>No</v>
      </c>
    </row>
    <row r="662" spans="1:8" x14ac:dyDescent="0.25">
      <c r="A662" s="7" t="s">
        <v>396</v>
      </c>
      <c r="B662" s="25">
        <f t="shared" si="20"/>
        <v>1.3693063937629151</v>
      </c>
      <c r="C662">
        <f>SUMIFS('data (1)'!$M:$M,'data (1)'!$J:$J,"="&amp;$A662,'data (1)'!$A:$A,"="&amp;вариация!C$2)</f>
        <v>1</v>
      </c>
      <c r="D662">
        <f>SUMIFS('data (1)'!$M:$M,'data (1)'!$J:$J,"="&amp;$A662,'data (1)'!$A:$A,"="&amp;вариация!D$2)</f>
        <v>0</v>
      </c>
      <c r="E662">
        <f>SUMIFS('data (1)'!$M:$M,'data (1)'!$J:$J,"="&amp;$A662,'data (1)'!$A:$A,"="&amp;вариация!E$2)</f>
        <v>0</v>
      </c>
      <c r="F662">
        <f>SUMIFS('data (1)'!$M:$M,'data (1)'!$J:$J,"="&amp;$A662,'data (1)'!$A:$A,"="&amp;вариация!F$2)</f>
        <v>0</v>
      </c>
      <c r="G662">
        <f>SUMIFS('data (1)'!$M:$M,'data (1)'!$J:$J,"="&amp;$A662,'data (1)'!$A:$A,"="&amp;вариация!G$2)</f>
        <v>1</v>
      </c>
      <c r="H662" t="str">
        <f t="shared" si="21"/>
        <v>No</v>
      </c>
    </row>
    <row r="663" spans="1:8" x14ac:dyDescent="0.25">
      <c r="A663" s="7" t="s">
        <v>1139</v>
      </c>
      <c r="B663" s="25">
        <f t="shared" si="20"/>
        <v>2.2360679774997894</v>
      </c>
      <c r="C663">
        <f>SUMIFS('data (1)'!$M:$M,'data (1)'!$J:$J,"="&amp;$A663,'data (1)'!$A:$A,"="&amp;вариация!C$2)</f>
        <v>0</v>
      </c>
      <c r="D663">
        <f>SUMIFS('data (1)'!$M:$M,'data (1)'!$J:$J,"="&amp;$A663,'data (1)'!$A:$A,"="&amp;вариация!D$2)</f>
        <v>0</v>
      </c>
      <c r="E663">
        <f>SUMIFS('data (1)'!$M:$M,'data (1)'!$J:$J,"="&amp;$A663,'data (1)'!$A:$A,"="&amp;вариация!E$2)</f>
        <v>0</v>
      </c>
      <c r="F663">
        <f>SUMIFS('data (1)'!$M:$M,'data (1)'!$J:$J,"="&amp;$A663,'data (1)'!$A:$A,"="&amp;вариация!F$2)</f>
        <v>0</v>
      </c>
      <c r="G663">
        <f>SUMIFS('data (1)'!$M:$M,'data (1)'!$J:$J,"="&amp;$A663,'data (1)'!$A:$A,"="&amp;вариация!G$2)</f>
        <v>1</v>
      </c>
      <c r="H663" t="str">
        <f t="shared" si="21"/>
        <v>No</v>
      </c>
    </row>
    <row r="664" spans="1:8" x14ac:dyDescent="0.25">
      <c r="A664" s="7" t="s">
        <v>1171</v>
      </c>
      <c r="B664" s="25">
        <f t="shared" si="20"/>
        <v>2.2360679774997894</v>
      </c>
      <c r="C664">
        <f>SUMIFS('data (1)'!$M:$M,'data (1)'!$J:$J,"="&amp;$A664,'data (1)'!$A:$A,"="&amp;вариация!C$2)</f>
        <v>0</v>
      </c>
      <c r="D664">
        <f>SUMIFS('data (1)'!$M:$M,'data (1)'!$J:$J,"="&amp;$A664,'data (1)'!$A:$A,"="&amp;вариация!D$2)</f>
        <v>0</v>
      </c>
      <c r="E664">
        <f>SUMIFS('data (1)'!$M:$M,'data (1)'!$J:$J,"="&amp;$A664,'data (1)'!$A:$A,"="&amp;вариация!E$2)</f>
        <v>0</v>
      </c>
      <c r="F664">
        <f>SUMIFS('data (1)'!$M:$M,'data (1)'!$J:$J,"="&amp;$A664,'data (1)'!$A:$A,"="&amp;вариация!F$2)</f>
        <v>0</v>
      </c>
      <c r="G664">
        <f>SUMIFS('data (1)'!$M:$M,'data (1)'!$J:$J,"="&amp;$A664,'data (1)'!$A:$A,"="&amp;вариация!G$2)</f>
        <v>1</v>
      </c>
      <c r="H664" t="str">
        <f t="shared" si="21"/>
        <v>No</v>
      </c>
    </row>
    <row r="665" spans="1:8" x14ac:dyDescent="0.25">
      <c r="A665" s="7" t="s">
        <v>696</v>
      </c>
      <c r="B665" s="25">
        <f t="shared" si="20"/>
        <v>2.2360679774997894</v>
      </c>
      <c r="C665">
        <f>SUMIFS('data (1)'!$M:$M,'data (1)'!$J:$J,"="&amp;$A665,'data (1)'!$A:$A,"="&amp;вариация!C$2)</f>
        <v>0</v>
      </c>
      <c r="D665">
        <f>SUMIFS('data (1)'!$M:$M,'data (1)'!$J:$J,"="&amp;$A665,'data (1)'!$A:$A,"="&amp;вариация!D$2)</f>
        <v>1</v>
      </c>
      <c r="E665">
        <f>SUMIFS('data (1)'!$M:$M,'data (1)'!$J:$J,"="&amp;$A665,'data (1)'!$A:$A,"="&amp;вариация!E$2)</f>
        <v>0</v>
      </c>
      <c r="F665">
        <f>SUMIFS('data (1)'!$M:$M,'data (1)'!$J:$J,"="&amp;$A665,'data (1)'!$A:$A,"="&amp;вариация!F$2)</f>
        <v>0</v>
      </c>
      <c r="G665">
        <f>SUMIFS('data (1)'!$M:$M,'data (1)'!$J:$J,"="&amp;$A665,'data (1)'!$A:$A,"="&amp;вариация!G$2)</f>
        <v>0</v>
      </c>
      <c r="H665" t="str">
        <f t="shared" si="21"/>
        <v>No</v>
      </c>
    </row>
    <row r="666" spans="1:8" x14ac:dyDescent="0.25">
      <c r="A666" s="7" t="s">
        <v>1034</v>
      </c>
      <c r="B666" s="25">
        <f t="shared" si="20"/>
        <v>2.2360679774997894</v>
      </c>
      <c r="C666">
        <f>SUMIFS('data (1)'!$M:$M,'data (1)'!$J:$J,"="&amp;$A666,'data (1)'!$A:$A,"="&amp;вариация!C$2)</f>
        <v>0</v>
      </c>
      <c r="D666">
        <f>SUMIFS('data (1)'!$M:$M,'data (1)'!$J:$J,"="&amp;$A666,'data (1)'!$A:$A,"="&amp;вариация!D$2)</f>
        <v>0</v>
      </c>
      <c r="E666">
        <f>SUMIFS('data (1)'!$M:$M,'data (1)'!$J:$J,"="&amp;$A666,'data (1)'!$A:$A,"="&amp;вариация!E$2)</f>
        <v>0</v>
      </c>
      <c r="F666">
        <f>SUMIFS('data (1)'!$M:$M,'data (1)'!$J:$J,"="&amp;$A666,'data (1)'!$A:$A,"="&amp;вариация!F$2)</f>
        <v>2</v>
      </c>
      <c r="G666">
        <f>SUMIFS('data (1)'!$M:$M,'data (1)'!$J:$J,"="&amp;$A666,'data (1)'!$A:$A,"="&amp;вариация!G$2)</f>
        <v>0</v>
      </c>
      <c r="H666" t="str">
        <f t="shared" si="21"/>
        <v>No</v>
      </c>
    </row>
    <row r="667" spans="1:8" x14ac:dyDescent="0.25">
      <c r="A667" s="7" t="s">
        <v>755</v>
      </c>
      <c r="B667" s="25">
        <f t="shared" si="20"/>
        <v>2.2360679774997894</v>
      </c>
      <c r="C667">
        <f>SUMIFS('data (1)'!$M:$M,'data (1)'!$J:$J,"="&amp;$A667,'data (1)'!$A:$A,"="&amp;вариация!C$2)</f>
        <v>0</v>
      </c>
      <c r="D667">
        <f>SUMIFS('data (1)'!$M:$M,'data (1)'!$J:$J,"="&amp;$A667,'data (1)'!$A:$A,"="&amp;вариация!D$2)</f>
        <v>0</v>
      </c>
      <c r="E667">
        <f>SUMIFS('data (1)'!$M:$M,'data (1)'!$J:$J,"="&amp;$A667,'data (1)'!$A:$A,"="&amp;вариация!E$2)</f>
        <v>2</v>
      </c>
      <c r="F667">
        <f>SUMIFS('data (1)'!$M:$M,'data (1)'!$J:$J,"="&amp;$A667,'data (1)'!$A:$A,"="&amp;вариация!F$2)</f>
        <v>0</v>
      </c>
      <c r="G667">
        <f>SUMIFS('data (1)'!$M:$M,'data (1)'!$J:$J,"="&amp;$A667,'data (1)'!$A:$A,"="&amp;вариация!G$2)</f>
        <v>0</v>
      </c>
      <c r="H667" t="str">
        <f t="shared" si="21"/>
        <v>No</v>
      </c>
    </row>
    <row r="668" spans="1:8" x14ac:dyDescent="0.25">
      <c r="A668" s="7" t="s">
        <v>891</v>
      </c>
      <c r="B668" s="25">
        <f t="shared" si="20"/>
        <v>2.2360679774997894</v>
      </c>
      <c r="C668">
        <f>SUMIFS('data (1)'!$M:$M,'data (1)'!$J:$J,"="&amp;$A668,'data (1)'!$A:$A,"="&amp;вариация!C$2)</f>
        <v>0</v>
      </c>
      <c r="D668">
        <f>SUMIFS('data (1)'!$M:$M,'data (1)'!$J:$J,"="&amp;$A668,'data (1)'!$A:$A,"="&amp;вариация!D$2)</f>
        <v>0</v>
      </c>
      <c r="E668">
        <f>SUMIFS('data (1)'!$M:$M,'data (1)'!$J:$J,"="&amp;$A668,'data (1)'!$A:$A,"="&amp;вариация!E$2)</f>
        <v>1</v>
      </c>
      <c r="F668">
        <f>SUMIFS('data (1)'!$M:$M,'data (1)'!$J:$J,"="&amp;$A668,'data (1)'!$A:$A,"="&amp;вариация!F$2)</f>
        <v>0</v>
      </c>
      <c r="G668">
        <f>SUMIFS('data (1)'!$M:$M,'data (1)'!$J:$J,"="&amp;$A668,'data (1)'!$A:$A,"="&amp;вариация!G$2)</f>
        <v>0</v>
      </c>
      <c r="H668" t="str">
        <f t="shared" si="21"/>
        <v>No</v>
      </c>
    </row>
    <row r="669" spans="1:8" x14ac:dyDescent="0.25">
      <c r="A669" s="7" t="s">
        <v>347</v>
      </c>
      <c r="B669" s="25">
        <f t="shared" si="20"/>
        <v>2.2360679774997894</v>
      </c>
      <c r="C669">
        <f>SUMIFS('data (1)'!$M:$M,'data (1)'!$J:$J,"="&amp;$A669,'data (1)'!$A:$A,"="&amp;вариация!C$2)</f>
        <v>1</v>
      </c>
      <c r="D669">
        <f>SUMIFS('data (1)'!$M:$M,'data (1)'!$J:$J,"="&amp;$A669,'data (1)'!$A:$A,"="&amp;вариация!D$2)</f>
        <v>0</v>
      </c>
      <c r="E669">
        <f>SUMIFS('data (1)'!$M:$M,'data (1)'!$J:$J,"="&amp;$A669,'data (1)'!$A:$A,"="&amp;вариация!E$2)</f>
        <v>0</v>
      </c>
      <c r="F669">
        <f>SUMIFS('data (1)'!$M:$M,'data (1)'!$J:$J,"="&amp;$A669,'data (1)'!$A:$A,"="&amp;вариация!F$2)</f>
        <v>0</v>
      </c>
      <c r="G669">
        <f>SUMIFS('data (1)'!$M:$M,'data (1)'!$J:$J,"="&amp;$A669,'data (1)'!$A:$A,"="&amp;вариация!G$2)</f>
        <v>0</v>
      </c>
      <c r="H669" t="str">
        <f t="shared" si="21"/>
        <v>No</v>
      </c>
    </row>
    <row r="670" spans="1:8" x14ac:dyDescent="0.25">
      <c r="A670" s="7" t="s">
        <v>1091</v>
      </c>
      <c r="B670" s="25">
        <f t="shared" si="20"/>
        <v>2.2360679774997894</v>
      </c>
      <c r="C670">
        <f>SUMIFS('data (1)'!$M:$M,'data (1)'!$J:$J,"="&amp;$A670,'data (1)'!$A:$A,"="&amp;вариация!C$2)</f>
        <v>0</v>
      </c>
      <c r="D670">
        <f>SUMIFS('data (1)'!$M:$M,'data (1)'!$J:$J,"="&amp;$A670,'data (1)'!$A:$A,"="&amp;вариация!D$2)</f>
        <v>0</v>
      </c>
      <c r="E670">
        <f>SUMIFS('data (1)'!$M:$M,'data (1)'!$J:$J,"="&amp;$A670,'data (1)'!$A:$A,"="&amp;вариация!E$2)</f>
        <v>0</v>
      </c>
      <c r="F670">
        <f>SUMIFS('data (1)'!$M:$M,'data (1)'!$J:$J,"="&amp;$A670,'data (1)'!$A:$A,"="&amp;вариация!F$2)</f>
        <v>0</v>
      </c>
      <c r="G670">
        <f>SUMIFS('data (1)'!$M:$M,'data (1)'!$J:$J,"="&amp;$A670,'data (1)'!$A:$A,"="&amp;вариация!G$2)</f>
        <v>1</v>
      </c>
      <c r="H670" t="str">
        <f t="shared" si="21"/>
        <v>No</v>
      </c>
    </row>
    <row r="671" spans="1:8" x14ac:dyDescent="0.25">
      <c r="A671" s="7" t="s">
        <v>667</v>
      </c>
      <c r="B671" s="25">
        <f t="shared" si="20"/>
        <v>1.6298006013006621</v>
      </c>
      <c r="C671">
        <f>SUMIFS('data (1)'!$M:$M,'data (1)'!$J:$J,"="&amp;$A671,'data (1)'!$A:$A,"="&amp;вариация!C$2)</f>
        <v>0</v>
      </c>
      <c r="D671">
        <f>SUMIFS('data (1)'!$M:$M,'data (1)'!$J:$J,"="&amp;$A671,'data (1)'!$A:$A,"="&amp;вариация!D$2)</f>
        <v>1</v>
      </c>
      <c r="E671">
        <f>SUMIFS('data (1)'!$M:$M,'data (1)'!$J:$J,"="&amp;$A671,'data (1)'!$A:$A,"="&amp;вариация!E$2)</f>
        <v>0</v>
      </c>
      <c r="F671">
        <f>SUMIFS('data (1)'!$M:$M,'data (1)'!$J:$J,"="&amp;$A671,'data (1)'!$A:$A,"="&amp;вариация!F$2)</f>
        <v>3</v>
      </c>
      <c r="G671">
        <f>SUMIFS('data (1)'!$M:$M,'data (1)'!$J:$J,"="&amp;$A671,'data (1)'!$A:$A,"="&amp;вариация!G$2)</f>
        <v>0</v>
      </c>
      <c r="H671" t="str">
        <f t="shared" si="21"/>
        <v>No</v>
      </c>
    </row>
    <row r="672" spans="1:8" x14ac:dyDescent="0.25">
      <c r="A672" s="7" t="s">
        <v>1114</v>
      </c>
      <c r="B672" s="25">
        <f t="shared" si="20"/>
        <v>2.2360679774997898</v>
      </c>
      <c r="C672">
        <f>SUMIFS('data (1)'!$M:$M,'data (1)'!$J:$J,"="&amp;$A672,'data (1)'!$A:$A,"="&amp;вариация!C$2)</f>
        <v>0</v>
      </c>
      <c r="D672">
        <f>SUMIFS('data (1)'!$M:$M,'data (1)'!$J:$J,"="&amp;$A672,'data (1)'!$A:$A,"="&amp;вариация!D$2)</f>
        <v>0</v>
      </c>
      <c r="E672">
        <f>SUMIFS('data (1)'!$M:$M,'data (1)'!$J:$J,"="&amp;$A672,'data (1)'!$A:$A,"="&amp;вариация!E$2)</f>
        <v>0</v>
      </c>
      <c r="F672">
        <f>SUMIFS('data (1)'!$M:$M,'data (1)'!$J:$J,"="&amp;$A672,'data (1)'!$A:$A,"="&amp;вариация!F$2)</f>
        <v>0</v>
      </c>
      <c r="G672">
        <f>SUMIFS('data (1)'!$M:$M,'data (1)'!$J:$J,"="&amp;$A672,'data (1)'!$A:$A,"="&amp;вариация!G$2)</f>
        <v>0.05</v>
      </c>
      <c r="H672" t="str">
        <f t="shared" si="21"/>
        <v>No</v>
      </c>
    </row>
    <row r="673" spans="1:8" x14ac:dyDescent="0.25">
      <c r="A673" s="7" t="s">
        <v>803</v>
      </c>
      <c r="B673" s="25">
        <f t="shared" si="20"/>
        <v>2.0422826364993996</v>
      </c>
      <c r="C673">
        <f>SUMIFS('data (1)'!$M:$M,'data (1)'!$J:$J,"="&amp;$A673,'data (1)'!$A:$A,"="&amp;вариация!C$2)</f>
        <v>0</v>
      </c>
      <c r="D673">
        <f>SUMIFS('data (1)'!$M:$M,'data (1)'!$J:$J,"="&amp;$A673,'data (1)'!$A:$A,"="&amp;вариация!D$2)</f>
        <v>0</v>
      </c>
      <c r="E673">
        <f>SUMIFS('data (1)'!$M:$M,'data (1)'!$J:$J,"="&amp;$A673,'data (1)'!$A:$A,"="&amp;вариация!E$2)</f>
        <v>0.01</v>
      </c>
      <c r="F673">
        <f>SUMIFS('data (1)'!$M:$M,'data (1)'!$J:$J,"="&amp;$A673,'data (1)'!$A:$A,"="&amp;вариация!F$2)</f>
        <v>0</v>
      </c>
      <c r="G673">
        <f>SUMIFS('data (1)'!$M:$M,'data (1)'!$J:$J,"="&amp;$A673,'data (1)'!$A:$A,"="&amp;вариация!G$2)</f>
        <v>0.13</v>
      </c>
      <c r="H673" t="str">
        <f t="shared" si="21"/>
        <v>No</v>
      </c>
    </row>
    <row r="674" spans="1:8" x14ac:dyDescent="0.25">
      <c r="A674" s="7" t="s">
        <v>1069</v>
      </c>
      <c r="B674" s="25">
        <f t="shared" si="20"/>
        <v>2.2360679774997898</v>
      </c>
      <c r="C674">
        <f>SUMIFS('data (1)'!$M:$M,'data (1)'!$J:$J,"="&amp;$A674,'data (1)'!$A:$A,"="&amp;вариация!C$2)</f>
        <v>0</v>
      </c>
      <c r="D674">
        <f>SUMIFS('data (1)'!$M:$M,'data (1)'!$J:$J,"="&amp;$A674,'data (1)'!$A:$A,"="&amp;вариация!D$2)</f>
        <v>0</v>
      </c>
      <c r="E674">
        <f>SUMIFS('data (1)'!$M:$M,'data (1)'!$J:$J,"="&amp;$A674,'data (1)'!$A:$A,"="&amp;вариация!E$2)</f>
        <v>0</v>
      </c>
      <c r="F674">
        <f>SUMIFS('data (1)'!$M:$M,'data (1)'!$J:$J,"="&amp;$A674,'data (1)'!$A:$A,"="&amp;вариация!F$2)</f>
        <v>0.05</v>
      </c>
      <c r="G674">
        <f>SUMIFS('data (1)'!$M:$M,'data (1)'!$J:$J,"="&amp;$A674,'data (1)'!$A:$A,"="&amp;вариация!G$2)</f>
        <v>0</v>
      </c>
      <c r="H674" t="str">
        <f t="shared" si="21"/>
        <v>No</v>
      </c>
    </row>
    <row r="675" spans="1:8" x14ac:dyDescent="0.25">
      <c r="A675" s="7" t="s">
        <v>714</v>
      </c>
      <c r="B675" s="25">
        <f t="shared" si="20"/>
        <v>1.3787046261911911</v>
      </c>
      <c r="C675">
        <f>SUMIFS('data (1)'!$M:$M,'data (1)'!$J:$J,"="&amp;$A675,'data (1)'!$A:$A,"="&amp;вариация!C$2)</f>
        <v>0</v>
      </c>
      <c r="D675">
        <f>SUMIFS('data (1)'!$M:$M,'data (1)'!$J:$J,"="&amp;$A675,'data (1)'!$A:$A,"="&amp;вариация!D$2)</f>
        <v>0</v>
      </c>
      <c r="E675">
        <f>SUMIFS('data (1)'!$M:$M,'data (1)'!$J:$J,"="&amp;$A675,'data (1)'!$A:$A,"="&amp;вариация!E$2)</f>
        <v>6.0000000000000005E-2</v>
      </c>
      <c r="F675">
        <f>SUMIFS('data (1)'!$M:$M,'data (1)'!$J:$J,"="&amp;$A675,'data (1)'!$A:$A,"="&amp;вариация!F$2)</f>
        <v>0</v>
      </c>
      <c r="G675">
        <f>SUMIFS('data (1)'!$M:$M,'data (1)'!$J:$J,"="&amp;$A675,'data (1)'!$A:$A,"="&amp;вариация!G$2)</f>
        <v>0.05</v>
      </c>
      <c r="H675" t="str">
        <f t="shared" si="21"/>
        <v>No</v>
      </c>
    </row>
    <row r="676" spans="1:8" x14ac:dyDescent="0.25">
      <c r="A676" s="7" t="s">
        <v>949</v>
      </c>
      <c r="B676" s="25">
        <f t="shared" si="20"/>
        <v>2.2360679774997894</v>
      </c>
      <c r="C676">
        <f>SUMIFS('data (1)'!$M:$M,'data (1)'!$J:$J,"="&amp;$A676,'data (1)'!$A:$A,"="&amp;вариация!C$2)</f>
        <v>0</v>
      </c>
      <c r="D676">
        <f>SUMIFS('data (1)'!$M:$M,'data (1)'!$J:$J,"="&amp;$A676,'data (1)'!$A:$A,"="&amp;вариация!D$2)</f>
        <v>0</v>
      </c>
      <c r="E676">
        <f>SUMIFS('data (1)'!$M:$M,'data (1)'!$J:$J,"="&amp;$A676,'data (1)'!$A:$A,"="&amp;вариация!E$2)</f>
        <v>0</v>
      </c>
      <c r="F676">
        <f>SUMIFS('data (1)'!$M:$M,'data (1)'!$J:$J,"="&amp;$A676,'data (1)'!$A:$A,"="&amp;вариация!F$2)</f>
        <v>1</v>
      </c>
      <c r="G676">
        <f>SUMIFS('data (1)'!$M:$M,'data (1)'!$J:$J,"="&amp;$A676,'data (1)'!$A:$A,"="&amp;вариация!G$2)</f>
        <v>0</v>
      </c>
      <c r="H676" t="str">
        <f t="shared" si="21"/>
        <v>No</v>
      </c>
    </row>
    <row r="677" spans="1:8" x14ac:dyDescent="0.25">
      <c r="A677" s="7" t="s">
        <v>500</v>
      </c>
      <c r="B677" s="25">
        <f t="shared" si="20"/>
        <v>2.2360679774997894</v>
      </c>
      <c r="C677">
        <f>SUMIFS('data (1)'!$M:$M,'data (1)'!$J:$J,"="&amp;$A677,'data (1)'!$A:$A,"="&amp;вариация!C$2)</f>
        <v>0</v>
      </c>
      <c r="D677">
        <f>SUMIFS('data (1)'!$M:$M,'data (1)'!$J:$J,"="&amp;$A677,'data (1)'!$A:$A,"="&amp;вариация!D$2)</f>
        <v>1</v>
      </c>
      <c r="E677">
        <f>SUMIFS('data (1)'!$M:$M,'data (1)'!$J:$J,"="&amp;$A677,'data (1)'!$A:$A,"="&amp;вариация!E$2)</f>
        <v>0</v>
      </c>
      <c r="F677">
        <f>SUMIFS('data (1)'!$M:$M,'data (1)'!$J:$J,"="&amp;$A677,'data (1)'!$A:$A,"="&amp;вариация!F$2)</f>
        <v>0</v>
      </c>
      <c r="G677">
        <f>SUMIFS('data (1)'!$M:$M,'data (1)'!$J:$J,"="&amp;$A677,'data (1)'!$A:$A,"="&amp;вариация!G$2)</f>
        <v>0</v>
      </c>
      <c r="H677" t="str">
        <f t="shared" si="21"/>
        <v>No</v>
      </c>
    </row>
    <row r="678" spans="1:8" x14ac:dyDescent="0.25">
      <c r="A678" s="7" t="s">
        <v>564</v>
      </c>
      <c r="B678" s="25">
        <f t="shared" si="20"/>
        <v>2.2360679774997894</v>
      </c>
      <c r="C678">
        <f>SUMIFS('data (1)'!$M:$M,'data (1)'!$J:$J,"="&amp;$A678,'data (1)'!$A:$A,"="&amp;вариация!C$2)</f>
        <v>0</v>
      </c>
      <c r="D678">
        <f>SUMIFS('data (1)'!$M:$M,'data (1)'!$J:$J,"="&amp;$A678,'data (1)'!$A:$A,"="&amp;вариация!D$2)</f>
        <v>1</v>
      </c>
      <c r="E678">
        <f>SUMIFS('data (1)'!$M:$M,'data (1)'!$J:$J,"="&amp;$A678,'data (1)'!$A:$A,"="&amp;вариация!E$2)</f>
        <v>0</v>
      </c>
      <c r="F678">
        <f>SUMIFS('data (1)'!$M:$M,'data (1)'!$J:$J,"="&amp;$A678,'data (1)'!$A:$A,"="&amp;вариация!F$2)</f>
        <v>0</v>
      </c>
      <c r="G678">
        <f>SUMIFS('data (1)'!$M:$M,'data (1)'!$J:$J,"="&amp;$A678,'data (1)'!$A:$A,"="&amp;вариация!G$2)</f>
        <v>0</v>
      </c>
      <c r="H678" t="str">
        <f t="shared" si="21"/>
        <v>No</v>
      </c>
    </row>
    <row r="679" spans="1:8" x14ac:dyDescent="0.25">
      <c r="A679" s="7" t="s">
        <v>351</v>
      </c>
      <c r="B679" s="25">
        <f t="shared" si="20"/>
        <v>2.2360679774997894</v>
      </c>
      <c r="C679">
        <f>SUMIFS('data (1)'!$M:$M,'data (1)'!$J:$J,"="&amp;$A679,'data (1)'!$A:$A,"="&amp;вариация!C$2)</f>
        <v>1</v>
      </c>
      <c r="D679">
        <f>SUMIFS('data (1)'!$M:$M,'data (1)'!$J:$J,"="&amp;$A679,'data (1)'!$A:$A,"="&amp;вариация!D$2)</f>
        <v>0</v>
      </c>
      <c r="E679">
        <f>SUMIFS('data (1)'!$M:$M,'data (1)'!$J:$J,"="&amp;$A679,'data (1)'!$A:$A,"="&amp;вариация!E$2)</f>
        <v>0</v>
      </c>
      <c r="F679">
        <f>SUMIFS('data (1)'!$M:$M,'data (1)'!$J:$J,"="&amp;$A679,'data (1)'!$A:$A,"="&amp;вариация!F$2)</f>
        <v>0</v>
      </c>
      <c r="G679">
        <f>SUMIFS('data (1)'!$M:$M,'data (1)'!$J:$J,"="&amp;$A679,'data (1)'!$A:$A,"="&amp;вариация!G$2)</f>
        <v>0</v>
      </c>
      <c r="H679" t="str">
        <f t="shared" si="21"/>
        <v>No</v>
      </c>
    </row>
    <row r="680" spans="1:8" x14ac:dyDescent="0.25">
      <c r="A680" s="7" t="s">
        <v>172</v>
      </c>
      <c r="B680" s="25">
        <f t="shared" si="20"/>
        <v>1.3923991921155663</v>
      </c>
      <c r="C680">
        <f>SUMIFS('data (1)'!$M:$M,'data (1)'!$J:$J,"="&amp;$A680,'data (1)'!$A:$A,"="&amp;вариация!C$2)</f>
        <v>3</v>
      </c>
      <c r="D680">
        <f>SUMIFS('data (1)'!$M:$M,'data (1)'!$J:$J,"="&amp;$A680,'data (1)'!$A:$A,"="&amp;вариация!D$2)</f>
        <v>0</v>
      </c>
      <c r="E680">
        <f>SUMIFS('data (1)'!$M:$M,'data (1)'!$J:$J,"="&amp;$A680,'data (1)'!$A:$A,"="&amp;вариация!E$2)</f>
        <v>0</v>
      </c>
      <c r="F680">
        <f>SUMIFS('data (1)'!$M:$M,'data (1)'!$J:$J,"="&amp;$A680,'data (1)'!$A:$A,"="&amp;вариация!F$2)</f>
        <v>0</v>
      </c>
      <c r="G680">
        <f>SUMIFS('data (1)'!$M:$M,'data (1)'!$J:$J,"="&amp;$A680,'data (1)'!$A:$A,"="&amp;вариация!G$2)</f>
        <v>4</v>
      </c>
      <c r="H680" t="str">
        <f t="shared" si="21"/>
        <v>No</v>
      </c>
    </row>
    <row r="681" spans="1:8" x14ac:dyDescent="0.25">
      <c r="A681" s="7" t="s">
        <v>517</v>
      </c>
      <c r="B681" s="25">
        <f t="shared" si="20"/>
        <v>0.67419986246324204</v>
      </c>
      <c r="C681">
        <f>SUMIFS('data (1)'!$M:$M,'data (1)'!$J:$J,"="&amp;$A681,'data (1)'!$A:$A,"="&amp;вариация!C$2)</f>
        <v>0</v>
      </c>
      <c r="D681">
        <f>SUMIFS('data (1)'!$M:$M,'data (1)'!$J:$J,"="&amp;$A681,'data (1)'!$A:$A,"="&amp;вариация!D$2)</f>
        <v>4</v>
      </c>
      <c r="E681">
        <f>SUMIFS('data (1)'!$M:$M,'data (1)'!$J:$J,"="&amp;$A681,'data (1)'!$A:$A,"="&amp;вариация!E$2)</f>
        <v>2</v>
      </c>
      <c r="F681">
        <f>SUMIFS('data (1)'!$M:$M,'data (1)'!$J:$J,"="&amp;$A681,'data (1)'!$A:$A,"="&amp;вариация!F$2)</f>
        <v>2</v>
      </c>
      <c r="G681">
        <f>SUMIFS('data (1)'!$M:$M,'data (1)'!$J:$J,"="&amp;$A681,'data (1)'!$A:$A,"="&amp;вариация!G$2)</f>
        <v>3</v>
      </c>
      <c r="H681" t="str">
        <f t="shared" si="21"/>
        <v>Yes</v>
      </c>
    </row>
    <row r="682" spans="1:8" x14ac:dyDescent="0.25">
      <c r="A682" s="7" t="s">
        <v>346</v>
      </c>
      <c r="B682" s="25">
        <f t="shared" si="20"/>
        <v>2.2360679774997894</v>
      </c>
      <c r="C682">
        <f>SUMIFS('data (1)'!$M:$M,'data (1)'!$J:$J,"="&amp;$A682,'data (1)'!$A:$A,"="&amp;вариация!C$2)</f>
        <v>1</v>
      </c>
      <c r="D682">
        <f>SUMIFS('data (1)'!$M:$M,'data (1)'!$J:$J,"="&amp;$A682,'data (1)'!$A:$A,"="&amp;вариация!D$2)</f>
        <v>0</v>
      </c>
      <c r="E682">
        <f>SUMIFS('data (1)'!$M:$M,'data (1)'!$J:$J,"="&amp;$A682,'data (1)'!$A:$A,"="&amp;вариация!E$2)</f>
        <v>0</v>
      </c>
      <c r="F682">
        <f>SUMIFS('data (1)'!$M:$M,'data (1)'!$J:$J,"="&amp;$A682,'data (1)'!$A:$A,"="&amp;вариация!F$2)</f>
        <v>0</v>
      </c>
      <c r="G682">
        <f>SUMIFS('data (1)'!$M:$M,'data (1)'!$J:$J,"="&amp;$A682,'data (1)'!$A:$A,"="&amp;вариация!G$2)</f>
        <v>0</v>
      </c>
      <c r="H682" t="str">
        <f t="shared" si="21"/>
        <v>No</v>
      </c>
    </row>
    <row r="683" spans="1:8" x14ac:dyDescent="0.25">
      <c r="A683" s="7" t="s">
        <v>757</v>
      </c>
      <c r="B683" s="25">
        <f t="shared" si="20"/>
        <v>2.2360679774997894</v>
      </c>
      <c r="C683">
        <f>SUMIFS('data (1)'!$M:$M,'data (1)'!$J:$J,"="&amp;$A683,'data (1)'!$A:$A,"="&amp;вариация!C$2)</f>
        <v>0</v>
      </c>
      <c r="D683">
        <f>SUMIFS('data (1)'!$M:$M,'data (1)'!$J:$J,"="&amp;$A683,'data (1)'!$A:$A,"="&amp;вариация!D$2)</f>
        <v>0</v>
      </c>
      <c r="E683">
        <f>SUMIFS('data (1)'!$M:$M,'data (1)'!$J:$J,"="&amp;$A683,'data (1)'!$A:$A,"="&amp;вариация!E$2)</f>
        <v>1</v>
      </c>
      <c r="F683">
        <f>SUMIFS('data (1)'!$M:$M,'data (1)'!$J:$J,"="&amp;$A683,'data (1)'!$A:$A,"="&amp;вариация!F$2)</f>
        <v>0</v>
      </c>
      <c r="G683">
        <f>SUMIFS('data (1)'!$M:$M,'data (1)'!$J:$J,"="&amp;$A683,'data (1)'!$A:$A,"="&amp;вариация!G$2)</f>
        <v>0</v>
      </c>
      <c r="H683" t="str">
        <f t="shared" si="21"/>
        <v>No</v>
      </c>
    </row>
    <row r="684" spans="1:8" x14ac:dyDescent="0.25">
      <c r="A684" s="7" t="s">
        <v>1140</v>
      </c>
      <c r="B684" s="25">
        <f t="shared" si="20"/>
        <v>2.2360679774997894</v>
      </c>
      <c r="C684">
        <f>SUMIFS('data (1)'!$M:$M,'data (1)'!$J:$J,"="&amp;$A684,'data (1)'!$A:$A,"="&amp;вариация!C$2)</f>
        <v>0</v>
      </c>
      <c r="D684">
        <f>SUMIFS('data (1)'!$M:$M,'data (1)'!$J:$J,"="&amp;$A684,'data (1)'!$A:$A,"="&amp;вариация!D$2)</f>
        <v>0</v>
      </c>
      <c r="E684">
        <f>SUMIFS('data (1)'!$M:$M,'data (1)'!$J:$J,"="&amp;$A684,'data (1)'!$A:$A,"="&amp;вариация!E$2)</f>
        <v>0</v>
      </c>
      <c r="F684">
        <f>SUMIFS('data (1)'!$M:$M,'data (1)'!$J:$J,"="&amp;$A684,'data (1)'!$A:$A,"="&amp;вариация!F$2)</f>
        <v>0</v>
      </c>
      <c r="G684">
        <f>SUMIFS('data (1)'!$M:$M,'data (1)'!$J:$J,"="&amp;$A684,'data (1)'!$A:$A,"="&amp;вариация!G$2)</f>
        <v>1</v>
      </c>
      <c r="H684" t="str">
        <f t="shared" si="21"/>
        <v>No</v>
      </c>
    </row>
    <row r="685" spans="1:8" x14ac:dyDescent="0.25">
      <c r="A685" s="7" t="s">
        <v>209</v>
      </c>
      <c r="B685" s="25">
        <f t="shared" si="20"/>
        <v>2.2360679774997894</v>
      </c>
      <c r="C685">
        <f>SUMIFS('data (1)'!$M:$M,'data (1)'!$J:$J,"="&amp;$A685,'data (1)'!$A:$A,"="&amp;вариация!C$2)</f>
        <v>1</v>
      </c>
      <c r="D685">
        <f>SUMIFS('data (1)'!$M:$M,'data (1)'!$J:$J,"="&amp;$A685,'data (1)'!$A:$A,"="&amp;вариация!D$2)</f>
        <v>0</v>
      </c>
      <c r="E685">
        <f>SUMIFS('data (1)'!$M:$M,'data (1)'!$J:$J,"="&amp;$A685,'data (1)'!$A:$A,"="&amp;вариация!E$2)</f>
        <v>0</v>
      </c>
      <c r="F685">
        <f>SUMIFS('data (1)'!$M:$M,'data (1)'!$J:$J,"="&amp;$A685,'data (1)'!$A:$A,"="&amp;вариация!F$2)</f>
        <v>0</v>
      </c>
      <c r="G685">
        <f>SUMIFS('data (1)'!$M:$M,'data (1)'!$J:$J,"="&amp;$A685,'data (1)'!$A:$A,"="&amp;вариация!G$2)</f>
        <v>0</v>
      </c>
      <c r="H685" t="str">
        <f t="shared" si="21"/>
        <v>No</v>
      </c>
    </row>
    <row r="686" spans="1:8" x14ac:dyDescent="0.25">
      <c r="A686" s="7" t="s">
        <v>362</v>
      </c>
      <c r="B686" s="25">
        <f t="shared" si="20"/>
        <v>2.2360679774997894</v>
      </c>
      <c r="C686">
        <f>SUMIFS('data (1)'!$M:$M,'data (1)'!$J:$J,"="&amp;$A686,'data (1)'!$A:$A,"="&amp;вариация!C$2)</f>
        <v>1</v>
      </c>
      <c r="D686">
        <f>SUMIFS('data (1)'!$M:$M,'data (1)'!$J:$J,"="&amp;$A686,'data (1)'!$A:$A,"="&amp;вариация!D$2)</f>
        <v>0</v>
      </c>
      <c r="E686">
        <f>SUMIFS('data (1)'!$M:$M,'data (1)'!$J:$J,"="&amp;$A686,'data (1)'!$A:$A,"="&amp;вариация!E$2)</f>
        <v>0</v>
      </c>
      <c r="F686">
        <f>SUMIFS('data (1)'!$M:$M,'data (1)'!$J:$J,"="&amp;$A686,'data (1)'!$A:$A,"="&amp;вариация!F$2)</f>
        <v>0</v>
      </c>
      <c r="G686">
        <f>SUMIFS('data (1)'!$M:$M,'data (1)'!$J:$J,"="&amp;$A686,'data (1)'!$A:$A,"="&amp;вариация!G$2)</f>
        <v>0</v>
      </c>
      <c r="H686" t="str">
        <f t="shared" si="21"/>
        <v>No</v>
      </c>
    </row>
    <row r="687" spans="1:8" x14ac:dyDescent="0.25">
      <c r="A687" s="7" t="s">
        <v>628</v>
      </c>
      <c r="B687" s="25">
        <f t="shared" si="20"/>
        <v>1.6298006013006627</v>
      </c>
      <c r="C687">
        <f>SUMIFS('data (1)'!$M:$M,'data (1)'!$J:$J,"="&amp;$A687,'data (1)'!$A:$A,"="&amp;вариация!C$2)</f>
        <v>0</v>
      </c>
      <c r="D687">
        <f>SUMIFS('data (1)'!$M:$M,'data (1)'!$J:$J,"="&amp;$A687,'data (1)'!$A:$A,"="&amp;вариация!D$2)</f>
        <v>0.2</v>
      </c>
      <c r="E687">
        <f>SUMIFS('data (1)'!$M:$M,'data (1)'!$J:$J,"="&amp;$A687,'data (1)'!$A:$A,"="&amp;вариация!E$2)</f>
        <v>0</v>
      </c>
      <c r="F687">
        <f>SUMIFS('data (1)'!$M:$M,'data (1)'!$J:$J,"="&amp;$A687,'data (1)'!$A:$A,"="&amp;вариация!F$2)</f>
        <v>0</v>
      </c>
      <c r="G687">
        <f>SUMIFS('data (1)'!$M:$M,'data (1)'!$J:$J,"="&amp;$A687,'data (1)'!$A:$A,"="&amp;вариация!G$2)</f>
        <v>0.60000000000000009</v>
      </c>
      <c r="H687" t="str">
        <f t="shared" si="21"/>
        <v>No</v>
      </c>
    </row>
    <row r="688" spans="1:8" x14ac:dyDescent="0.25">
      <c r="A688" s="7" t="s">
        <v>860</v>
      </c>
      <c r="B688" s="25">
        <f t="shared" si="20"/>
        <v>2.2360679774997894</v>
      </c>
      <c r="C688">
        <f>SUMIFS('data (1)'!$M:$M,'data (1)'!$J:$J,"="&amp;$A688,'data (1)'!$A:$A,"="&amp;вариация!C$2)</f>
        <v>0</v>
      </c>
      <c r="D688">
        <f>SUMIFS('data (1)'!$M:$M,'data (1)'!$J:$J,"="&amp;$A688,'data (1)'!$A:$A,"="&amp;вариация!D$2)</f>
        <v>0</v>
      </c>
      <c r="E688">
        <f>SUMIFS('data (1)'!$M:$M,'data (1)'!$J:$J,"="&amp;$A688,'data (1)'!$A:$A,"="&amp;вариация!E$2)</f>
        <v>1</v>
      </c>
      <c r="F688">
        <f>SUMIFS('data (1)'!$M:$M,'data (1)'!$J:$J,"="&amp;$A688,'data (1)'!$A:$A,"="&amp;вариация!F$2)</f>
        <v>0</v>
      </c>
      <c r="G688">
        <f>SUMIFS('data (1)'!$M:$M,'data (1)'!$J:$J,"="&amp;$A688,'data (1)'!$A:$A,"="&amp;вариация!G$2)</f>
        <v>0</v>
      </c>
      <c r="H688" t="str">
        <f t="shared" si="21"/>
        <v>No</v>
      </c>
    </row>
    <row r="689" spans="1:8" x14ac:dyDescent="0.25">
      <c r="A689" s="7" t="s">
        <v>203</v>
      </c>
      <c r="B689" s="25">
        <f t="shared" si="20"/>
        <v>2.2360679774997898</v>
      </c>
      <c r="C689">
        <f>SUMIFS('data (1)'!$M:$M,'data (1)'!$J:$J,"="&amp;$A689,'data (1)'!$A:$A,"="&amp;вариация!C$2)</f>
        <v>0.21428570999999999</v>
      </c>
      <c r="D689">
        <f>SUMIFS('data (1)'!$M:$M,'data (1)'!$J:$J,"="&amp;$A689,'data (1)'!$A:$A,"="&amp;вариация!D$2)</f>
        <v>0</v>
      </c>
      <c r="E689">
        <f>SUMIFS('data (1)'!$M:$M,'data (1)'!$J:$J,"="&amp;$A689,'data (1)'!$A:$A,"="&amp;вариация!E$2)</f>
        <v>0</v>
      </c>
      <c r="F689">
        <f>SUMIFS('data (1)'!$M:$M,'data (1)'!$J:$J,"="&amp;$A689,'data (1)'!$A:$A,"="&amp;вариация!F$2)</f>
        <v>0</v>
      </c>
      <c r="G689">
        <f>SUMIFS('data (1)'!$M:$M,'data (1)'!$J:$J,"="&amp;$A689,'data (1)'!$A:$A,"="&amp;вариация!G$2)</f>
        <v>0</v>
      </c>
      <c r="H689" t="str">
        <f t="shared" si="21"/>
        <v>No</v>
      </c>
    </row>
    <row r="690" spans="1:8" x14ac:dyDescent="0.25">
      <c r="A690" s="7" t="s">
        <v>576</v>
      </c>
      <c r="B690" s="25">
        <f t="shared" si="20"/>
        <v>2.2360679774997894</v>
      </c>
      <c r="C690">
        <f>SUMIFS('data (1)'!$M:$M,'data (1)'!$J:$J,"="&amp;$A690,'data (1)'!$A:$A,"="&amp;вариация!C$2)</f>
        <v>0</v>
      </c>
      <c r="D690">
        <f>SUMIFS('data (1)'!$M:$M,'data (1)'!$J:$J,"="&amp;$A690,'data (1)'!$A:$A,"="&amp;вариация!D$2)</f>
        <v>1</v>
      </c>
      <c r="E690">
        <f>SUMIFS('data (1)'!$M:$M,'data (1)'!$J:$J,"="&amp;$A690,'data (1)'!$A:$A,"="&amp;вариация!E$2)</f>
        <v>0</v>
      </c>
      <c r="F690">
        <f>SUMIFS('data (1)'!$M:$M,'data (1)'!$J:$J,"="&amp;$A690,'data (1)'!$A:$A,"="&amp;вариация!F$2)</f>
        <v>0</v>
      </c>
      <c r="G690">
        <f>SUMIFS('data (1)'!$M:$M,'data (1)'!$J:$J,"="&amp;$A690,'data (1)'!$A:$A,"="&amp;вариация!G$2)</f>
        <v>0</v>
      </c>
      <c r="H690" t="str">
        <f t="shared" si="21"/>
        <v>No</v>
      </c>
    </row>
    <row r="691" spans="1:8" x14ac:dyDescent="0.25">
      <c r="A691" s="7" t="s">
        <v>229</v>
      </c>
      <c r="B691" s="25">
        <f t="shared" si="20"/>
        <v>1</v>
      </c>
      <c r="C691">
        <f>SUMIFS('data (1)'!$M:$M,'data (1)'!$J:$J,"="&amp;$A691,'data (1)'!$A:$A,"="&amp;вариация!C$2)</f>
        <v>1</v>
      </c>
      <c r="D691">
        <f>SUMIFS('data (1)'!$M:$M,'data (1)'!$J:$J,"="&amp;$A691,'data (1)'!$A:$A,"="&amp;вариация!D$2)</f>
        <v>0</v>
      </c>
      <c r="E691">
        <f>SUMIFS('data (1)'!$M:$M,'data (1)'!$J:$J,"="&amp;$A691,'data (1)'!$A:$A,"="&amp;вариация!E$2)</f>
        <v>2</v>
      </c>
      <c r="F691">
        <f>SUMIFS('data (1)'!$M:$M,'data (1)'!$J:$J,"="&amp;$A691,'data (1)'!$A:$A,"="&amp;вариация!F$2)</f>
        <v>2</v>
      </c>
      <c r="G691">
        <f>SUMIFS('data (1)'!$M:$M,'data (1)'!$J:$J,"="&amp;$A691,'data (1)'!$A:$A,"="&amp;вариация!G$2)</f>
        <v>0</v>
      </c>
      <c r="H691" t="str">
        <f t="shared" si="21"/>
        <v>Yes</v>
      </c>
    </row>
    <row r="692" spans="1:8" x14ac:dyDescent="0.25">
      <c r="A692" s="7" t="s">
        <v>168</v>
      </c>
      <c r="B692" s="25">
        <f t="shared" si="20"/>
        <v>2.2360679774997894</v>
      </c>
      <c r="C692">
        <f>SUMIFS('data (1)'!$M:$M,'data (1)'!$J:$J,"="&amp;$A692,'data (1)'!$A:$A,"="&amp;вариация!C$2)</f>
        <v>2</v>
      </c>
      <c r="D692">
        <f>SUMIFS('data (1)'!$M:$M,'data (1)'!$J:$J,"="&amp;$A692,'data (1)'!$A:$A,"="&amp;вариация!D$2)</f>
        <v>0</v>
      </c>
      <c r="E692">
        <f>SUMIFS('data (1)'!$M:$M,'data (1)'!$J:$J,"="&amp;$A692,'data (1)'!$A:$A,"="&amp;вариация!E$2)</f>
        <v>0</v>
      </c>
      <c r="F692">
        <f>SUMIFS('data (1)'!$M:$M,'data (1)'!$J:$J,"="&amp;$A692,'data (1)'!$A:$A,"="&amp;вариация!F$2)</f>
        <v>0</v>
      </c>
      <c r="G692">
        <f>SUMIFS('data (1)'!$M:$M,'data (1)'!$J:$J,"="&amp;$A692,'data (1)'!$A:$A,"="&amp;вариация!G$2)</f>
        <v>0</v>
      </c>
      <c r="H692" t="str">
        <f t="shared" si="21"/>
        <v>No</v>
      </c>
    </row>
    <row r="693" spans="1:8" x14ac:dyDescent="0.25">
      <c r="A693" s="7" t="s">
        <v>339</v>
      </c>
      <c r="B693" s="25">
        <f t="shared" si="20"/>
        <v>2.2360679774997894</v>
      </c>
      <c r="C693">
        <f>SUMIFS('data (1)'!$M:$M,'data (1)'!$J:$J,"="&amp;$A693,'data (1)'!$A:$A,"="&amp;вариация!C$2)</f>
        <v>1</v>
      </c>
      <c r="D693">
        <f>SUMIFS('data (1)'!$M:$M,'data (1)'!$J:$J,"="&amp;$A693,'data (1)'!$A:$A,"="&amp;вариация!D$2)</f>
        <v>0</v>
      </c>
      <c r="E693">
        <f>SUMIFS('data (1)'!$M:$M,'data (1)'!$J:$J,"="&amp;$A693,'data (1)'!$A:$A,"="&amp;вариация!E$2)</f>
        <v>0</v>
      </c>
      <c r="F693">
        <f>SUMIFS('data (1)'!$M:$M,'data (1)'!$J:$J,"="&amp;$A693,'data (1)'!$A:$A,"="&amp;вариация!F$2)</f>
        <v>0</v>
      </c>
      <c r="G693">
        <f>SUMIFS('data (1)'!$M:$M,'data (1)'!$J:$J,"="&amp;$A693,'data (1)'!$A:$A,"="&amp;вариация!G$2)</f>
        <v>0</v>
      </c>
      <c r="H693" t="str">
        <f t="shared" si="21"/>
        <v>No</v>
      </c>
    </row>
    <row r="694" spans="1:8" x14ac:dyDescent="0.25">
      <c r="A694" s="7" t="s">
        <v>77</v>
      </c>
      <c r="B694" s="25">
        <f t="shared" si="20"/>
        <v>2.2360679774997894</v>
      </c>
      <c r="C694">
        <f>SUMIFS('data (1)'!$M:$M,'data (1)'!$J:$J,"="&amp;$A694,'data (1)'!$A:$A,"="&amp;вариация!C$2)</f>
        <v>1</v>
      </c>
      <c r="D694">
        <f>SUMIFS('data (1)'!$M:$M,'data (1)'!$J:$J,"="&amp;$A694,'data (1)'!$A:$A,"="&amp;вариация!D$2)</f>
        <v>0</v>
      </c>
      <c r="E694">
        <f>SUMIFS('data (1)'!$M:$M,'data (1)'!$J:$J,"="&amp;$A694,'data (1)'!$A:$A,"="&amp;вариация!E$2)</f>
        <v>0</v>
      </c>
      <c r="F694">
        <f>SUMIFS('data (1)'!$M:$M,'data (1)'!$J:$J,"="&amp;$A694,'data (1)'!$A:$A,"="&amp;вариация!F$2)</f>
        <v>0</v>
      </c>
      <c r="G694">
        <f>SUMIFS('data (1)'!$M:$M,'data (1)'!$J:$J,"="&amp;$A694,'data (1)'!$A:$A,"="&amp;вариация!G$2)</f>
        <v>0</v>
      </c>
      <c r="H694" t="str">
        <f t="shared" si="21"/>
        <v>No</v>
      </c>
    </row>
    <row r="695" spans="1:8" x14ac:dyDescent="0.25">
      <c r="A695" s="7" t="s">
        <v>923</v>
      </c>
      <c r="B695" s="25">
        <f t="shared" si="20"/>
        <v>2.2360679774997894</v>
      </c>
      <c r="C695">
        <f>SUMIFS('data (1)'!$M:$M,'data (1)'!$J:$J,"="&amp;$A695,'data (1)'!$A:$A,"="&amp;вариация!C$2)</f>
        <v>0</v>
      </c>
      <c r="D695">
        <f>SUMIFS('data (1)'!$M:$M,'data (1)'!$J:$J,"="&amp;$A695,'data (1)'!$A:$A,"="&amp;вариация!D$2)</f>
        <v>0</v>
      </c>
      <c r="E695">
        <f>SUMIFS('data (1)'!$M:$M,'data (1)'!$J:$J,"="&amp;$A695,'data (1)'!$A:$A,"="&amp;вариация!E$2)</f>
        <v>2</v>
      </c>
      <c r="F695">
        <f>SUMIFS('data (1)'!$M:$M,'data (1)'!$J:$J,"="&amp;$A695,'data (1)'!$A:$A,"="&amp;вариация!F$2)</f>
        <v>0</v>
      </c>
      <c r="G695">
        <f>SUMIFS('data (1)'!$M:$M,'data (1)'!$J:$J,"="&amp;$A695,'data (1)'!$A:$A,"="&amp;вариация!G$2)</f>
        <v>0</v>
      </c>
      <c r="H695" t="str">
        <f t="shared" si="21"/>
        <v>No</v>
      </c>
    </row>
    <row r="696" spans="1:8" x14ac:dyDescent="0.25">
      <c r="A696" s="7" t="s">
        <v>1006</v>
      </c>
      <c r="B696" s="25">
        <f t="shared" si="20"/>
        <v>2.2360679774997894</v>
      </c>
      <c r="C696">
        <f>SUMIFS('data (1)'!$M:$M,'data (1)'!$J:$J,"="&amp;$A696,'data (1)'!$A:$A,"="&amp;вариация!C$2)</f>
        <v>0</v>
      </c>
      <c r="D696">
        <f>SUMIFS('data (1)'!$M:$M,'data (1)'!$J:$J,"="&amp;$A696,'data (1)'!$A:$A,"="&amp;вариация!D$2)</f>
        <v>0</v>
      </c>
      <c r="E696">
        <f>SUMIFS('data (1)'!$M:$M,'data (1)'!$J:$J,"="&amp;$A696,'data (1)'!$A:$A,"="&amp;вариация!E$2)</f>
        <v>0</v>
      </c>
      <c r="F696">
        <f>SUMIFS('data (1)'!$M:$M,'data (1)'!$J:$J,"="&amp;$A696,'data (1)'!$A:$A,"="&amp;вариация!F$2)</f>
        <v>1</v>
      </c>
      <c r="G696">
        <f>SUMIFS('data (1)'!$M:$M,'data (1)'!$J:$J,"="&amp;$A696,'data (1)'!$A:$A,"="&amp;вариация!G$2)</f>
        <v>0</v>
      </c>
      <c r="H696" t="str">
        <f t="shared" si="21"/>
        <v>No</v>
      </c>
    </row>
    <row r="697" spans="1:8" x14ac:dyDescent="0.25">
      <c r="A697" s="7" t="s">
        <v>26</v>
      </c>
      <c r="B697" s="25">
        <f t="shared" si="20"/>
        <v>2.2360679774997894</v>
      </c>
      <c r="C697">
        <f>SUMIFS('data (1)'!$M:$M,'data (1)'!$J:$J,"="&amp;$A697,'data (1)'!$A:$A,"="&amp;вариация!C$2)</f>
        <v>1</v>
      </c>
      <c r="D697">
        <f>SUMIFS('data (1)'!$M:$M,'data (1)'!$J:$J,"="&amp;$A697,'data (1)'!$A:$A,"="&amp;вариация!D$2)</f>
        <v>0</v>
      </c>
      <c r="E697">
        <f>SUMIFS('data (1)'!$M:$M,'data (1)'!$J:$J,"="&amp;$A697,'data (1)'!$A:$A,"="&amp;вариация!E$2)</f>
        <v>0</v>
      </c>
      <c r="F697">
        <f>SUMIFS('data (1)'!$M:$M,'data (1)'!$J:$J,"="&amp;$A697,'data (1)'!$A:$A,"="&amp;вариация!F$2)</f>
        <v>0</v>
      </c>
      <c r="G697">
        <f>SUMIFS('data (1)'!$M:$M,'data (1)'!$J:$J,"="&amp;$A697,'data (1)'!$A:$A,"="&amp;вариация!G$2)</f>
        <v>0</v>
      </c>
      <c r="H697" t="str">
        <f t="shared" si="21"/>
        <v>No</v>
      </c>
    </row>
    <row r="698" spans="1:8" x14ac:dyDescent="0.25">
      <c r="A698" s="7" t="s">
        <v>488</v>
      </c>
      <c r="B698" s="25">
        <f t="shared" si="20"/>
        <v>1.3693063937629151</v>
      </c>
      <c r="C698">
        <f>SUMIFS('data (1)'!$M:$M,'data (1)'!$J:$J,"="&amp;$A698,'data (1)'!$A:$A,"="&amp;вариация!C$2)</f>
        <v>0</v>
      </c>
      <c r="D698">
        <f>SUMIFS('data (1)'!$M:$M,'data (1)'!$J:$J,"="&amp;$A698,'data (1)'!$A:$A,"="&amp;вариация!D$2)</f>
        <v>1</v>
      </c>
      <c r="E698">
        <f>SUMIFS('data (1)'!$M:$M,'data (1)'!$J:$J,"="&amp;$A698,'data (1)'!$A:$A,"="&amp;вариация!E$2)</f>
        <v>1</v>
      </c>
      <c r="F698">
        <f>SUMIFS('data (1)'!$M:$M,'data (1)'!$J:$J,"="&amp;$A698,'data (1)'!$A:$A,"="&amp;вариация!F$2)</f>
        <v>0</v>
      </c>
      <c r="G698">
        <f>SUMIFS('data (1)'!$M:$M,'data (1)'!$J:$J,"="&amp;$A698,'data (1)'!$A:$A,"="&amp;вариация!G$2)</f>
        <v>0</v>
      </c>
      <c r="H698" t="str">
        <f t="shared" si="21"/>
        <v>No</v>
      </c>
    </row>
    <row r="699" spans="1:8" x14ac:dyDescent="0.25">
      <c r="A699" s="7" t="s">
        <v>1018</v>
      </c>
      <c r="B699" s="25">
        <f t="shared" si="20"/>
        <v>2.2360679774997894</v>
      </c>
      <c r="C699">
        <f>SUMIFS('data (1)'!$M:$M,'data (1)'!$J:$J,"="&amp;$A699,'data (1)'!$A:$A,"="&amp;вариация!C$2)</f>
        <v>0</v>
      </c>
      <c r="D699">
        <f>SUMIFS('data (1)'!$M:$M,'data (1)'!$J:$J,"="&amp;$A699,'data (1)'!$A:$A,"="&amp;вариация!D$2)</f>
        <v>0</v>
      </c>
      <c r="E699">
        <f>SUMIFS('data (1)'!$M:$M,'data (1)'!$J:$J,"="&amp;$A699,'data (1)'!$A:$A,"="&amp;вариация!E$2)</f>
        <v>0</v>
      </c>
      <c r="F699">
        <f>SUMIFS('data (1)'!$M:$M,'data (1)'!$J:$J,"="&amp;$A699,'data (1)'!$A:$A,"="&amp;вариация!F$2)</f>
        <v>1</v>
      </c>
      <c r="G699">
        <f>SUMIFS('data (1)'!$M:$M,'data (1)'!$J:$J,"="&amp;$A699,'data (1)'!$A:$A,"="&amp;вариация!G$2)</f>
        <v>0</v>
      </c>
      <c r="H699" t="str">
        <f t="shared" si="21"/>
        <v>No</v>
      </c>
    </row>
    <row r="700" spans="1:8" x14ac:dyDescent="0.25">
      <c r="A700" s="7" t="s">
        <v>567</v>
      </c>
      <c r="B700" s="25">
        <f t="shared" si="20"/>
        <v>2.2360679774997894</v>
      </c>
      <c r="C700">
        <f>SUMIFS('data (1)'!$M:$M,'data (1)'!$J:$J,"="&amp;$A700,'data (1)'!$A:$A,"="&amp;вариация!C$2)</f>
        <v>0</v>
      </c>
      <c r="D700">
        <f>SUMIFS('data (1)'!$M:$M,'data (1)'!$J:$J,"="&amp;$A700,'data (1)'!$A:$A,"="&amp;вариация!D$2)</f>
        <v>1</v>
      </c>
      <c r="E700">
        <f>SUMIFS('data (1)'!$M:$M,'data (1)'!$J:$J,"="&amp;$A700,'data (1)'!$A:$A,"="&amp;вариация!E$2)</f>
        <v>0</v>
      </c>
      <c r="F700">
        <f>SUMIFS('data (1)'!$M:$M,'data (1)'!$J:$J,"="&amp;$A700,'data (1)'!$A:$A,"="&amp;вариация!F$2)</f>
        <v>0</v>
      </c>
      <c r="G700">
        <f>SUMIFS('data (1)'!$M:$M,'data (1)'!$J:$J,"="&amp;$A700,'data (1)'!$A:$A,"="&amp;вариация!G$2)</f>
        <v>0</v>
      </c>
      <c r="H700" t="str">
        <f t="shared" si="21"/>
        <v>No</v>
      </c>
    </row>
    <row r="701" spans="1:8" x14ac:dyDescent="0.25">
      <c r="A701" s="7" t="s">
        <v>1057</v>
      </c>
      <c r="B701" s="25">
        <f t="shared" si="20"/>
        <v>2.2360679774997894</v>
      </c>
      <c r="C701">
        <f>SUMIFS('data (1)'!$M:$M,'data (1)'!$J:$J,"="&amp;$A701,'data (1)'!$A:$A,"="&amp;вариация!C$2)</f>
        <v>0</v>
      </c>
      <c r="D701">
        <f>SUMIFS('data (1)'!$M:$M,'data (1)'!$J:$J,"="&amp;$A701,'data (1)'!$A:$A,"="&amp;вариация!D$2)</f>
        <v>0</v>
      </c>
      <c r="E701">
        <f>SUMIFS('data (1)'!$M:$M,'data (1)'!$J:$J,"="&amp;$A701,'data (1)'!$A:$A,"="&amp;вариация!E$2)</f>
        <v>0</v>
      </c>
      <c r="F701">
        <f>SUMIFS('data (1)'!$M:$M,'data (1)'!$J:$J,"="&amp;$A701,'data (1)'!$A:$A,"="&amp;вариация!F$2)</f>
        <v>1</v>
      </c>
      <c r="G701">
        <f>SUMIFS('data (1)'!$M:$M,'data (1)'!$J:$J,"="&amp;$A701,'data (1)'!$A:$A,"="&amp;вариация!G$2)</f>
        <v>0</v>
      </c>
      <c r="H701" t="str">
        <f t="shared" si="21"/>
        <v>No</v>
      </c>
    </row>
    <row r="702" spans="1:8" x14ac:dyDescent="0.25">
      <c r="A702" s="7" t="s">
        <v>542</v>
      </c>
      <c r="B702" s="25">
        <f t="shared" si="20"/>
        <v>2.2360679774997894</v>
      </c>
      <c r="C702">
        <f>SUMIFS('data (1)'!$M:$M,'data (1)'!$J:$J,"="&amp;$A702,'data (1)'!$A:$A,"="&amp;вариация!C$2)</f>
        <v>0</v>
      </c>
      <c r="D702">
        <f>SUMIFS('data (1)'!$M:$M,'data (1)'!$J:$J,"="&amp;$A702,'data (1)'!$A:$A,"="&amp;вариация!D$2)</f>
        <v>1</v>
      </c>
      <c r="E702">
        <f>SUMIFS('data (1)'!$M:$M,'data (1)'!$J:$J,"="&amp;$A702,'data (1)'!$A:$A,"="&amp;вариация!E$2)</f>
        <v>0</v>
      </c>
      <c r="F702">
        <f>SUMIFS('data (1)'!$M:$M,'data (1)'!$J:$J,"="&amp;$A702,'data (1)'!$A:$A,"="&amp;вариация!F$2)</f>
        <v>0</v>
      </c>
      <c r="G702">
        <f>SUMIFS('data (1)'!$M:$M,'data (1)'!$J:$J,"="&amp;$A702,'data (1)'!$A:$A,"="&amp;вариация!G$2)</f>
        <v>0</v>
      </c>
      <c r="H702" t="str">
        <f t="shared" si="21"/>
        <v>No</v>
      </c>
    </row>
    <row r="703" spans="1:8" x14ac:dyDescent="0.25">
      <c r="A703" s="7" t="s">
        <v>88</v>
      </c>
      <c r="B703" s="25">
        <f t="shared" si="20"/>
        <v>2.2360679774997894</v>
      </c>
      <c r="C703">
        <f>SUMIFS('data (1)'!$M:$M,'data (1)'!$J:$J,"="&amp;$A703,'data (1)'!$A:$A,"="&amp;вариация!C$2)</f>
        <v>1</v>
      </c>
      <c r="D703">
        <f>SUMIFS('data (1)'!$M:$M,'data (1)'!$J:$J,"="&amp;$A703,'data (1)'!$A:$A,"="&amp;вариация!D$2)</f>
        <v>0</v>
      </c>
      <c r="E703">
        <f>SUMIFS('data (1)'!$M:$M,'data (1)'!$J:$J,"="&amp;$A703,'data (1)'!$A:$A,"="&amp;вариация!E$2)</f>
        <v>0</v>
      </c>
      <c r="F703">
        <f>SUMIFS('data (1)'!$M:$M,'data (1)'!$J:$J,"="&amp;$A703,'data (1)'!$A:$A,"="&amp;вариация!F$2)</f>
        <v>0</v>
      </c>
      <c r="G703">
        <f>SUMIFS('data (1)'!$M:$M,'data (1)'!$J:$J,"="&amp;$A703,'data (1)'!$A:$A,"="&amp;вариация!G$2)</f>
        <v>0</v>
      </c>
      <c r="H703" t="str">
        <f t="shared" si="21"/>
        <v>No</v>
      </c>
    </row>
    <row r="704" spans="1:8" x14ac:dyDescent="0.25">
      <c r="A704" s="7" t="s">
        <v>1203</v>
      </c>
      <c r="B704" s="25">
        <f t="shared" si="20"/>
        <v>2.2360679774997894</v>
      </c>
      <c r="C704">
        <f>SUMIFS('data (1)'!$M:$M,'data (1)'!$J:$J,"="&amp;$A704,'data (1)'!$A:$A,"="&amp;вариация!C$2)</f>
        <v>0</v>
      </c>
      <c r="D704">
        <f>SUMIFS('data (1)'!$M:$M,'data (1)'!$J:$J,"="&amp;$A704,'data (1)'!$A:$A,"="&amp;вариация!D$2)</f>
        <v>0</v>
      </c>
      <c r="E704">
        <f>SUMIFS('data (1)'!$M:$M,'data (1)'!$J:$J,"="&amp;$A704,'data (1)'!$A:$A,"="&amp;вариация!E$2)</f>
        <v>0</v>
      </c>
      <c r="F704">
        <f>SUMIFS('data (1)'!$M:$M,'data (1)'!$J:$J,"="&amp;$A704,'data (1)'!$A:$A,"="&amp;вариация!F$2)</f>
        <v>0</v>
      </c>
      <c r="G704">
        <f>SUMIFS('data (1)'!$M:$M,'data (1)'!$J:$J,"="&amp;$A704,'data (1)'!$A:$A,"="&amp;вариация!G$2)</f>
        <v>1</v>
      </c>
      <c r="H704" t="str">
        <f t="shared" si="21"/>
        <v>No</v>
      </c>
    </row>
    <row r="705" spans="1:8" x14ac:dyDescent="0.25">
      <c r="A705" s="7" t="s">
        <v>1119</v>
      </c>
      <c r="B705" s="25">
        <f t="shared" si="20"/>
        <v>2.2360679774997894</v>
      </c>
      <c r="C705">
        <f>SUMIFS('data (1)'!$M:$M,'data (1)'!$J:$J,"="&amp;$A705,'data (1)'!$A:$A,"="&amp;вариация!C$2)</f>
        <v>0</v>
      </c>
      <c r="D705">
        <f>SUMIFS('data (1)'!$M:$M,'data (1)'!$J:$J,"="&amp;$A705,'data (1)'!$A:$A,"="&amp;вариация!D$2)</f>
        <v>0</v>
      </c>
      <c r="E705">
        <f>SUMIFS('data (1)'!$M:$M,'data (1)'!$J:$J,"="&amp;$A705,'data (1)'!$A:$A,"="&amp;вариация!E$2)</f>
        <v>0</v>
      </c>
      <c r="F705">
        <f>SUMIFS('data (1)'!$M:$M,'data (1)'!$J:$J,"="&amp;$A705,'data (1)'!$A:$A,"="&amp;вариация!F$2)</f>
        <v>0</v>
      </c>
      <c r="G705">
        <f>SUMIFS('data (1)'!$M:$M,'data (1)'!$J:$J,"="&amp;$A705,'data (1)'!$A:$A,"="&amp;вариация!G$2)</f>
        <v>1</v>
      </c>
      <c r="H705" t="str">
        <f t="shared" si="21"/>
        <v>No</v>
      </c>
    </row>
    <row r="706" spans="1:8" x14ac:dyDescent="0.25">
      <c r="A706" s="7" t="s">
        <v>649</v>
      </c>
      <c r="B706" s="25">
        <f t="shared" si="20"/>
        <v>2.2360679774997894</v>
      </c>
      <c r="C706">
        <f>SUMIFS('data (1)'!$M:$M,'data (1)'!$J:$J,"="&amp;$A706,'data (1)'!$A:$A,"="&amp;вариация!C$2)</f>
        <v>0</v>
      </c>
      <c r="D706">
        <f>SUMIFS('data (1)'!$M:$M,'data (1)'!$J:$J,"="&amp;$A706,'data (1)'!$A:$A,"="&amp;вариация!D$2)</f>
        <v>1</v>
      </c>
      <c r="E706">
        <f>SUMIFS('data (1)'!$M:$M,'data (1)'!$J:$J,"="&amp;$A706,'data (1)'!$A:$A,"="&amp;вариация!E$2)</f>
        <v>0</v>
      </c>
      <c r="F706">
        <f>SUMIFS('data (1)'!$M:$M,'data (1)'!$J:$J,"="&amp;$A706,'data (1)'!$A:$A,"="&amp;вариация!F$2)</f>
        <v>0</v>
      </c>
      <c r="G706">
        <f>SUMIFS('data (1)'!$M:$M,'data (1)'!$J:$J,"="&amp;$A706,'data (1)'!$A:$A,"="&amp;вариация!G$2)</f>
        <v>0</v>
      </c>
      <c r="H706" t="str">
        <f t="shared" si="21"/>
        <v>No</v>
      </c>
    </row>
    <row r="707" spans="1:8" x14ac:dyDescent="0.25">
      <c r="A707" s="7" t="s">
        <v>702</v>
      </c>
      <c r="B707" s="25">
        <f t="shared" si="20"/>
        <v>1.3693063937629151</v>
      </c>
      <c r="C707">
        <f>SUMIFS('data (1)'!$M:$M,'data (1)'!$J:$J,"="&amp;$A707,'data (1)'!$A:$A,"="&amp;вариация!C$2)</f>
        <v>0</v>
      </c>
      <c r="D707">
        <f>SUMIFS('data (1)'!$M:$M,'data (1)'!$J:$J,"="&amp;$A707,'data (1)'!$A:$A,"="&amp;вариация!D$2)</f>
        <v>1</v>
      </c>
      <c r="E707">
        <f>SUMIFS('data (1)'!$M:$M,'data (1)'!$J:$J,"="&amp;$A707,'data (1)'!$A:$A,"="&amp;вариация!E$2)</f>
        <v>1</v>
      </c>
      <c r="F707">
        <f>SUMIFS('data (1)'!$M:$M,'data (1)'!$J:$J,"="&amp;$A707,'data (1)'!$A:$A,"="&amp;вариация!F$2)</f>
        <v>0</v>
      </c>
      <c r="G707">
        <f>SUMIFS('data (1)'!$M:$M,'data (1)'!$J:$J,"="&amp;$A707,'data (1)'!$A:$A,"="&amp;вариация!G$2)</f>
        <v>0</v>
      </c>
      <c r="H707" t="str">
        <f t="shared" si="21"/>
        <v>No</v>
      </c>
    </row>
    <row r="708" spans="1:8" x14ac:dyDescent="0.25">
      <c r="A708" s="7" t="s">
        <v>1036</v>
      </c>
      <c r="B708" s="25">
        <f t="shared" ref="B708:B771" si="22">_xlfn.STDEV.S(C708:G708)/AVERAGE(C708:G708)</f>
        <v>2.2360679774997894</v>
      </c>
      <c r="C708">
        <f>SUMIFS('data (1)'!$M:$M,'data (1)'!$J:$J,"="&amp;$A708,'data (1)'!$A:$A,"="&amp;вариация!C$2)</f>
        <v>0</v>
      </c>
      <c r="D708">
        <f>SUMIFS('data (1)'!$M:$M,'data (1)'!$J:$J,"="&amp;$A708,'data (1)'!$A:$A,"="&amp;вариация!D$2)</f>
        <v>0</v>
      </c>
      <c r="E708">
        <f>SUMIFS('data (1)'!$M:$M,'data (1)'!$J:$J,"="&amp;$A708,'data (1)'!$A:$A,"="&amp;вариация!E$2)</f>
        <v>0</v>
      </c>
      <c r="F708">
        <f>SUMIFS('data (1)'!$M:$M,'data (1)'!$J:$J,"="&amp;$A708,'data (1)'!$A:$A,"="&amp;вариация!F$2)</f>
        <v>1</v>
      </c>
      <c r="G708">
        <f>SUMIFS('data (1)'!$M:$M,'data (1)'!$J:$J,"="&amp;$A708,'data (1)'!$A:$A,"="&amp;вариация!G$2)</f>
        <v>0</v>
      </c>
      <c r="H708" t="str">
        <f t="shared" ref="H708:H771" si="23">IF(COUNTIF(C708:G708,"&gt;0") &gt;=3, "Yes", "No")</f>
        <v>No</v>
      </c>
    </row>
    <row r="709" spans="1:8" x14ac:dyDescent="0.25">
      <c r="A709" s="7" t="s">
        <v>479</v>
      </c>
      <c r="B709" s="25">
        <f t="shared" si="22"/>
        <v>2.2360679774997894</v>
      </c>
      <c r="C709">
        <f>SUMIFS('data (1)'!$M:$M,'data (1)'!$J:$J,"="&amp;$A709,'data (1)'!$A:$A,"="&amp;вариация!C$2)</f>
        <v>0</v>
      </c>
      <c r="D709">
        <f>SUMIFS('data (1)'!$M:$M,'data (1)'!$J:$J,"="&amp;$A709,'data (1)'!$A:$A,"="&amp;вариация!D$2)</f>
        <v>2</v>
      </c>
      <c r="E709">
        <f>SUMIFS('data (1)'!$M:$M,'data (1)'!$J:$J,"="&amp;$A709,'data (1)'!$A:$A,"="&amp;вариация!E$2)</f>
        <v>0</v>
      </c>
      <c r="F709">
        <f>SUMIFS('data (1)'!$M:$M,'data (1)'!$J:$J,"="&amp;$A709,'data (1)'!$A:$A,"="&amp;вариация!F$2)</f>
        <v>0</v>
      </c>
      <c r="G709">
        <f>SUMIFS('data (1)'!$M:$M,'data (1)'!$J:$J,"="&amp;$A709,'data (1)'!$A:$A,"="&amp;вариация!G$2)</f>
        <v>0</v>
      </c>
      <c r="H709" t="str">
        <f t="shared" si="23"/>
        <v>No</v>
      </c>
    </row>
    <row r="710" spans="1:8" x14ac:dyDescent="0.25">
      <c r="A710" s="7" t="s">
        <v>375</v>
      </c>
      <c r="B710" s="25">
        <f t="shared" si="22"/>
        <v>2.2360679774997894</v>
      </c>
      <c r="C710">
        <f>SUMIFS('data (1)'!$M:$M,'data (1)'!$J:$J,"="&amp;$A710,'data (1)'!$A:$A,"="&amp;вариация!C$2)</f>
        <v>1</v>
      </c>
      <c r="D710">
        <f>SUMIFS('data (1)'!$M:$M,'data (1)'!$J:$J,"="&amp;$A710,'data (1)'!$A:$A,"="&amp;вариация!D$2)</f>
        <v>0</v>
      </c>
      <c r="E710">
        <f>SUMIFS('data (1)'!$M:$M,'data (1)'!$J:$J,"="&amp;$A710,'data (1)'!$A:$A,"="&amp;вариация!E$2)</f>
        <v>0</v>
      </c>
      <c r="F710">
        <f>SUMIFS('data (1)'!$M:$M,'data (1)'!$J:$J,"="&amp;$A710,'data (1)'!$A:$A,"="&amp;вариация!F$2)</f>
        <v>0</v>
      </c>
      <c r="G710">
        <f>SUMIFS('data (1)'!$M:$M,'data (1)'!$J:$J,"="&amp;$A710,'data (1)'!$A:$A,"="&amp;вариация!G$2)</f>
        <v>0</v>
      </c>
      <c r="H710" t="str">
        <f t="shared" si="23"/>
        <v>No</v>
      </c>
    </row>
    <row r="711" spans="1:8" x14ac:dyDescent="0.25">
      <c r="A711" s="7" t="s">
        <v>846</v>
      </c>
      <c r="B711" s="25">
        <f t="shared" si="22"/>
        <v>2.2360679774997894</v>
      </c>
      <c r="C711">
        <f>SUMIFS('data (1)'!$M:$M,'data (1)'!$J:$J,"="&amp;$A711,'data (1)'!$A:$A,"="&amp;вариация!C$2)</f>
        <v>0</v>
      </c>
      <c r="D711">
        <f>SUMIFS('data (1)'!$M:$M,'data (1)'!$J:$J,"="&amp;$A711,'data (1)'!$A:$A,"="&amp;вариация!D$2)</f>
        <v>0</v>
      </c>
      <c r="E711">
        <f>SUMIFS('data (1)'!$M:$M,'data (1)'!$J:$J,"="&amp;$A711,'data (1)'!$A:$A,"="&amp;вариация!E$2)</f>
        <v>1</v>
      </c>
      <c r="F711">
        <f>SUMIFS('data (1)'!$M:$M,'data (1)'!$J:$J,"="&amp;$A711,'data (1)'!$A:$A,"="&amp;вариация!F$2)</f>
        <v>0</v>
      </c>
      <c r="G711">
        <f>SUMIFS('data (1)'!$M:$M,'data (1)'!$J:$J,"="&amp;$A711,'data (1)'!$A:$A,"="&amp;вариация!G$2)</f>
        <v>0</v>
      </c>
      <c r="H711" t="str">
        <f t="shared" si="23"/>
        <v>No</v>
      </c>
    </row>
    <row r="712" spans="1:8" x14ac:dyDescent="0.25">
      <c r="A712" s="7" t="s">
        <v>818</v>
      </c>
      <c r="B712" s="25">
        <f t="shared" si="22"/>
        <v>2.2360679774997894</v>
      </c>
      <c r="C712">
        <f>SUMIFS('data (1)'!$M:$M,'data (1)'!$J:$J,"="&amp;$A712,'data (1)'!$A:$A,"="&amp;вариация!C$2)</f>
        <v>0</v>
      </c>
      <c r="D712">
        <f>SUMIFS('data (1)'!$M:$M,'data (1)'!$J:$J,"="&amp;$A712,'data (1)'!$A:$A,"="&amp;вариация!D$2)</f>
        <v>0</v>
      </c>
      <c r="E712">
        <f>SUMIFS('data (1)'!$M:$M,'data (1)'!$J:$J,"="&amp;$A712,'data (1)'!$A:$A,"="&amp;вариация!E$2)</f>
        <v>1</v>
      </c>
      <c r="F712">
        <f>SUMIFS('data (1)'!$M:$M,'data (1)'!$J:$J,"="&amp;$A712,'data (1)'!$A:$A,"="&amp;вариация!F$2)</f>
        <v>0</v>
      </c>
      <c r="G712">
        <f>SUMIFS('data (1)'!$M:$M,'data (1)'!$J:$J,"="&amp;$A712,'data (1)'!$A:$A,"="&amp;вариация!G$2)</f>
        <v>0</v>
      </c>
      <c r="H712" t="str">
        <f t="shared" si="23"/>
        <v>No</v>
      </c>
    </row>
    <row r="713" spans="1:8" x14ac:dyDescent="0.25">
      <c r="A713" s="7" t="s">
        <v>302</v>
      </c>
      <c r="B713" s="25">
        <f t="shared" si="22"/>
        <v>1.0865337342004415</v>
      </c>
      <c r="C713">
        <f>SUMIFS('data (1)'!$M:$M,'data (1)'!$J:$J,"="&amp;$A713,'data (1)'!$A:$A,"="&amp;вариация!C$2)</f>
        <v>2</v>
      </c>
      <c r="D713">
        <f>SUMIFS('data (1)'!$M:$M,'data (1)'!$J:$J,"="&amp;$A713,'data (1)'!$A:$A,"="&amp;вариация!D$2)</f>
        <v>3</v>
      </c>
      <c r="E713">
        <f>SUMIFS('data (1)'!$M:$M,'data (1)'!$J:$J,"="&amp;$A713,'data (1)'!$A:$A,"="&amp;вариация!E$2)</f>
        <v>1</v>
      </c>
      <c r="F713">
        <f>SUMIFS('data (1)'!$M:$M,'data (1)'!$J:$J,"="&amp;$A713,'data (1)'!$A:$A,"="&amp;вариация!F$2)</f>
        <v>0</v>
      </c>
      <c r="G713">
        <f>SUMIFS('data (1)'!$M:$M,'data (1)'!$J:$J,"="&amp;$A713,'data (1)'!$A:$A,"="&amp;вариация!G$2)</f>
        <v>0</v>
      </c>
      <c r="H713" t="str">
        <f t="shared" si="23"/>
        <v>Yes</v>
      </c>
    </row>
    <row r="714" spans="1:8" x14ac:dyDescent="0.25">
      <c r="A714" s="7" t="s">
        <v>820</v>
      </c>
      <c r="B714" s="25">
        <f t="shared" si="22"/>
        <v>2.2360679774997894</v>
      </c>
      <c r="C714">
        <f>SUMIFS('data (1)'!$M:$M,'data (1)'!$J:$J,"="&amp;$A714,'data (1)'!$A:$A,"="&amp;вариация!C$2)</f>
        <v>0</v>
      </c>
      <c r="D714">
        <f>SUMIFS('data (1)'!$M:$M,'data (1)'!$J:$J,"="&amp;$A714,'data (1)'!$A:$A,"="&amp;вариация!D$2)</f>
        <v>0</v>
      </c>
      <c r="E714">
        <f>SUMIFS('data (1)'!$M:$M,'data (1)'!$J:$J,"="&amp;$A714,'data (1)'!$A:$A,"="&amp;вариация!E$2)</f>
        <v>1</v>
      </c>
      <c r="F714">
        <f>SUMIFS('data (1)'!$M:$M,'data (1)'!$J:$J,"="&amp;$A714,'data (1)'!$A:$A,"="&amp;вариация!F$2)</f>
        <v>0</v>
      </c>
      <c r="G714">
        <f>SUMIFS('data (1)'!$M:$M,'data (1)'!$J:$J,"="&amp;$A714,'data (1)'!$A:$A,"="&amp;вариация!G$2)</f>
        <v>0</v>
      </c>
      <c r="H714" t="str">
        <f t="shared" si="23"/>
        <v>No</v>
      </c>
    </row>
    <row r="715" spans="1:8" x14ac:dyDescent="0.25">
      <c r="A715" s="7" t="s">
        <v>380</v>
      </c>
      <c r="B715" s="25">
        <f t="shared" si="22"/>
        <v>2.2360679774997894</v>
      </c>
      <c r="C715">
        <f>SUMIFS('data (1)'!$M:$M,'data (1)'!$J:$J,"="&amp;$A715,'data (1)'!$A:$A,"="&amp;вариация!C$2)</f>
        <v>2</v>
      </c>
      <c r="D715">
        <f>SUMIFS('data (1)'!$M:$M,'data (1)'!$J:$J,"="&amp;$A715,'data (1)'!$A:$A,"="&amp;вариация!D$2)</f>
        <v>0</v>
      </c>
      <c r="E715">
        <f>SUMIFS('data (1)'!$M:$M,'data (1)'!$J:$J,"="&amp;$A715,'data (1)'!$A:$A,"="&amp;вариация!E$2)</f>
        <v>0</v>
      </c>
      <c r="F715">
        <f>SUMIFS('data (1)'!$M:$M,'data (1)'!$J:$J,"="&amp;$A715,'data (1)'!$A:$A,"="&amp;вариация!F$2)</f>
        <v>0</v>
      </c>
      <c r="G715">
        <f>SUMIFS('data (1)'!$M:$M,'data (1)'!$J:$J,"="&amp;$A715,'data (1)'!$A:$A,"="&amp;вариация!G$2)</f>
        <v>0</v>
      </c>
      <c r="H715" t="str">
        <f t="shared" si="23"/>
        <v>No</v>
      </c>
    </row>
    <row r="716" spans="1:8" x14ac:dyDescent="0.25">
      <c r="A716" s="7" t="s">
        <v>369</v>
      </c>
      <c r="B716" s="25">
        <f t="shared" si="22"/>
        <v>0.61237243569579447</v>
      </c>
      <c r="C716">
        <f>SUMIFS('data (1)'!$M:$M,'data (1)'!$J:$J,"="&amp;$A716,'data (1)'!$A:$A,"="&amp;вариация!C$2)</f>
        <v>2</v>
      </c>
      <c r="D716">
        <f>SUMIFS('data (1)'!$M:$M,'data (1)'!$J:$J,"="&amp;$A716,'data (1)'!$A:$A,"="&amp;вариация!D$2)</f>
        <v>2</v>
      </c>
      <c r="E716">
        <f>SUMIFS('data (1)'!$M:$M,'data (1)'!$J:$J,"="&amp;$A716,'data (1)'!$A:$A,"="&amp;вариация!E$2)</f>
        <v>1</v>
      </c>
      <c r="F716">
        <f>SUMIFS('data (1)'!$M:$M,'data (1)'!$J:$J,"="&amp;$A716,'data (1)'!$A:$A,"="&amp;вариация!F$2)</f>
        <v>1</v>
      </c>
      <c r="G716">
        <f>SUMIFS('data (1)'!$M:$M,'data (1)'!$J:$J,"="&amp;$A716,'data (1)'!$A:$A,"="&amp;вариация!G$2)</f>
        <v>4</v>
      </c>
      <c r="H716" t="str">
        <f t="shared" si="23"/>
        <v>Yes</v>
      </c>
    </row>
    <row r="717" spans="1:8" x14ac:dyDescent="0.25">
      <c r="A717" s="7" t="s">
        <v>732</v>
      </c>
      <c r="B717" s="25">
        <f t="shared" si="22"/>
        <v>2.2360679774997894</v>
      </c>
      <c r="C717">
        <f>SUMIFS('data (1)'!$M:$M,'data (1)'!$J:$J,"="&amp;$A717,'data (1)'!$A:$A,"="&amp;вариация!C$2)</f>
        <v>0</v>
      </c>
      <c r="D717">
        <f>SUMIFS('data (1)'!$M:$M,'data (1)'!$J:$J,"="&amp;$A717,'data (1)'!$A:$A,"="&amp;вариация!D$2)</f>
        <v>0</v>
      </c>
      <c r="E717">
        <f>SUMIFS('data (1)'!$M:$M,'data (1)'!$J:$J,"="&amp;$A717,'data (1)'!$A:$A,"="&amp;вариация!E$2)</f>
        <v>1</v>
      </c>
      <c r="F717">
        <f>SUMIFS('data (1)'!$M:$M,'data (1)'!$J:$J,"="&amp;$A717,'data (1)'!$A:$A,"="&amp;вариация!F$2)</f>
        <v>0</v>
      </c>
      <c r="G717">
        <f>SUMIFS('data (1)'!$M:$M,'data (1)'!$J:$J,"="&amp;$A717,'data (1)'!$A:$A,"="&amp;вариация!G$2)</f>
        <v>0</v>
      </c>
      <c r="H717" t="str">
        <f t="shared" si="23"/>
        <v>No</v>
      </c>
    </row>
    <row r="718" spans="1:8" x14ac:dyDescent="0.25">
      <c r="A718" s="7" t="s">
        <v>1189</v>
      </c>
      <c r="B718" s="25">
        <f t="shared" si="22"/>
        <v>2.2360679774997894</v>
      </c>
      <c r="C718">
        <f>SUMIFS('data (1)'!$M:$M,'data (1)'!$J:$J,"="&amp;$A718,'data (1)'!$A:$A,"="&amp;вариация!C$2)</f>
        <v>0</v>
      </c>
      <c r="D718">
        <f>SUMIFS('data (1)'!$M:$M,'data (1)'!$J:$J,"="&amp;$A718,'data (1)'!$A:$A,"="&amp;вариация!D$2)</f>
        <v>0</v>
      </c>
      <c r="E718">
        <f>SUMIFS('data (1)'!$M:$M,'data (1)'!$J:$J,"="&amp;$A718,'data (1)'!$A:$A,"="&amp;вариация!E$2)</f>
        <v>0</v>
      </c>
      <c r="F718">
        <f>SUMIFS('data (1)'!$M:$M,'data (1)'!$J:$J,"="&amp;$A718,'data (1)'!$A:$A,"="&amp;вариация!F$2)</f>
        <v>0</v>
      </c>
      <c r="G718">
        <f>SUMIFS('data (1)'!$M:$M,'data (1)'!$J:$J,"="&amp;$A718,'data (1)'!$A:$A,"="&amp;вариация!G$2)</f>
        <v>1</v>
      </c>
      <c r="H718" t="str">
        <f t="shared" si="23"/>
        <v>No</v>
      </c>
    </row>
    <row r="719" spans="1:8" x14ac:dyDescent="0.25">
      <c r="A719" s="7" t="s">
        <v>839</v>
      </c>
      <c r="B719" s="25">
        <f t="shared" si="22"/>
        <v>2.2360679774997894</v>
      </c>
      <c r="C719">
        <f>SUMIFS('data (1)'!$M:$M,'data (1)'!$J:$J,"="&amp;$A719,'data (1)'!$A:$A,"="&amp;вариация!C$2)</f>
        <v>0</v>
      </c>
      <c r="D719">
        <f>SUMIFS('data (1)'!$M:$M,'data (1)'!$J:$J,"="&amp;$A719,'data (1)'!$A:$A,"="&amp;вариация!D$2)</f>
        <v>0</v>
      </c>
      <c r="E719">
        <f>SUMIFS('data (1)'!$M:$M,'data (1)'!$J:$J,"="&amp;$A719,'data (1)'!$A:$A,"="&amp;вариация!E$2)</f>
        <v>1</v>
      </c>
      <c r="F719">
        <f>SUMIFS('data (1)'!$M:$M,'data (1)'!$J:$J,"="&amp;$A719,'data (1)'!$A:$A,"="&amp;вариация!F$2)</f>
        <v>0</v>
      </c>
      <c r="G719">
        <f>SUMIFS('data (1)'!$M:$M,'data (1)'!$J:$J,"="&amp;$A719,'data (1)'!$A:$A,"="&amp;вариация!G$2)</f>
        <v>0</v>
      </c>
      <c r="H719" t="str">
        <f t="shared" si="23"/>
        <v>No</v>
      </c>
    </row>
    <row r="720" spans="1:8" x14ac:dyDescent="0.25">
      <c r="A720" s="7" t="s">
        <v>906</v>
      </c>
      <c r="B720" s="25">
        <f t="shared" si="22"/>
        <v>2.2360679774997894</v>
      </c>
      <c r="C720">
        <f>SUMIFS('data (1)'!$M:$M,'data (1)'!$J:$J,"="&amp;$A720,'data (1)'!$A:$A,"="&amp;вариация!C$2)</f>
        <v>0</v>
      </c>
      <c r="D720">
        <f>SUMIFS('data (1)'!$M:$M,'data (1)'!$J:$J,"="&amp;$A720,'data (1)'!$A:$A,"="&amp;вариация!D$2)</f>
        <v>0</v>
      </c>
      <c r="E720">
        <f>SUMIFS('data (1)'!$M:$M,'data (1)'!$J:$J,"="&amp;$A720,'data (1)'!$A:$A,"="&amp;вариация!E$2)</f>
        <v>1</v>
      </c>
      <c r="F720">
        <f>SUMIFS('data (1)'!$M:$M,'data (1)'!$J:$J,"="&amp;$A720,'data (1)'!$A:$A,"="&amp;вариация!F$2)</f>
        <v>0</v>
      </c>
      <c r="G720">
        <f>SUMIFS('data (1)'!$M:$M,'data (1)'!$J:$J,"="&amp;$A720,'data (1)'!$A:$A,"="&amp;вариация!G$2)</f>
        <v>0</v>
      </c>
      <c r="H720" t="str">
        <f t="shared" si="23"/>
        <v>No</v>
      </c>
    </row>
    <row r="721" spans="1:8" x14ac:dyDescent="0.25">
      <c r="A721" s="7" t="s">
        <v>468</v>
      </c>
      <c r="B721" s="25">
        <f t="shared" si="22"/>
        <v>0.81441101792795567</v>
      </c>
      <c r="C721">
        <f>SUMIFS('data (1)'!$M:$M,'data (1)'!$J:$J,"="&amp;$A721,'data (1)'!$A:$A,"="&amp;вариация!C$2)</f>
        <v>2</v>
      </c>
      <c r="D721">
        <f>SUMIFS('data (1)'!$M:$M,'data (1)'!$J:$J,"="&amp;$A721,'data (1)'!$A:$A,"="&amp;вариация!D$2)</f>
        <v>1</v>
      </c>
      <c r="E721">
        <f>SUMIFS('data (1)'!$M:$M,'data (1)'!$J:$J,"="&amp;$A721,'data (1)'!$A:$A,"="&amp;вариация!E$2)</f>
        <v>3</v>
      </c>
      <c r="F721">
        <f>SUMIFS('data (1)'!$M:$M,'data (1)'!$J:$J,"="&amp;$A721,'data (1)'!$A:$A,"="&amp;вариация!F$2)</f>
        <v>0</v>
      </c>
      <c r="G721">
        <f>SUMIFS('data (1)'!$M:$M,'data (1)'!$J:$J,"="&amp;$A721,'data (1)'!$A:$A,"="&amp;вариация!G$2)</f>
        <v>1</v>
      </c>
      <c r="H721" t="str">
        <f t="shared" si="23"/>
        <v>Yes</v>
      </c>
    </row>
    <row r="722" spans="1:8" x14ac:dyDescent="0.25">
      <c r="A722" s="7" t="s">
        <v>931</v>
      </c>
      <c r="B722" s="25">
        <f t="shared" si="22"/>
        <v>2.2360679774997894</v>
      </c>
      <c r="C722">
        <f>SUMIFS('data (1)'!$M:$M,'data (1)'!$J:$J,"="&amp;$A722,'data (1)'!$A:$A,"="&amp;вариация!C$2)</f>
        <v>0</v>
      </c>
      <c r="D722">
        <f>SUMIFS('data (1)'!$M:$M,'data (1)'!$J:$J,"="&amp;$A722,'data (1)'!$A:$A,"="&amp;вариация!D$2)</f>
        <v>0</v>
      </c>
      <c r="E722">
        <f>SUMIFS('data (1)'!$M:$M,'data (1)'!$J:$J,"="&amp;$A722,'data (1)'!$A:$A,"="&amp;вариация!E$2)</f>
        <v>0</v>
      </c>
      <c r="F722">
        <f>SUMIFS('data (1)'!$M:$M,'data (1)'!$J:$J,"="&amp;$A722,'data (1)'!$A:$A,"="&amp;вариация!F$2)</f>
        <v>1</v>
      </c>
      <c r="G722">
        <f>SUMIFS('data (1)'!$M:$M,'data (1)'!$J:$J,"="&amp;$A722,'data (1)'!$A:$A,"="&amp;вариация!G$2)</f>
        <v>0</v>
      </c>
      <c r="H722" t="str">
        <f t="shared" si="23"/>
        <v>No</v>
      </c>
    </row>
    <row r="723" spans="1:8" x14ac:dyDescent="0.25">
      <c r="A723" s="7" t="s">
        <v>298</v>
      </c>
      <c r="B723" s="25">
        <f t="shared" si="22"/>
        <v>2.2360679774997894</v>
      </c>
      <c r="C723">
        <f>SUMIFS('data (1)'!$M:$M,'data (1)'!$J:$J,"="&amp;$A723,'data (1)'!$A:$A,"="&amp;вариация!C$2)</f>
        <v>1</v>
      </c>
      <c r="D723">
        <f>SUMIFS('data (1)'!$M:$M,'data (1)'!$J:$J,"="&amp;$A723,'data (1)'!$A:$A,"="&amp;вариация!D$2)</f>
        <v>0</v>
      </c>
      <c r="E723">
        <f>SUMIFS('data (1)'!$M:$M,'data (1)'!$J:$J,"="&amp;$A723,'data (1)'!$A:$A,"="&amp;вариация!E$2)</f>
        <v>0</v>
      </c>
      <c r="F723">
        <f>SUMIFS('data (1)'!$M:$M,'data (1)'!$J:$J,"="&amp;$A723,'data (1)'!$A:$A,"="&amp;вариация!F$2)</f>
        <v>0</v>
      </c>
      <c r="G723">
        <f>SUMIFS('data (1)'!$M:$M,'data (1)'!$J:$J,"="&amp;$A723,'data (1)'!$A:$A,"="&amp;вариация!G$2)</f>
        <v>0</v>
      </c>
      <c r="H723" t="str">
        <f t="shared" si="23"/>
        <v>No</v>
      </c>
    </row>
    <row r="724" spans="1:8" x14ac:dyDescent="0.25">
      <c r="A724" s="7" t="s">
        <v>915</v>
      </c>
      <c r="B724" s="25">
        <f t="shared" si="22"/>
        <v>2.2360679774997898</v>
      </c>
      <c r="C724">
        <f>SUMIFS('data (1)'!$M:$M,'data (1)'!$J:$J,"="&amp;$A724,'data (1)'!$A:$A,"="&amp;вариация!C$2)</f>
        <v>0</v>
      </c>
      <c r="D724">
        <f>SUMIFS('data (1)'!$M:$M,'data (1)'!$J:$J,"="&amp;$A724,'data (1)'!$A:$A,"="&amp;вариация!D$2)</f>
        <v>0</v>
      </c>
      <c r="E724">
        <f>SUMIFS('data (1)'!$M:$M,'data (1)'!$J:$J,"="&amp;$A724,'data (1)'!$A:$A,"="&amp;вариация!E$2)</f>
        <v>0.2</v>
      </c>
      <c r="F724">
        <f>SUMIFS('data (1)'!$M:$M,'data (1)'!$J:$J,"="&amp;$A724,'data (1)'!$A:$A,"="&amp;вариация!F$2)</f>
        <v>0</v>
      </c>
      <c r="G724">
        <f>SUMIFS('data (1)'!$M:$M,'data (1)'!$J:$J,"="&amp;$A724,'data (1)'!$A:$A,"="&amp;вариация!G$2)</f>
        <v>0</v>
      </c>
      <c r="H724" t="str">
        <f t="shared" si="23"/>
        <v>No</v>
      </c>
    </row>
    <row r="725" spans="1:8" x14ac:dyDescent="0.25">
      <c r="A725" s="7" t="s">
        <v>482</v>
      </c>
      <c r="B725" s="25">
        <f t="shared" si="22"/>
        <v>2.2360679774997894</v>
      </c>
      <c r="C725">
        <f>SUMIFS('data (1)'!$M:$M,'data (1)'!$J:$J,"="&amp;$A725,'data (1)'!$A:$A,"="&amp;вариация!C$2)</f>
        <v>0</v>
      </c>
      <c r="D725">
        <f>SUMIFS('data (1)'!$M:$M,'data (1)'!$J:$J,"="&amp;$A725,'data (1)'!$A:$A,"="&amp;вариация!D$2)</f>
        <v>1</v>
      </c>
      <c r="E725">
        <f>SUMIFS('data (1)'!$M:$M,'data (1)'!$J:$J,"="&amp;$A725,'data (1)'!$A:$A,"="&amp;вариация!E$2)</f>
        <v>0</v>
      </c>
      <c r="F725">
        <f>SUMIFS('data (1)'!$M:$M,'data (1)'!$J:$J,"="&amp;$A725,'data (1)'!$A:$A,"="&amp;вариация!F$2)</f>
        <v>0</v>
      </c>
      <c r="G725">
        <f>SUMIFS('data (1)'!$M:$M,'data (1)'!$J:$J,"="&amp;$A725,'data (1)'!$A:$A,"="&amp;вариация!G$2)</f>
        <v>0</v>
      </c>
      <c r="H725" t="str">
        <f t="shared" si="23"/>
        <v>No</v>
      </c>
    </row>
    <row r="726" spans="1:8" x14ac:dyDescent="0.25">
      <c r="A726" s="7" t="s">
        <v>1217</v>
      </c>
      <c r="B726" s="25">
        <f t="shared" si="22"/>
        <v>2.2360679774997894</v>
      </c>
      <c r="C726">
        <f>SUMIFS('data (1)'!$M:$M,'data (1)'!$J:$J,"="&amp;$A726,'data (1)'!$A:$A,"="&amp;вариация!C$2)</f>
        <v>0</v>
      </c>
      <c r="D726">
        <f>SUMIFS('data (1)'!$M:$M,'data (1)'!$J:$J,"="&amp;$A726,'data (1)'!$A:$A,"="&amp;вариация!D$2)</f>
        <v>0</v>
      </c>
      <c r="E726">
        <f>SUMIFS('data (1)'!$M:$M,'data (1)'!$J:$J,"="&amp;$A726,'data (1)'!$A:$A,"="&amp;вариация!E$2)</f>
        <v>0</v>
      </c>
      <c r="F726">
        <f>SUMIFS('data (1)'!$M:$M,'data (1)'!$J:$J,"="&amp;$A726,'data (1)'!$A:$A,"="&amp;вариация!F$2)</f>
        <v>0</v>
      </c>
      <c r="G726">
        <f>SUMIFS('data (1)'!$M:$M,'data (1)'!$J:$J,"="&amp;$A726,'data (1)'!$A:$A,"="&amp;вариация!G$2)</f>
        <v>1</v>
      </c>
      <c r="H726" t="str">
        <f t="shared" si="23"/>
        <v>No</v>
      </c>
    </row>
    <row r="727" spans="1:8" x14ac:dyDescent="0.25">
      <c r="A727" s="7" t="s">
        <v>1111</v>
      </c>
      <c r="B727" s="25">
        <f t="shared" si="22"/>
        <v>2.2360679774997894</v>
      </c>
      <c r="C727">
        <f>SUMIFS('data (1)'!$M:$M,'data (1)'!$J:$J,"="&amp;$A727,'data (1)'!$A:$A,"="&amp;вариация!C$2)</f>
        <v>0</v>
      </c>
      <c r="D727">
        <f>SUMIFS('data (1)'!$M:$M,'data (1)'!$J:$J,"="&amp;$A727,'data (1)'!$A:$A,"="&amp;вариация!D$2)</f>
        <v>0</v>
      </c>
      <c r="E727">
        <f>SUMIFS('data (1)'!$M:$M,'data (1)'!$J:$J,"="&amp;$A727,'data (1)'!$A:$A,"="&amp;вариация!E$2)</f>
        <v>0</v>
      </c>
      <c r="F727">
        <f>SUMIFS('data (1)'!$M:$M,'data (1)'!$J:$J,"="&amp;$A727,'data (1)'!$A:$A,"="&amp;вариация!F$2)</f>
        <v>0</v>
      </c>
      <c r="G727">
        <f>SUMIFS('data (1)'!$M:$M,'data (1)'!$J:$J,"="&amp;$A727,'data (1)'!$A:$A,"="&amp;вариация!G$2)</f>
        <v>1</v>
      </c>
      <c r="H727" t="str">
        <f t="shared" si="23"/>
        <v>No</v>
      </c>
    </row>
    <row r="728" spans="1:8" x14ac:dyDescent="0.25">
      <c r="A728" s="7" t="s">
        <v>811</v>
      </c>
      <c r="B728" s="25">
        <f t="shared" si="22"/>
        <v>2.2360679774997894</v>
      </c>
      <c r="C728">
        <f>SUMIFS('data (1)'!$M:$M,'data (1)'!$J:$J,"="&amp;$A728,'data (1)'!$A:$A,"="&amp;вариация!C$2)</f>
        <v>0</v>
      </c>
      <c r="D728">
        <f>SUMIFS('data (1)'!$M:$M,'data (1)'!$J:$J,"="&amp;$A728,'data (1)'!$A:$A,"="&amp;вариация!D$2)</f>
        <v>0</v>
      </c>
      <c r="E728">
        <f>SUMIFS('data (1)'!$M:$M,'data (1)'!$J:$J,"="&amp;$A728,'data (1)'!$A:$A,"="&amp;вариация!E$2)</f>
        <v>1</v>
      </c>
      <c r="F728">
        <f>SUMIFS('data (1)'!$M:$M,'data (1)'!$J:$J,"="&amp;$A728,'data (1)'!$A:$A,"="&amp;вариация!F$2)</f>
        <v>0</v>
      </c>
      <c r="G728">
        <f>SUMIFS('data (1)'!$M:$M,'data (1)'!$J:$J,"="&amp;$A728,'data (1)'!$A:$A,"="&amp;вариация!G$2)</f>
        <v>0</v>
      </c>
      <c r="H728" t="str">
        <f t="shared" si="23"/>
        <v>No</v>
      </c>
    </row>
    <row r="729" spans="1:8" x14ac:dyDescent="0.25">
      <c r="A729" s="7" t="s">
        <v>232</v>
      </c>
      <c r="B729" s="25">
        <f t="shared" si="22"/>
        <v>1.3693063937629151</v>
      </c>
      <c r="C729">
        <f>SUMIFS('data (1)'!$M:$M,'data (1)'!$J:$J,"="&amp;$A729,'data (1)'!$A:$A,"="&amp;вариация!C$2)</f>
        <v>1</v>
      </c>
      <c r="D729">
        <f>SUMIFS('data (1)'!$M:$M,'data (1)'!$J:$J,"="&amp;$A729,'data (1)'!$A:$A,"="&amp;вариация!D$2)</f>
        <v>0</v>
      </c>
      <c r="E729">
        <f>SUMIFS('data (1)'!$M:$M,'data (1)'!$J:$J,"="&amp;$A729,'data (1)'!$A:$A,"="&amp;вариация!E$2)</f>
        <v>0</v>
      </c>
      <c r="F729">
        <f>SUMIFS('data (1)'!$M:$M,'data (1)'!$J:$J,"="&amp;$A729,'data (1)'!$A:$A,"="&amp;вариация!F$2)</f>
        <v>0</v>
      </c>
      <c r="G729">
        <f>SUMIFS('data (1)'!$M:$M,'data (1)'!$J:$J,"="&amp;$A729,'data (1)'!$A:$A,"="&amp;вариация!G$2)</f>
        <v>1</v>
      </c>
      <c r="H729" t="str">
        <f t="shared" si="23"/>
        <v>No</v>
      </c>
    </row>
    <row r="730" spans="1:8" x14ac:dyDescent="0.25">
      <c r="A730" s="7" t="s">
        <v>386</v>
      </c>
      <c r="B730" s="25">
        <f t="shared" si="22"/>
        <v>2.2360679774997894</v>
      </c>
      <c r="C730">
        <f>SUMIFS('data (1)'!$M:$M,'data (1)'!$J:$J,"="&amp;$A730,'data (1)'!$A:$A,"="&amp;вариация!C$2)</f>
        <v>1</v>
      </c>
      <c r="D730">
        <f>SUMIFS('data (1)'!$M:$M,'data (1)'!$J:$J,"="&amp;$A730,'data (1)'!$A:$A,"="&amp;вариация!D$2)</f>
        <v>0</v>
      </c>
      <c r="E730">
        <f>SUMIFS('data (1)'!$M:$M,'data (1)'!$J:$J,"="&amp;$A730,'data (1)'!$A:$A,"="&amp;вариация!E$2)</f>
        <v>0</v>
      </c>
      <c r="F730">
        <f>SUMIFS('data (1)'!$M:$M,'data (1)'!$J:$J,"="&amp;$A730,'data (1)'!$A:$A,"="&amp;вариация!F$2)</f>
        <v>0</v>
      </c>
      <c r="G730">
        <f>SUMIFS('data (1)'!$M:$M,'data (1)'!$J:$J,"="&amp;$A730,'data (1)'!$A:$A,"="&amp;вариация!G$2)</f>
        <v>0</v>
      </c>
      <c r="H730" t="str">
        <f t="shared" si="23"/>
        <v>No</v>
      </c>
    </row>
    <row r="731" spans="1:8" x14ac:dyDescent="0.25">
      <c r="A731" s="7" t="s">
        <v>1040</v>
      </c>
      <c r="B731" s="25">
        <f t="shared" si="22"/>
        <v>2.2360679774997894</v>
      </c>
      <c r="C731">
        <f>SUMIFS('data (1)'!$M:$M,'data (1)'!$J:$J,"="&amp;$A731,'data (1)'!$A:$A,"="&amp;вариация!C$2)</f>
        <v>0</v>
      </c>
      <c r="D731">
        <f>SUMIFS('data (1)'!$M:$M,'data (1)'!$J:$J,"="&amp;$A731,'data (1)'!$A:$A,"="&amp;вариация!D$2)</f>
        <v>0</v>
      </c>
      <c r="E731">
        <f>SUMIFS('data (1)'!$M:$M,'data (1)'!$J:$J,"="&amp;$A731,'data (1)'!$A:$A,"="&amp;вариация!E$2)</f>
        <v>0</v>
      </c>
      <c r="F731">
        <f>SUMIFS('data (1)'!$M:$M,'data (1)'!$J:$J,"="&amp;$A731,'data (1)'!$A:$A,"="&amp;вариация!F$2)</f>
        <v>1</v>
      </c>
      <c r="G731">
        <f>SUMIFS('data (1)'!$M:$M,'data (1)'!$J:$J,"="&amp;$A731,'data (1)'!$A:$A,"="&amp;вариация!G$2)</f>
        <v>0</v>
      </c>
      <c r="H731" t="str">
        <f t="shared" si="23"/>
        <v>No</v>
      </c>
    </row>
    <row r="732" spans="1:8" x14ac:dyDescent="0.25">
      <c r="A732" s="7" t="s">
        <v>540</v>
      </c>
      <c r="B732" s="25">
        <f t="shared" si="22"/>
        <v>2.2360679774997894</v>
      </c>
      <c r="C732">
        <f>SUMIFS('data (1)'!$M:$M,'data (1)'!$J:$J,"="&amp;$A732,'data (1)'!$A:$A,"="&amp;вариация!C$2)</f>
        <v>0</v>
      </c>
      <c r="D732">
        <f>SUMIFS('data (1)'!$M:$M,'data (1)'!$J:$J,"="&amp;$A732,'data (1)'!$A:$A,"="&amp;вариация!D$2)</f>
        <v>0.30000000000000004</v>
      </c>
      <c r="E732">
        <f>SUMIFS('data (1)'!$M:$M,'data (1)'!$J:$J,"="&amp;$A732,'data (1)'!$A:$A,"="&amp;вариация!E$2)</f>
        <v>0</v>
      </c>
      <c r="F732">
        <f>SUMIFS('data (1)'!$M:$M,'data (1)'!$J:$J,"="&amp;$A732,'data (1)'!$A:$A,"="&amp;вариация!F$2)</f>
        <v>0</v>
      </c>
      <c r="G732">
        <f>SUMIFS('data (1)'!$M:$M,'data (1)'!$J:$J,"="&amp;$A732,'data (1)'!$A:$A,"="&amp;вариация!G$2)</f>
        <v>0</v>
      </c>
      <c r="H732" t="str">
        <f t="shared" si="23"/>
        <v>No</v>
      </c>
    </row>
    <row r="733" spans="1:8" x14ac:dyDescent="0.25">
      <c r="A733" s="7" t="s">
        <v>706</v>
      </c>
      <c r="B733" s="25">
        <f t="shared" si="22"/>
        <v>1.3693063937629151</v>
      </c>
      <c r="C733">
        <f>SUMIFS('data (1)'!$M:$M,'data (1)'!$J:$J,"="&amp;$A733,'data (1)'!$A:$A,"="&amp;вариация!C$2)</f>
        <v>0</v>
      </c>
      <c r="D733">
        <f>SUMIFS('data (1)'!$M:$M,'data (1)'!$J:$J,"="&amp;$A733,'data (1)'!$A:$A,"="&amp;вариация!D$2)</f>
        <v>1</v>
      </c>
      <c r="E733">
        <f>SUMIFS('data (1)'!$M:$M,'data (1)'!$J:$J,"="&amp;$A733,'data (1)'!$A:$A,"="&amp;вариация!E$2)</f>
        <v>0</v>
      </c>
      <c r="F733">
        <f>SUMIFS('data (1)'!$M:$M,'data (1)'!$J:$J,"="&amp;$A733,'data (1)'!$A:$A,"="&amp;вариация!F$2)</f>
        <v>0</v>
      </c>
      <c r="G733">
        <f>SUMIFS('data (1)'!$M:$M,'data (1)'!$J:$J,"="&amp;$A733,'data (1)'!$A:$A,"="&amp;вариация!G$2)</f>
        <v>1</v>
      </c>
      <c r="H733" t="str">
        <f t="shared" si="23"/>
        <v>No</v>
      </c>
    </row>
    <row r="734" spans="1:8" x14ac:dyDescent="0.25">
      <c r="A734" s="7" t="s">
        <v>927</v>
      </c>
      <c r="B734" s="25">
        <f t="shared" si="22"/>
        <v>2.2360679774997894</v>
      </c>
      <c r="C734">
        <f>SUMIFS('data (1)'!$M:$M,'data (1)'!$J:$J,"="&amp;$A734,'data (1)'!$A:$A,"="&amp;вариация!C$2)</f>
        <v>0</v>
      </c>
      <c r="D734">
        <f>SUMIFS('data (1)'!$M:$M,'data (1)'!$J:$J,"="&amp;$A734,'data (1)'!$A:$A,"="&amp;вариация!D$2)</f>
        <v>0</v>
      </c>
      <c r="E734">
        <f>SUMIFS('data (1)'!$M:$M,'data (1)'!$J:$J,"="&amp;$A734,'data (1)'!$A:$A,"="&amp;вариация!E$2)</f>
        <v>0</v>
      </c>
      <c r="F734">
        <f>SUMIFS('data (1)'!$M:$M,'data (1)'!$J:$J,"="&amp;$A734,'data (1)'!$A:$A,"="&amp;вариация!F$2)</f>
        <v>1</v>
      </c>
      <c r="G734">
        <f>SUMIFS('data (1)'!$M:$M,'data (1)'!$J:$J,"="&amp;$A734,'data (1)'!$A:$A,"="&amp;вариация!G$2)</f>
        <v>0</v>
      </c>
      <c r="H734" t="str">
        <f t="shared" si="23"/>
        <v>No</v>
      </c>
    </row>
    <row r="735" spans="1:8" x14ac:dyDescent="0.25">
      <c r="A735" s="7" t="s">
        <v>1191</v>
      </c>
      <c r="B735" s="25">
        <f t="shared" si="22"/>
        <v>2.2360679774997894</v>
      </c>
      <c r="C735">
        <f>SUMIFS('data (1)'!$M:$M,'data (1)'!$J:$J,"="&amp;$A735,'data (1)'!$A:$A,"="&amp;вариация!C$2)</f>
        <v>0</v>
      </c>
      <c r="D735">
        <f>SUMIFS('data (1)'!$M:$M,'data (1)'!$J:$J,"="&amp;$A735,'data (1)'!$A:$A,"="&amp;вариация!D$2)</f>
        <v>0</v>
      </c>
      <c r="E735">
        <f>SUMIFS('data (1)'!$M:$M,'data (1)'!$J:$J,"="&amp;$A735,'data (1)'!$A:$A,"="&amp;вариация!E$2)</f>
        <v>0</v>
      </c>
      <c r="F735">
        <f>SUMIFS('data (1)'!$M:$M,'data (1)'!$J:$J,"="&amp;$A735,'data (1)'!$A:$A,"="&amp;вариация!F$2)</f>
        <v>0</v>
      </c>
      <c r="G735">
        <f>SUMIFS('data (1)'!$M:$M,'data (1)'!$J:$J,"="&amp;$A735,'data (1)'!$A:$A,"="&amp;вариация!G$2)</f>
        <v>1</v>
      </c>
      <c r="H735" t="str">
        <f t="shared" si="23"/>
        <v>No</v>
      </c>
    </row>
    <row r="736" spans="1:8" x14ac:dyDescent="0.25">
      <c r="A736" s="7" t="s">
        <v>673</v>
      </c>
      <c r="B736" s="25">
        <f t="shared" si="22"/>
        <v>1.3693063937629151</v>
      </c>
      <c r="C736">
        <f>SUMIFS('data (1)'!$M:$M,'data (1)'!$J:$J,"="&amp;$A736,'data (1)'!$A:$A,"="&amp;вариация!C$2)</f>
        <v>0</v>
      </c>
      <c r="D736">
        <f>SUMIFS('data (1)'!$M:$M,'data (1)'!$J:$J,"="&amp;$A736,'data (1)'!$A:$A,"="&amp;вариация!D$2)</f>
        <v>1</v>
      </c>
      <c r="E736">
        <f>SUMIFS('data (1)'!$M:$M,'data (1)'!$J:$J,"="&amp;$A736,'data (1)'!$A:$A,"="&amp;вариация!E$2)</f>
        <v>1</v>
      </c>
      <c r="F736">
        <f>SUMIFS('data (1)'!$M:$M,'data (1)'!$J:$J,"="&amp;$A736,'data (1)'!$A:$A,"="&amp;вариация!F$2)</f>
        <v>0</v>
      </c>
      <c r="G736">
        <f>SUMIFS('data (1)'!$M:$M,'data (1)'!$J:$J,"="&amp;$A736,'data (1)'!$A:$A,"="&amp;вариация!G$2)</f>
        <v>0</v>
      </c>
      <c r="H736" t="str">
        <f t="shared" si="23"/>
        <v>No</v>
      </c>
    </row>
    <row r="737" spans="1:8" x14ac:dyDescent="0.25">
      <c r="A737" s="7" t="s">
        <v>319</v>
      </c>
      <c r="B737" s="25">
        <f t="shared" si="22"/>
        <v>2.2360679774997894</v>
      </c>
      <c r="C737">
        <f>SUMIFS('data (1)'!$M:$M,'data (1)'!$J:$J,"="&amp;$A737,'data (1)'!$A:$A,"="&amp;вариация!C$2)</f>
        <v>2</v>
      </c>
      <c r="D737">
        <f>SUMIFS('data (1)'!$M:$M,'data (1)'!$J:$J,"="&amp;$A737,'data (1)'!$A:$A,"="&amp;вариация!D$2)</f>
        <v>0</v>
      </c>
      <c r="E737">
        <f>SUMIFS('data (1)'!$M:$M,'data (1)'!$J:$J,"="&amp;$A737,'data (1)'!$A:$A,"="&amp;вариация!E$2)</f>
        <v>0</v>
      </c>
      <c r="F737">
        <f>SUMIFS('data (1)'!$M:$M,'data (1)'!$J:$J,"="&amp;$A737,'data (1)'!$A:$A,"="&amp;вариация!F$2)</f>
        <v>0</v>
      </c>
      <c r="G737">
        <f>SUMIFS('data (1)'!$M:$M,'data (1)'!$J:$J,"="&amp;$A737,'data (1)'!$A:$A,"="&amp;вариация!G$2)</f>
        <v>0</v>
      </c>
      <c r="H737" t="str">
        <f t="shared" si="23"/>
        <v>No</v>
      </c>
    </row>
    <row r="738" spans="1:8" x14ac:dyDescent="0.25">
      <c r="A738" s="7" t="s">
        <v>443</v>
      </c>
      <c r="B738" s="25">
        <f t="shared" si="22"/>
        <v>2.2360679774997894</v>
      </c>
      <c r="C738">
        <f>SUMIFS('data (1)'!$M:$M,'data (1)'!$J:$J,"="&amp;$A738,'data (1)'!$A:$A,"="&amp;вариация!C$2)</f>
        <v>1</v>
      </c>
      <c r="D738">
        <f>SUMIFS('data (1)'!$M:$M,'data (1)'!$J:$J,"="&amp;$A738,'data (1)'!$A:$A,"="&amp;вариация!D$2)</f>
        <v>0</v>
      </c>
      <c r="E738">
        <f>SUMIFS('data (1)'!$M:$M,'data (1)'!$J:$J,"="&amp;$A738,'data (1)'!$A:$A,"="&amp;вариация!E$2)</f>
        <v>0</v>
      </c>
      <c r="F738">
        <f>SUMIFS('data (1)'!$M:$M,'data (1)'!$J:$J,"="&amp;$A738,'data (1)'!$A:$A,"="&amp;вариация!F$2)</f>
        <v>0</v>
      </c>
      <c r="G738">
        <f>SUMIFS('data (1)'!$M:$M,'data (1)'!$J:$J,"="&amp;$A738,'data (1)'!$A:$A,"="&amp;вариация!G$2)</f>
        <v>0</v>
      </c>
      <c r="H738" t="str">
        <f t="shared" si="23"/>
        <v>No</v>
      </c>
    </row>
    <row r="739" spans="1:8" x14ac:dyDescent="0.25">
      <c r="A739" s="7" t="s">
        <v>639</v>
      </c>
      <c r="B739" s="25">
        <f t="shared" si="22"/>
        <v>2.2360679774997894</v>
      </c>
      <c r="C739">
        <f>SUMIFS('data (1)'!$M:$M,'data (1)'!$J:$J,"="&amp;$A739,'data (1)'!$A:$A,"="&amp;вариация!C$2)</f>
        <v>0</v>
      </c>
      <c r="D739">
        <f>SUMIFS('data (1)'!$M:$M,'data (1)'!$J:$J,"="&amp;$A739,'data (1)'!$A:$A,"="&amp;вариация!D$2)</f>
        <v>1</v>
      </c>
      <c r="E739">
        <f>SUMIFS('data (1)'!$M:$M,'data (1)'!$J:$J,"="&amp;$A739,'data (1)'!$A:$A,"="&amp;вариация!E$2)</f>
        <v>0</v>
      </c>
      <c r="F739">
        <f>SUMIFS('data (1)'!$M:$M,'data (1)'!$J:$J,"="&amp;$A739,'data (1)'!$A:$A,"="&amp;вариация!F$2)</f>
        <v>0</v>
      </c>
      <c r="G739">
        <f>SUMIFS('data (1)'!$M:$M,'data (1)'!$J:$J,"="&amp;$A739,'data (1)'!$A:$A,"="&amp;вариация!G$2)</f>
        <v>0</v>
      </c>
      <c r="H739" t="str">
        <f t="shared" si="23"/>
        <v>No</v>
      </c>
    </row>
    <row r="740" spans="1:8" x14ac:dyDescent="0.25">
      <c r="A740" s="7" t="s">
        <v>256</v>
      </c>
      <c r="B740" s="25">
        <f t="shared" si="22"/>
        <v>2.2360679774997894</v>
      </c>
      <c r="C740">
        <f>SUMIFS('data (1)'!$M:$M,'data (1)'!$J:$J,"="&amp;$A740,'data (1)'!$A:$A,"="&amp;вариация!C$2)</f>
        <v>1</v>
      </c>
      <c r="D740">
        <f>SUMIFS('data (1)'!$M:$M,'data (1)'!$J:$J,"="&amp;$A740,'data (1)'!$A:$A,"="&amp;вариация!D$2)</f>
        <v>0</v>
      </c>
      <c r="E740">
        <f>SUMIFS('data (1)'!$M:$M,'data (1)'!$J:$J,"="&amp;$A740,'data (1)'!$A:$A,"="&amp;вариация!E$2)</f>
        <v>0</v>
      </c>
      <c r="F740">
        <f>SUMIFS('data (1)'!$M:$M,'data (1)'!$J:$J,"="&amp;$A740,'data (1)'!$A:$A,"="&amp;вариация!F$2)</f>
        <v>0</v>
      </c>
      <c r="G740">
        <f>SUMIFS('data (1)'!$M:$M,'data (1)'!$J:$J,"="&amp;$A740,'data (1)'!$A:$A,"="&amp;вариация!G$2)</f>
        <v>0</v>
      </c>
      <c r="H740" t="str">
        <f t="shared" si="23"/>
        <v>No</v>
      </c>
    </row>
    <row r="741" spans="1:8" x14ac:dyDescent="0.25">
      <c r="A741" s="7" t="s">
        <v>524</v>
      </c>
      <c r="B741" s="25">
        <f t="shared" si="22"/>
        <v>2.2360679774997894</v>
      </c>
      <c r="C741">
        <f>SUMIFS('data (1)'!$M:$M,'data (1)'!$J:$J,"="&amp;$A741,'data (1)'!$A:$A,"="&amp;вариация!C$2)</f>
        <v>0</v>
      </c>
      <c r="D741">
        <f>SUMIFS('data (1)'!$M:$M,'data (1)'!$J:$J,"="&amp;$A741,'data (1)'!$A:$A,"="&amp;вариация!D$2)</f>
        <v>1</v>
      </c>
      <c r="E741">
        <f>SUMIFS('data (1)'!$M:$M,'data (1)'!$J:$J,"="&amp;$A741,'data (1)'!$A:$A,"="&amp;вариация!E$2)</f>
        <v>0</v>
      </c>
      <c r="F741">
        <f>SUMIFS('data (1)'!$M:$M,'data (1)'!$J:$J,"="&amp;$A741,'data (1)'!$A:$A,"="&amp;вариация!F$2)</f>
        <v>0</v>
      </c>
      <c r="G741">
        <f>SUMIFS('data (1)'!$M:$M,'data (1)'!$J:$J,"="&amp;$A741,'data (1)'!$A:$A,"="&amp;вариация!G$2)</f>
        <v>0</v>
      </c>
      <c r="H741" t="str">
        <f t="shared" si="23"/>
        <v>No</v>
      </c>
    </row>
    <row r="742" spans="1:8" x14ac:dyDescent="0.25">
      <c r="A742" s="7" t="s">
        <v>442</v>
      </c>
      <c r="B742" s="25">
        <f t="shared" si="22"/>
        <v>2.2360679774997894</v>
      </c>
      <c r="C742">
        <f>SUMIFS('data (1)'!$M:$M,'data (1)'!$J:$J,"="&amp;$A742,'data (1)'!$A:$A,"="&amp;вариация!C$2)</f>
        <v>1</v>
      </c>
      <c r="D742">
        <f>SUMIFS('data (1)'!$M:$M,'data (1)'!$J:$J,"="&amp;$A742,'data (1)'!$A:$A,"="&amp;вариация!D$2)</f>
        <v>0</v>
      </c>
      <c r="E742">
        <f>SUMIFS('data (1)'!$M:$M,'data (1)'!$J:$J,"="&amp;$A742,'data (1)'!$A:$A,"="&amp;вариация!E$2)</f>
        <v>0</v>
      </c>
      <c r="F742">
        <f>SUMIFS('data (1)'!$M:$M,'data (1)'!$J:$J,"="&amp;$A742,'data (1)'!$A:$A,"="&amp;вариация!F$2)</f>
        <v>0</v>
      </c>
      <c r="G742">
        <f>SUMIFS('data (1)'!$M:$M,'data (1)'!$J:$J,"="&amp;$A742,'data (1)'!$A:$A,"="&amp;вариация!G$2)</f>
        <v>0</v>
      </c>
      <c r="H742" t="str">
        <f t="shared" si="23"/>
        <v>No</v>
      </c>
    </row>
    <row r="743" spans="1:8" x14ac:dyDescent="0.25">
      <c r="A743" s="7" t="s">
        <v>858</v>
      </c>
      <c r="B743" s="25">
        <f t="shared" si="22"/>
        <v>2.2360679774997894</v>
      </c>
      <c r="C743">
        <f>SUMIFS('data (1)'!$M:$M,'data (1)'!$J:$J,"="&amp;$A743,'data (1)'!$A:$A,"="&amp;вариация!C$2)</f>
        <v>0</v>
      </c>
      <c r="D743">
        <f>SUMIFS('data (1)'!$M:$M,'data (1)'!$J:$J,"="&amp;$A743,'data (1)'!$A:$A,"="&amp;вариация!D$2)</f>
        <v>0</v>
      </c>
      <c r="E743">
        <f>SUMIFS('data (1)'!$M:$M,'data (1)'!$J:$J,"="&amp;$A743,'data (1)'!$A:$A,"="&amp;вариация!E$2)</f>
        <v>1</v>
      </c>
      <c r="F743">
        <f>SUMIFS('data (1)'!$M:$M,'data (1)'!$J:$J,"="&amp;$A743,'data (1)'!$A:$A,"="&amp;вариация!F$2)</f>
        <v>0</v>
      </c>
      <c r="G743">
        <f>SUMIFS('data (1)'!$M:$M,'data (1)'!$J:$J,"="&amp;$A743,'data (1)'!$A:$A,"="&amp;вариация!G$2)</f>
        <v>0</v>
      </c>
      <c r="H743" t="str">
        <f t="shared" si="23"/>
        <v>No</v>
      </c>
    </row>
    <row r="744" spans="1:8" x14ac:dyDescent="0.25">
      <c r="A744" s="7" t="s">
        <v>305</v>
      </c>
      <c r="B744" s="25">
        <f t="shared" si="22"/>
        <v>2.2360679774997894</v>
      </c>
      <c r="C744">
        <f>SUMIFS('data (1)'!$M:$M,'data (1)'!$J:$J,"="&amp;$A744,'data (1)'!$A:$A,"="&amp;вариация!C$2)</f>
        <v>1</v>
      </c>
      <c r="D744">
        <f>SUMIFS('data (1)'!$M:$M,'data (1)'!$J:$J,"="&amp;$A744,'data (1)'!$A:$A,"="&amp;вариация!D$2)</f>
        <v>0</v>
      </c>
      <c r="E744">
        <f>SUMIFS('data (1)'!$M:$M,'data (1)'!$J:$J,"="&amp;$A744,'data (1)'!$A:$A,"="&amp;вариация!E$2)</f>
        <v>0</v>
      </c>
      <c r="F744">
        <f>SUMIFS('data (1)'!$M:$M,'data (1)'!$J:$J,"="&amp;$A744,'data (1)'!$A:$A,"="&amp;вариация!F$2)</f>
        <v>0</v>
      </c>
      <c r="G744">
        <f>SUMIFS('data (1)'!$M:$M,'data (1)'!$J:$J,"="&amp;$A744,'data (1)'!$A:$A,"="&amp;вариация!G$2)</f>
        <v>0</v>
      </c>
      <c r="H744" t="str">
        <f t="shared" si="23"/>
        <v>No</v>
      </c>
    </row>
    <row r="745" spans="1:8" x14ac:dyDescent="0.25">
      <c r="A745" s="7" t="s">
        <v>235</v>
      </c>
      <c r="B745" s="25">
        <f t="shared" si="22"/>
        <v>0.91287092917527679</v>
      </c>
      <c r="C745">
        <f>SUMIFS('data (1)'!$M:$M,'data (1)'!$J:$J,"="&amp;$A745,'data (1)'!$A:$A,"="&amp;вариация!C$2)</f>
        <v>1</v>
      </c>
      <c r="D745">
        <f>SUMIFS('data (1)'!$M:$M,'data (1)'!$J:$J,"="&amp;$A745,'data (1)'!$A:$A,"="&amp;вариация!D$2)</f>
        <v>0</v>
      </c>
      <c r="E745">
        <f>SUMIFS('data (1)'!$M:$M,'data (1)'!$J:$J,"="&amp;$A745,'data (1)'!$A:$A,"="&amp;вариация!E$2)</f>
        <v>0</v>
      </c>
      <c r="F745">
        <f>SUMIFS('data (1)'!$M:$M,'data (1)'!$J:$J,"="&amp;$A745,'data (1)'!$A:$A,"="&amp;вариация!F$2)</f>
        <v>1</v>
      </c>
      <c r="G745">
        <f>SUMIFS('data (1)'!$M:$M,'data (1)'!$J:$J,"="&amp;$A745,'data (1)'!$A:$A,"="&amp;вариация!G$2)</f>
        <v>1</v>
      </c>
      <c r="H745" t="str">
        <f t="shared" si="23"/>
        <v>Yes</v>
      </c>
    </row>
    <row r="746" spans="1:8" x14ac:dyDescent="0.25">
      <c r="A746" s="7" t="s">
        <v>247</v>
      </c>
      <c r="B746" s="25">
        <f t="shared" si="22"/>
        <v>2.2360679774997894</v>
      </c>
      <c r="C746">
        <f>SUMIFS('data (1)'!$M:$M,'data (1)'!$J:$J,"="&amp;$A746,'data (1)'!$A:$A,"="&amp;вариация!C$2)</f>
        <v>1</v>
      </c>
      <c r="D746">
        <f>SUMIFS('data (1)'!$M:$M,'data (1)'!$J:$J,"="&amp;$A746,'data (1)'!$A:$A,"="&amp;вариация!D$2)</f>
        <v>0</v>
      </c>
      <c r="E746">
        <f>SUMIFS('data (1)'!$M:$M,'data (1)'!$J:$J,"="&amp;$A746,'data (1)'!$A:$A,"="&amp;вариация!E$2)</f>
        <v>0</v>
      </c>
      <c r="F746">
        <f>SUMIFS('data (1)'!$M:$M,'data (1)'!$J:$J,"="&amp;$A746,'data (1)'!$A:$A,"="&amp;вариация!F$2)</f>
        <v>0</v>
      </c>
      <c r="G746">
        <f>SUMIFS('data (1)'!$M:$M,'data (1)'!$J:$J,"="&amp;$A746,'data (1)'!$A:$A,"="&amp;вариация!G$2)</f>
        <v>0</v>
      </c>
      <c r="H746" t="str">
        <f t="shared" si="23"/>
        <v>No</v>
      </c>
    </row>
    <row r="747" spans="1:8" x14ac:dyDescent="0.25">
      <c r="A747" s="7" t="s">
        <v>1037</v>
      </c>
      <c r="B747" s="25">
        <f t="shared" si="22"/>
        <v>2.2360679774997898</v>
      </c>
      <c r="C747">
        <f>SUMIFS('data (1)'!$M:$M,'data (1)'!$J:$J,"="&amp;$A747,'data (1)'!$A:$A,"="&amp;вариация!C$2)</f>
        <v>0</v>
      </c>
      <c r="D747">
        <f>SUMIFS('data (1)'!$M:$M,'data (1)'!$J:$J,"="&amp;$A747,'data (1)'!$A:$A,"="&amp;вариация!D$2)</f>
        <v>0</v>
      </c>
      <c r="E747">
        <f>SUMIFS('data (1)'!$M:$M,'data (1)'!$J:$J,"="&amp;$A747,'data (1)'!$A:$A,"="&amp;вариация!E$2)</f>
        <v>0</v>
      </c>
      <c r="F747">
        <f>SUMIFS('data (1)'!$M:$M,'data (1)'!$J:$J,"="&amp;$A747,'data (1)'!$A:$A,"="&amp;вариация!F$2)</f>
        <v>6.6666669999999997E-2</v>
      </c>
      <c r="G747">
        <f>SUMIFS('data (1)'!$M:$M,'data (1)'!$J:$J,"="&amp;$A747,'data (1)'!$A:$A,"="&amp;вариация!G$2)</f>
        <v>0</v>
      </c>
      <c r="H747" t="str">
        <f t="shared" si="23"/>
        <v>No</v>
      </c>
    </row>
    <row r="748" spans="1:8" x14ac:dyDescent="0.25">
      <c r="A748" s="7" t="s">
        <v>935</v>
      </c>
      <c r="B748" s="25">
        <f t="shared" si="22"/>
        <v>2.2360679774997898</v>
      </c>
      <c r="C748">
        <f>SUMIFS('data (1)'!$M:$M,'data (1)'!$J:$J,"="&amp;$A748,'data (1)'!$A:$A,"="&amp;вариация!C$2)</f>
        <v>0</v>
      </c>
      <c r="D748">
        <f>SUMIFS('data (1)'!$M:$M,'data (1)'!$J:$J,"="&amp;$A748,'data (1)'!$A:$A,"="&amp;вариация!D$2)</f>
        <v>0</v>
      </c>
      <c r="E748">
        <f>SUMIFS('data (1)'!$M:$M,'data (1)'!$J:$J,"="&amp;$A748,'data (1)'!$A:$A,"="&amp;вариация!E$2)</f>
        <v>0</v>
      </c>
      <c r="F748">
        <f>SUMIFS('data (1)'!$M:$M,'data (1)'!$J:$J,"="&amp;$A748,'data (1)'!$A:$A,"="&amp;вариация!F$2)</f>
        <v>0.2</v>
      </c>
      <c r="G748">
        <f>SUMIFS('data (1)'!$M:$M,'data (1)'!$J:$J,"="&amp;$A748,'data (1)'!$A:$A,"="&amp;вариация!G$2)</f>
        <v>0</v>
      </c>
      <c r="H748" t="str">
        <f t="shared" si="23"/>
        <v>No</v>
      </c>
    </row>
    <row r="749" spans="1:8" x14ac:dyDescent="0.25">
      <c r="A749" s="7" t="s">
        <v>809</v>
      </c>
      <c r="B749" s="25">
        <f t="shared" si="22"/>
        <v>2.2360679774997894</v>
      </c>
      <c r="C749">
        <f>SUMIFS('data (1)'!$M:$M,'data (1)'!$J:$J,"="&amp;$A749,'data (1)'!$A:$A,"="&amp;вариация!C$2)</f>
        <v>0</v>
      </c>
      <c r="D749">
        <f>SUMIFS('data (1)'!$M:$M,'data (1)'!$J:$J,"="&amp;$A749,'data (1)'!$A:$A,"="&amp;вариация!D$2)</f>
        <v>0</v>
      </c>
      <c r="E749">
        <f>SUMIFS('data (1)'!$M:$M,'data (1)'!$J:$J,"="&amp;$A749,'data (1)'!$A:$A,"="&amp;вариация!E$2)</f>
        <v>0.12</v>
      </c>
      <c r="F749">
        <f>SUMIFS('data (1)'!$M:$M,'data (1)'!$J:$J,"="&amp;$A749,'data (1)'!$A:$A,"="&amp;вариация!F$2)</f>
        <v>0</v>
      </c>
      <c r="G749">
        <f>SUMIFS('data (1)'!$M:$M,'data (1)'!$J:$J,"="&amp;$A749,'data (1)'!$A:$A,"="&amp;вариация!G$2)</f>
        <v>0</v>
      </c>
      <c r="H749" t="str">
        <f t="shared" si="23"/>
        <v>No</v>
      </c>
    </row>
    <row r="750" spans="1:8" x14ac:dyDescent="0.25">
      <c r="A750" s="7" t="s">
        <v>826</v>
      </c>
      <c r="B750" s="25">
        <f t="shared" si="22"/>
        <v>2.2360679774997894</v>
      </c>
      <c r="C750">
        <f>SUMIFS('data (1)'!$M:$M,'data (1)'!$J:$J,"="&amp;$A750,'data (1)'!$A:$A,"="&amp;вариация!C$2)</f>
        <v>0</v>
      </c>
      <c r="D750">
        <f>SUMIFS('data (1)'!$M:$M,'data (1)'!$J:$J,"="&amp;$A750,'data (1)'!$A:$A,"="&amp;вариация!D$2)</f>
        <v>0</v>
      </c>
      <c r="E750">
        <f>SUMIFS('data (1)'!$M:$M,'data (1)'!$J:$J,"="&amp;$A750,'data (1)'!$A:$A,"="&amp;вариация!E$2)</f>
        <v>0.24</v>
      </c>
      <c r="F750">
        <f>SUMIFS('data (1)'!$M:$M,'data (1)'!$J:$J,"="&amp;$A750,'data (1)'!$A:$A,"="&amp;вариация!F$2)</f>
        <v>0</v>
      </c>
      <c r="G750">
        <f>SUMIFS('data (1)'!$M:$M,'data (1)'!$J:$J,"="&amp;$A750,'data (1)'!$A:$A,"="&amp;вариация!G$2)</f>
        <v>0</v>
      </c>
      <c r="H750" t="str">
        <f t="shared" si="23"/>
        <v>No</v>
      </c>
    </row>
    <row r="751" spans="1:8" x14ac:dyDescent="0.25">
      <c r="A751" s="7" t="s">
        <v>1011</v>
      </c>
      <c r="B751" s="25">
        <f t="shared" si="22"/>
        <v>2.2360679774997898</v>
      </c>
      <c r="C751">
        <f>SUMIFS('data (1)'!$M:$M,'data (1)'!$J:$J,"="&amp;$A751,'data (1)'!$A:$A,"="&amp;вариация!C$2)</f>
        <v>0</v>
      </c>
      <c r="D751">
        <f>SUMIFS('data (1)'!$M:$M,'data (1)'!$J:$J,"="&amp;$A751,'data (1)'!$A:$A,"="&amp;вариация!D$2)</f>
        <v>0</v>
      </c>
      <c r="E751">
        <f>SUMIFS('data (1)'!$M:$M,'data (1)'!$J:$J,"="&amp;$A751,'data (1)'!$A:$A,"="&amp;вариация!E$2)</f>
        <v>0</v>
      </c>
      <c r="F751">
        <f>SUMIFS('data (1)'!$M:$M,'data (1)'!$J:$J,"="&amp;$A751,'data (1)'!$A:$A,"="&amp;вариация!F$2)</f>
        <v>0.04</v>
      </c>
      <c r="G751">
        <f>SUMIFS('data (1)'!$M:$M,'data (1)'!$J:$J,"="&amp;$A751,'data (1)'!$A:$A,"="&amp;вариация!G$2)</f>
        <v>0</v>
      </c>
      <c r="H751" t="str">
        <f t="shared" si="23"/>
        <v>No</v>
      </c>
    </row>
    <row r="752" spans="1:8" x14ac:dyDescent="0.25">
      <c r="A752" s="7" t="s">
        <v>496</v>
      </c>
      <c r="B752" s="25">
        <f t="shared" si="22"/>
        <v>2.2360679774997894</v>
      </c>
      <c r="C752">
        <f>SUMIFS('data (1)'!$M:$M,'data (1)'!$J:$J,"="&amp;$A752,'data (1)'!$A:$A,"="&amp;вариация!C$2)</f>
        <v>0</v>
      </c>
      <c r="D752">
        <f>SUMIFS('data (1)'!$M:$M,'data (1)'!$J:$J,"="&amp;$A752,'data (1)'!$A:$A,"="&amp;вариация!D$2)</f>
        <v>1</v>
      </c>
      <c r="E752">
        <f>SUMIFS('data (1)'!$M:$M,'data (1)'!$J:$J,"="&amp;$A752,'data (1)'!$A:$A,"="&amp;вариация!E$2)</f>
        <v>0</v>
      </c>
      <c r="F752">
        <f>SUMIFS('data (1)'!$M:$M,'data (1)'!$J:$J,"="&amp;$A752,'data (1)'!$A:$A,"="&amp;вариация!F$2)</f>
        <v>0</v>
      </c>
      <c r="G752">
        <f>SUMIFS('data (1)'!$M:$M,'data (1)'!$J:$J,"="&amp;$A752,'data (1)'!$A:$A,"="&amp;вариация!G$2)</f>
        <v>0</v>
      </c>
      <c r="H752" t="str">
        <f t="shared" si="23"/>
        <v>No</v>
      </c>
    </row>
    <row r="753" spans="1:8" x14ac:dyDescent="0.25">
      <c r="A753" s="7" t="s">
        <v>1052</v>
      </c>
      <c r="B753" s="25">
        <f t="shared" si="22"/>
        <v>2.2360679774997894</v>
      </c>
      <c r="C753">
        <f>SUMIFS('data (1)'!$M:$M,'data (1)'!$J:$J,"="&amp;$A753,'data (1)'!$A:$A,"="&amp;вариация!C$2)</f>
        <v>0</v>
      </c>
      <c r="D753">
        <f>SUMIFS('data (1)'!$M:$M,'data (1)'!$J:$J,"="&amp;$A753,'data (1)'!$A:$A,"="&amp;вариация!D$2)</f>
        <v>0</v>
      </c>
      <c r="E753">
        <f>SUMIFS('data (1)'!$M:$M,'data (1)'!$J:$J,"="&amp;$A753,'data (1)'!$A:$A,"="&amp;вариация!E$2)</f>
        <v>0</v>
      </c>
      <c r="F753">
        <f>SUMIFS('data (1)'!$M:$M,'data (1)'!$J:$J,"="&amp;$A753,'data (1)'!$A:$A,"="&amp;вариация!F$2)</f>
        <v>1</v>
      </c>
      <c r="G753">
        <f>SUMIFS('data (1)'!$M:$M,'data (1)'!$J:$J,"="&amp;$A753,'data (1)'!$A:$A,"="&amp;вариация!G$2)</f>
        <v>0</v>
      </c>
      <c r="H753" t="str">
        <f t="shared" si="23"/>
        <v>No</v>
      </c>
    </row>
    <row r="754" spans="1:8" x14ac:dyDescent="0.25">
      <c r="A754" s="7" t="s">
        <v>263</v>
      </c>
      <c r="B754" s="25">
        <f t="shared" si="22"/>
        <v>2.2360679774997894</v>
      </c>
      <c r="C754">
        <f>SUMIFS('data (1)'!$M:$M,'data (1)'!$J:$J,"="&amp;$A754,'data (1)'!$A:$A,"="&amp;вариация!C$2)</f>
        <v>1</v>
      </c>
      <c r="D754">
        <f>SUMIFS('data (1)'!$M:$M,'data (1)'!$J:$J,"="&amp;$A754,'data (1)'!$A:$A,"="&amp;вариация!D$2)</f>
        <v>0</v>
      </c>
      <c r="E754">
        <f>SUMIFS('data (1)'!$M:$M,'data (1)'!$J:$J,"="&amp;$A754,'data (1)'!$A:$A,"="&amp;вариация!E$2)</f>
        <v>0</v>
      </c>
      <c r="F754">
        <f>SUMIFS('data (1)'!$M:$M,'data (1)'!$J:$J,"="&amp;$A754,'data (1)'!$A:$A,"="&amp;вариация!F$2)</f>
        <v>0</v>
      </c>
      <c r="G754">
        <f>SUMIFS('data (1)'!$M:$M,'data (1)'!$J:$J,"="&amp;$A754,'data (1)'!$A:$A,"="&amp;вариация!G$2)</f>
        <v>0</v>
      </c>
      <c r="H754" t="str">
        <f t="shared" si="23"/>
        <v>No</v>
      </c>
    </row>
    <row r="755" spans="1:8" x14ac:dyDescent="0.25">
      <c r="A755" s="7" t="s">
        <v>98</v>
      </c>
      <c r="B755" s="25">
        <f t="shared" si="22"/>
        <v>0.95831484749990992</v>
      </c>
      <c r="C755">
        <f>SUMIFS('data (1)'!$M:$M,'data (1)'!$J:$J,"="&amp;$A755,'data (1)'!$A:$A,"="&amp;вариация!C$2)</f>
        <v>2</v>
      </c>
      <c r="D755">
        <f>SUMIFS('data (1)'!$M:$M,'data (1)'!$J:$J,"="&amp;$A755,'data (1)'!$A:$A,"="&amp;вариация!D$2)</f>
        <v>2</v>
      </c>
      <c r="E755">
        <f>SUMIFS('data (1)'!$M:$M,'data (1)'!$J:$J,"="&amp;$A755,'data (1)'!$A:$A,"="&amp;вариация!E$2)</f>
        <v>0</v>
      </c>
      <c r="F755">
        <f>SUMIFS('data (1)'!$M:$M,'data (1)'!$J:$J,"="&amp;$A755,'data (1)'!$A:$A,"="&amp;вариация!F$2)</f>
        <v>0</v>
      </c>
      <c r="G755">
        <f>SUMIFS('data (1)'!$M:$M,'data (1)'!$J:$J,"="&amp;$A755,'data (1)'!$A:$A,"="&amp;вариация!G$2)</f>
        <v>3</v>
      </c>
      <c r="H755" t="str">
        <f t="shared" si="23"/>
        <v>Yes</v>
      </c>
    </row>
    <row r="756" spans="1:8" x14ac:dyDescent="0.25">
      <c r="A756" s="7" t="s">
        <v>593</v>
      </c>
      <c r="B756" s="25">
        <f t="shared" si="22"/>
        <v>2.2360679774997894</v>
      </c>
      <c r="C756">
        <f>SUMIFS('data (1)'!$M:$M,'data (1)'!$J:$J,"="&amp;$A756,'data (1)'!$A:$A,"="&amp;вариация!C$2)</f>
        <v>0</v>
      </c>
      <c r="D756">
        <f>SUMIFS('data (1)'!$M:$M,'data (1)'!$J:$J,"="&amp;$A756,'data (1)'!$A:$A,"="&amp;вариация!D$2)</f>
        <v>1</v>
      </c>
      <c r="E756">
        <f>SUMIFS('data (1)'!$M:$M,'data (1)'!$J:$J,"="&amp;$A756,'data (1)'!$A:$A,"="&amp;вариация!E$2)</f>
        <v>0</v>
      </c>
      <c r="F756">
        <f>SUMIFS('data (1)'!$M:$M,'data (1)'!$J:$J,"="&amp;$A756,'data (1)'!$A:$A,"="&amp;вариация!F$2)</f>
        <v>0</v>
      </c>
      <c r="G756">
        <f>SUMIFS('data (1)'!$M:$M,'data (1)'!$J:$J,"="&amp;$A756,'data (1)'!$A:$A,"="&amp;вариация!G$2)</f>
        <v>0</v>
      </c>
      <c r="H756" t="str">
        <f t="shared" si="23"/>
        <v>No</v>
      </c>
    </row>
    <row r="757" spans="1:8" x14ac:dyDescent="0.25">
      <c r="A757" s="7" t="s">
        <v>636</v>
      </c>
      <c r="B757" s="25">
        <f t="shared" si="22"/>
        <v>2.2360679774997894</v>
      </c>
      <c r="C757">
        <f>SUMIFS('data (1)'!$M:$M,'data (1)'!$J:$J,"="&amp;$A757,'data (1)'!$A:$A,"="&amp;вариация!C$2)</f>
        <v>0</v>
      </c>
      <c r="D757">
        <f>SUMIFS('data (1)'!$M:$M,'data (1)'!$J:$J,"="&amp;$A757,'data (1)'!$A:$A,"="&amp;вариация!D$2)</f>
        <v>1</v>
      </c>
      <c r="E757">
        <f>SUMIFS('data (1)'!$M:$M,'data (1)'!$J:$J,"="&amp;$A757,'data (1)'!$A:$A,"="&amp;вариация!E$2)</f>
        <v>0</v>
      </c>
      <c r="F757">
        <f>SUMIFS('data (1)'!$M:$M,'data (1)'!$J:$J,"="&amp;$A757,'data (1)'!$A:$A,"="&amp;вариация!F$2)</f>
        <v>0</v>
      </c>
      <c r="G757">
        <f>SUMIFS('data (1)'!$M:$M,'data (1)'!$J:$J,"="&amp;$A757,'data (1)'!$A:$A,"="&amp;вариация!G$2)</f>
        <v>0</v>
      </c>
      <c r="H757" t="str">
        <f t="shared" si="23"/>
        <v>No</v>
      </c>
    </row>
    <row r="758" spans="1:8" x14ac:dyDescent="0.25">
      <c r="A758" s="7" t="s">
        <v>632</v>
      </c>
      <c r="B758" s="25">
        <f t="shared" si="22"/>
        <v>2.2360679774997894</v>
      </c>
      <c r="C758">
        <f>SUMIFS('data (1)'!$M:$M,'data (1)'!$J:$J,"="&amp;$A758,'data (1)'!$A:$A,"="&amp;вариация!C$2)</f>
        <v>0</v>
      </c>
      <c r="D758">
        <f>SUMIFS('data (1)'!$M:$M,'data (1)'!$J:$J,"="&amp;$A758,'data (1)'!$A:$A,"="&amp;вариация!D$2)</f>
        <v>1</v>
      </c>
      <c r="E758">
        <f>SUMIFS('data (1)'!$M:$M,'data (1)'!$J:$J,"="&amp;$A758,'data (1)'!$A:$A,"="&amp;вариация!E$2)</f>
        <v>0</v>
      </c>
      <c r="F758">
        <f>SUMIFS('data (1)'!$M:$M,'data (1)'!$J:$J,"="&amp;$A758,'data (1)'!$A:$A,"="&amp;вариация!F$2)</f>
        <v>0</v>
      </c>
      <c r="G758">
        <f>SUMIFS('data (1)'!$M:$M,'data (1)'!$J:$J,"="&amp;$A758,'data (1)'!$A:$A,"="&amp;вариация!G$2)</f>
        <v>0</v>
      </c>
      <c r="H758" t="str">
        <f t="shared" si="23"/>
        <v>No</v>
      </c>
    </row>
    <row r="759" spans="1:8" x14ac:dyDescent="0.25">
      <c r="A759" s="7" t="s">
        <v>682</v>
      </c>
      <c r="B759" s="25">
        <f t="shared" si="22"/>
        <v>2.2360679774997898</v>
      </c>
      <c r="C759">
        <f>SUMIFS('data (1)'!$M:$M,'data (1)'!$J:$J,"="&amp;$A759,'data (1)'!$A:$A,"="&amp;вариация!C$2)</f>
        <v>0</v>
      </c>
      <c r="D759">
        <f>SUMIFS('data (1)'!$M:$M,'data (1)'!$J:$J,"="&amp;$A759,'data (1)'!$A:$A,"="&amp;вариация!D$2)</f>
        <v>0.33333332999999998</v>
      </c>
      <c r="E759">
        <f>SUMIFS('data (1)'!$M:$M,'data (1)'!$J:$J,"="&amp;$A759,'data (1)'!$A:$A,"="&amp;вариация!E$2)</f>
        <v>0</v>
      </c>
      <c r="F759">
        <f>SUMIFS('data (1)'!$M:$M,'data (1)'!$J:$J,"="&amp;$A759,'data (1)'!$A:$A,"="&amp;вариация!F$2)</f>
        <v>0</v>
      </c>
      <c r="G759">
        <f>SUMIFS('data (1)'!$M:$M,'data (1)'!$J:$J,"="&amp;$A759,'data (1)'!$A:$A,"="&amp;вариация!G$2)</f>
        <v>0</v>
      </c>
      <c r="H759" t="str">
        <f t="shared" si="23"/>
        <v>No</v>
      </c>
    </row>
    <row r="760" spans="1:8" x14ac:dyDescent="0.25">
      <c r="A760" s="7" t="s">
        <v>916</v>
      </c>
      <c r="B760" s="25">
        <f t="shared" si="22"/>
        <v>2.2360679774997894</v>
      </c>
      <c r="C760">
        <f>SUMIFS('data (1)'!$M:$M,'data (1)'!$J:$J,"="&amp;$A760,'data (1)'!$A:$A,"="&amp;вариация!C$2)</f>
        <v>0</v>
      </c>
      <c r="D760">
        <f>SUMIFS('data (1)'!$M:$M,'data (1)'!$J:$J,"="&amp;$A760,'data (1)'!$A:$A,"="&amp;вариация!D$2)</f>
        <v>0</v>
      </c>
      <c r="E760">
        <f>SUMIFS('data (1)'!$M:$M,'data (1)'!$J:$J,"="&amp;$A760,'data (1)'!$A:$A,"="&amp;вариация!E$2)</f>
        <v>1</v>
      </c>
      <c r="F760">
        <f>SUMIFS('data (1)'!$M:$M,'data (1)'!$J:$J,"="&amp;$A760,'data (1)'!$A:$A,"="&amp;вариация!F$2)</f>
        <v>0</v>
      </c>
      <c r="G760">
        <f>SUMIFS('data (1)'!$M:$M,'data (1)'!$J:$J,"="&amp;$A760,'data (1)'!$A:$A,"="&amp;вариация!G$2)</f>
        <v>0</v>
      </c>
      <c r="H760" t="str">
        <f t="shared" si="23"/>
        <v>No</v>
      </c>
    </row>
    <row r="761" spans="1:8" x14ac:dyDescent="0.25">
      <c r="A761" s="7" t="s">
        <v>1142</v>
      </c>
      <c r="B761" s="25">
        <f t="shared" si="22"/>
        <v>2.2360679774997894</v>
      </c>
      <c r="C761">
        <f>SUMIFS('data (1)'!$M:$M,'data (1)'!$J:$J,"="&amp;$A761,'data (1)'!$A:$A,"="&amp;вариация!C$2)</f>
        <v>0</v>
      </c>
      <c r="D761">
        <f>SUMIFS('data (1)'!$M:$M,'data (1)'!$J:$J,"="&amp;$A761,'data (1)'!$A:$A,"="&amp;вариация!D$2)</f>
        <v>0</v>
      </c>
      <c r="E761">
        <f>SUMIFS('data (1)'!$M:$M,'data (1)'!$J:$J,"="&amp;$A761,'data (1)'!$A:$A,"="&amp;вариация!E$2)</f>
        <v>0</v>
      </c>
      <c r="F761">
        <f>SUMIFS('data (1)'!$M:$M,'data (1)'!$J:$J,"="&amp;$A761,'data (1)'!$A:$A,"="&amp;вариация!F$2)</f>
        <v>0</v>
      </c>
      <c r="G761">
        <f>SUMIFS('data (1)'!$M:$M,'data (1)'!$J:$J,"="&amp;$A761,'data (1)'!$A:$A,"="&amp;вариация!G$2)</f>
        <v>1</v>
      </c>
      <c r="H761" t="str">
        <f t="shared" si="23"/>
        <v>No</v>
      </c>
    </row>
    <row r="762" spans="1:8" x14ac:dyDescent="0.25">
      <c r="A762" s="7" t="s">
        <v>721</v>
      </c>
      <c r="B762" s="25">
        <f t="shared" si="22"/>
        <v>2.2360679774997894</v>
      </c>
      <c r="C762">
        <f>SUMIFS('data (1)'!$M:$M,'data (1)'!$J:$J,"="&amp;$A762,'data (1)'!$A:$A,"="&amp;вариация!C$2)</f>
        <v>0</v>
      </c>
      <c r="D762">
        <f>SUMIFS('data (1)'!$M:$M,'data (1)'!$J:$J,"="&amp;$A762,'data (1)'!$A:$A,"="&amp;вариация!D$2)</f>
        <v>0</v>
      </c>
      <c r="E762">
        <f>SUMIFS('data (1)'!$M:$M,'data (1)'!$J:$J,"="&amp;$A762,'data (1)'!$A:$A,"="&amp;вариация!E$2)</f>
        <v>1</v>
      </c>
      <c r="F762">
        <f>SUMIFS('data (1)'!$M:$M,'data (1)'!$J:$J,"="&amp;$A762,'data (1)'!$A:$A,"="&amp;вариация!F$2)</f>
        <v>0</v>
      </c>
      <c r="G762">
        <f>SUMIFS('data (1)'!$M:$M,'data (1)'!$J:$J,"="&amp;$A762,'data (1)'!$A:$A,"="&amp;вариация!G$2)</f>
        <v>0</v>
      </c>
      <c r="H762" t="str">
        <f t="shared" si="23"/>
        <v>No</v>
      </c>
    </row>
    <row r="763" spans="1:8" x14ac:dyDescent="0.25">
      <c r="A763" s="7" t="s">
        <v>1107</v>
      </c>
      <c r="B763" s="25">
        <f t="shared" si="22"/>
        <v>2.2360679774997894</v>
      </c>
      <c r="C763">
        <f>SUMIFS('data (1)'!$M:$M,'data (1)'!$J:$J,"="&amp;$A763,'data (1)'!$A:$A,"="&amp;вариация!C$2)</f>
        <v>0</v>
      </c>
      <c r="D763">
        <f>SUMIFS('data (1)'!$M:$M,'data (1)'!$J:$J,"="&amp;$A763,'data (1)'!$A:$A,"="&amp;вариация!D$2)</f>
        <v>0</v>
      </c>
      <c r="E763">
        <f>SUMIFS('data (1)'!$M:$M,'data (1)'!$J:$J,"="&amp;$A763,'data (1)'!$A:$A,"="&amp;вариация!E$2)</f>
        <v>0</v>
      </c>
      <c r="F763">
        <f>SUMIFS('data (1)'!$M:$M,'data (1)'!$J:$J,"="&amp;$A763,'data (1)'!$A:$A,"="&amp;вариация!F$2)</f>
        <v>0</v>
      </c>
      <c r="G763">
        <f>SUMIFS('data (1)'!$M:$M,'data (1)'!$J:$J,"="&amp;$A763,'data (1)'!$A:$A,"="&amp;вариация!G$2)</f>
        <v>1</v>
      </c>
      <c r="H763" t="str">
        <f t="shared" si="23"/>
        <v>No</v>
      </c>
    </row>
    <row r="764" spans="1:8" x14ac:dyDescent="0.25">
      <c r="A764" s="7" t="s">
        <v>715</v>
      </c>
      <c r="B764" s="25">
        <f t="shared" si="22"/>
        <v>2.2360679774997898</v>
      </c>
      <c r="C764">
        <f>SUMIFS('data (1)'!$M:$M,'data (1)'!$J:$J,"="&amp;$A764,'data (1)'!$A:$A,"="&amp;вариация!C$2)</f>
        <v>0</v>
      </c>
      <c r="D764">
        <f>SUMIFS('data (1)'!$M:$M,'data (1)'!$J:$J,"="&amp;$A764,'data (1)'!$A:$A,"="&amp;вариация!D$2)</f>
        <v>0</v>
      </c>
      <c r="E764">
        <f>SUMIFS('data (1)'!$M:$M,'data (1)'!$J:$J,"="&amp;$A764,'data (1)'!$A:$A,"="&amp;вариация!E$2)</f>
        <v>3</v>
      </c>
      <c r="F764">
        <f>SUMIFS('data (1)'!$M:$M,'data (1)'!$J:$J,"="&amp;$A764,'data (1)'!$A:$A,"="&amp;вариация!F$2)</f>
        <v>0</v>
      </c>
      <c r="G764">
        <f>SUMIFS('data (1)'!$M:$M,'data (1)'!$J:$J,"="&amp;$A764,'data (1)'!$A:$A,"="&amp;вариация!G$2)</f>
        <v>0</v>
      </c>
      <c r="H764" t="str">
        <f t="shared" si="23"/>
        <v>No</v>
      </c>
    </row>
    <row r="765" spans="1:8" x14ac:dyDescent="0.25">
      <c r="A765" s="7" t="s">
        <v>957</v>
      </c>
      <c r="B765" s="25">
        <f t="shared" si="22"/>
        <v>2.2360679774997894</v>
      </c>
      <c r="C765">
        <f>SUMIFS('data (1)'!$M:$M,'data (1)'!$J:$J,"="&amp;$A765,'data (1)'!$A:$A,"="&amp;вариация!C$2)</f>
        <v>0</v>
      </c>
      <c r="D765">
        <f>SUMIFS('data (1)'!$M:$M,'data (1)'!$J:$J,"="&amp;$A765,'data (1)'!$A:$A,"="&amp;вариация!D$2)</f>
        <v>0</v>
      </c>
      <c r="E765">
        <f>SUMIFS('data (1)'!$M:$M,'data (1)'!$J:$J,"="&amp;$A765,'data (1)'!$A:$A,"="&amp;вариация!E$2)</f>
        <v>0</v>
      </c>
      <c r="F765">
        <f>SUMIFS('data (1)'!$M:$M,'data (1)'!$J:$J,"="&amp;$A765,'data (1)'!$A:$A,"="&amp;вариация!F$2)</f>
        <v>1</v>
      </c>
      <c r="G765">
        <f>SUMIFS('data (1)'!$M:$M,'data (1)'!$J:$J,"="&amp;$A765,'data (1)'!$A:$A,"="&amp;вариация!G$2)</f>
        <v>0</v>
      </c>
      <c r="H765" t="str">
        <f t="shared" si="23"/>
        <v>No</v>
      </c>
    </row>
    <row r="766" spans="1:8" x14ac:dyDescent="0.25">
      <c r="A766" s="7" t="s">
        <v>744</v>
      </c>
      <c r="B766" s="25">
        <f t="shared" si="22"/>
        <v>2.2360679774997894</v>
      </c>
      <c r="C766">
        <f>SUMIFS('data (1)'!$M:$M,'data (1)'!$J:$J,"="&amp;$A766,'data (1)'!$A:$A,"="&amp;вариация!C$2)</f>
        <v>0</v>
      </c>
      <c r="D766">
        <f>SUMIFS('data (1)'!$M:$M,'data (1)'!$J:$J,"="&amp;$A766,'data (1)'!$A:$A,"="&amp;вариация!D$2)</f>
        <v>0</v>
      </c>
      <c r="E766">
        <f>SUMIFS('data (1)'!$M:$M,'data (1)'!$J:$J,"="&amp;$A766,'data (1)'!$A:$A,"="&amp;вариация!E$2)</f>
        <v>9</v>
      </c>
      <c r="F766">
        <f>SUMIFS('data (1)'!$M:$M,'data (1)'!$J:$J,"="&amp;$A766,'data (1)'!$A:$A,"="&amp;вариация!F$2)</f>
        <v>0</v>
      </c>
      <c r="G766">
        <f>SUMIFS('data (1)'!$M:$M,'data (1)'!$J:$J,"="&amp;$A766,'data (1)'!$A:$A,"="&amp;вариация!G$2)</f>
        <v>0</v>
      </c>
      <c r="H766" t="str">
        <f t="shared" si="23"/>
        <v>No</v>
      </c>
    </row>
    <row r="767" spans="1:8" x14ac:dyDescent="0.25">
      <c r="A767" s="7" t="s">
        <v>854</v>
      </c>
      <c r="B767" s="25">
        <f t="shared" si="22"/>
        <v>2.2360679774997898</v>
      </c>
      <c r="C767">
        <f>SUMIFS('data (1)'!$M:$M,'data (1)'!$J:$J,"="&amp;$A767,'data (1)'!$A:$A,"="&amp;вариация!C$2)</f>
        <v>0</v>
      </c>
      <c r="D767">
        <f>SUMIFS('data (1)'!$M:$M,'data (1)'!$J:$J,"="&amp;$A767,'data (1)'!$A:$A,"="&amp;вариация!D$2)</f>
        <v>0</v>
      </c>
      <c r="E767">
        <f>SUMIFS('data (1)'!$M:$M,'data (1)'!$J:$J,"="&amp;$A767,'data (1)'!$A:$A,"="&amp;вариация!E$2)</f>
        <v>10</v>
      </c>
      <c r="F767">
        <f>SUMIFS('data (1)'!$M:$M,'data (1)'!$J:$J,"="&amp;$A767,'data (1)'!$A:$A,"="&amp;вариация!F$2)</f>
        <v>0</v>
      </c>
      <c r="G767">
        <f>SUMIFS('data (1)'!$M:$M,'data (1)'!$J:$J,"="&amp;$A767,'data (1)'!$A:$A,"="&amp;вариация!G$2)</f>
        <v>0</v>
      </c>
      <c r="H767" t="str">
        <f t="shared" si="23"/>
        <v>No</v>
      </c>
    </row>
    <row r="768" spans="1:8" x14ac:dyDescent="0.25">
      <c r="A768" s="7" t="s">
        <v>122</v>
      </c>
      <c r="B768" s="25">
        <f t="shared" si="22"/>
        <v>1.3693063937629151</v>
      </c>
      <c r="C768">
        <f>SUMIFS('data (1)'!$M:$M,'data (1)'!$J:$J,"="&amp;$A768,'data (1)'!$A:$A,"="&amp;вариация!C$2)</f>
        <v>1</v>
      </c>
      <c r="D768">
        <f>SUMIFS('data (1)'!$M:$M,'data (1)'!$J:$J,"="&amp;$A768,'data (1)'!$A:$A,"="&amp;вариация!D$2)</f>
        <v>1</v>
      </c>
      <c r="E768">
        <f>SUMIFS('data (1)'!$M:$M,'data (1)'!$J:$J,"="&amp;$A768,'data (1)'!$A:$A,"="&amp;вариация!E$2)</f>
        <v>0</v>
      </c>
      <c r="F768">
        <f>SUMIFS('data (1)'!$M:$M,'data (1)'!$J:$J,"="&amp;$A768,'data (1)'!$A:$A,"="&amp;вариация!F$2)</f>
        <v>0</v>
      </c>
      <c r="G768">
        <f>SUMIFS('data (1)'!$M:$M,'data (1)'!$J:$J,"="&amp;$A768,'data (1)'!$A:$A,"="&amp;вариация!G$2)</f>
        <v>0</v>
      </c>
      <c r="H768" t="str">
        <f t="shared" si="23"/>
        <v>No</v>
      </c>
    </row>
    <row r="769" spans="1:8" x14ac:dyDescent="0.25">
      <c r="A769" s="7" t="s">
        <v>598</v>
      </c>
      <c r="B769" s="25">
        <f t="shared" si="22"/>
        <v>2.2360679774997894</v>
      </c>
      <c r="C769">
        <f>SUMIFS('data (1)'!$M:$M,'data (1)'!$J:$J,"="&amp;$A769,'data (1)'!$A:$A,"="&amp;вариация!C$2)</f>
        <v>0</v>
      </c>
      <c r="D769">
        <f>SUMIFS('data (1)'!$M:$M,'data (1)'!$J:$J,"="&amp;$A769,'data (1)'!$A:$A,"="&amp;вариация!D$2)</f>
        <v>1</v>
      </c>
      <c r="E769">
        <f>SUMIFS('data (1)'!$M:$M,'data (1)'!$J:$J,"="&amp;$A769,'data (1)'!$A:$A,"="&amp;вариация!E$2)</f>
        <v>0</v>
      </c>
      <c r="F769">
        <f>SUMIFS('data (1)'!$M:$M,'data (1)'!$J:$J,"="&amp;$A769,'data (1)'!$A:$A,"="&amp;вариация!F$2)</f>
        <v>0</v>
      </c>
      <c r="G769">
        <f>SUMIFS('data (1)'!$M:$M,'data (1)'!$J:$J,"="&amp;$A769,'data (1)'!$A:$A,"="&amp;вариация!G$2)</f>
        <v>0</v>
      </c>
      <c r="H769" t="str">
        <f t="shared" si="23"/>
        <v>No</v>
      </c>
    </row>
    <row r="770" spans="1:8" x14ac:dyDescent="0.25">
      <c r="A770" s="7" t="s">
        <v>623</v>
      </c>
      <c r="B770" s="25">
        <f t="shared" si="22"/>
        <v>2.2360679774997894</v>
      </c>
      <c r="C770">
        <f>SUMIFS('data (1)'!$M:$M,'data (1)'!$J:$J,"="&amp;$A770,'data (1)'!$A:$A,"="&amp;вариация!C$2)</f>
        <v>0</v>
      </c>
      <c r="D770">
        <f>SUMIFS('data (1)'!$M:$M,'data (1)'!$J:$J,"="&amp;$A770,'data (1)'!$A:$A,"="&amp;вариация!D$2)</f>
        <v>1</v>
      </c>
      <c r="E770">
        <f>SUMIFS('data (1)'!$M:$M,'data (1)'!$J:$J,"="&amp;$A770,'data (1)'!$A:$A,"="&amp;вариация!E$2)</f>
        <v>0</v>
      </c>
      <c r="F770">
        <f>SUMIFS('data (1)'!$M:$M,'data (1)'!$J:$J,"="&amp;$A770,'data (1)'!$A:$A,"="&amp;вариация!F$2)</f>
        <v>0</v>
      </c>
      <c r="G770">
        <f>SUMIFS('data (1)'!$M:$M,'data (1)'!$J:$J,"="&amp;$A770,'data (1)'!$A:$A,"="&amp;вариация!G$2)</f>
        <v>0</v>
      </c>
      <c r="H770" t="str">
        <f t="shared" si="23"/>
        <v>No</v>
      </c>
    </row>
    <row r="771" spans="1:8" x14ac:dyDescent="0.25">
      <c r="A771" s="7" t="s">
        <v>242</v>
      </c>
      <c r="B771" s="25">
        <f t="shared" si="22"/>
        <v>1.3693063937629151</v>
      </c>
      <c r="C771">
        <f>SUMIFS('data (1)'!$M:$M,'data (1)'!$J:$J,"="&amp;$A771,'data (1)'!$A:$A,"="&amp;вариация!C$2)</f>
        <v>1</v>
      </c>
      <c r="D771">
        <f>SUMIFS('data (1)'!$M:$M,'data (1)'!$J:$J,"="&amp;$A771,'data (1)'!$A:$A,"="&amp;вариация!D$2)</f>
        <v>0</v>
      </c>
      <c r="E771">
        <f>SUMIFS('data (1)'!$M:$M,'data (1)'!$J:$J,"="&amp;$A771,'data (1)'!$A:$A,"="&amp;вариация!E$2)</f>
        <v>0</v>
      </c>
      <c r="F771">
        <f>SUMIFS('data (1)'!$M:$M,'data (1)'!$J:$J,"="&amp;$A771,'data (1)'!$A:$A,"="&amp;вариация!F$2)</f>
        <v>1</v>
      </c>
      <c r="G771">
        <f>SUMIFS('data (1)'!$M:$M,'data (1)'!$J:$J,"="&amp;$A771,'data (1)'!$A:$A,"="&amp;вариация!G$2)</f>
        <v>0</v>
      </c>
      <c r="H771" t="str">
        <f t="shared" si="23"/>
        <v>No</v>
      </c>
    </row>
    <row r="772" spans="1:8" x14ac:dyDescent="0.25">
      <c r="A772" s="7" t="s">
        <v>530</v>
      </c>
      <c r="B772" s="25">
        <f t="shared" ref="B772:B805" si="24">_xlfn.STDEV.S(C772:G772)/AVERAGE(C772:G772)</f>
        <v>1.3693063937629151</v>
      </c>
      <c r="C772">
        <f>SUMIFS('data (1)'!$M:$M,'data (1)'!$J:$J,"="&amp;$A772,'data (1)'!$A:$A,"="&amp;вариация!C$2)</f>
        <v>0</v>
      </c>
      <c r="D772">
        <f>SUMIFS('data (1)'!$M:$M,'data (1)'!$J:$J,"="&amp;$A772,'data (1)'!$A:$A,"="&amp;вариация!D$2)</f>
        <v>1</v>
      </c>
      <c r="E772">
        <f>SUMIFS('data (1)'!$M:$M,'data (1)'!$J:$J,"="&amp;$A772,'data (1)'!$A:$A,"="&amp;вариация!E$2)</f>
        <v>1</v>
      </c>
      <c r="F772">
        <f>SUMIFS('data (1)'!$M:$M,'data (1)'!$J:$J,"="&amp;$A772,'data (1)'!$A:$A,"="&amp;вариация!F$2)</f>
        <v>0</v>
      </c>
      <c r="G772">
        <f>SUMIFS('data (1)'!$M:$M,'data (1)'!$J:$J,"="&amp;$A772,'data (1)'!$A:$A,"="&amp;вариация!G$2)</f>
        <v>0</v>
      </c>
      <c r="H772" t="str">
        <f t="shared" ref="H772:H805" si="25">IF(COUNTIF(C772:G772,"&gt;0") &gt;=3, "Yes", "No")</f>
        <v>No</v>
      </c>
    </row>
    <row r="773" spans="1:8" x14ac:dyDescent="0.25">
      <c r="A773" s="7" t="s">
        <v>1195</v>
      </c>
      <c r="B773" s="25">
        <f t="shared" si="24"/>
        <v>2.2360679774997894</v>
      </c>
      <c r="C773">
        <f>SUMIFS('data (1)'!$M:$M,'data (1)'!$J:$J,"="&amp;$A773,'data (1)'!$A:$A,"="&amp;вариация!C$2)</f>
        <v>0</v>
      </c>
      <c r="D773">
        <f>SUMIFS('data (1)'!$M:$M,'data (1)'!$J:$J,"="&amp;$A773,'data (1)'!$A:$A,"="&amp;вариация!D$2)</f>
        <v>0</v>
      </c>
      <c r="E773">
        <f>SUMIFS('data (1)'!$M:$M,'data (1)'!$J:$J,"="&amp;$A773,'data (1)'!$A:$A,"="&amp;вариация!E$2)</f>
        <v>0</v>
      </c>
      <c r="F773">
        <f>SUMIFS('data (1)'!$M:$M,'data (1)'!$J:$J,"="&amp;$A773,'data (1)'!$A:$A,"="&amp;вариация!F$2)</f>
        <v>0</v>
      </c>
      <c r="G773">
        <f>SUMIFS('data (1)'!$M:$M,'data (1)'!$J:$J,"="&amp;$A773,'data (1)'!$A:$A,"="&amp;вариация!G$2)</f>
        <v>1</v>
      </c>
      <c r="H773" t="str">
        <f t="shared" si="25"/>
        <v>No</v>
      </c>
    </row>
    <row r="774" spans="1:8" x14ac:dyDescent="0.25">
      <c r="A774" s="7" t="s">
        <v>476</v>
      </c>
      <c r="B774" s="25">
        <f t="shared" si="24"/>
        <v>2.2360679774997894</v>
      </c>
      <c r="C774">
        <f>SUMIFS('data (1)'!$M:$M,'data (1)'!$J:$J,"="&amp;$A774,'data (1)'!$A:$A,"="&amp;вариация!C$2)</f>
        <v>0</v>
      </c>
      <c r="D774">
        <f>SUMIFS('data (1)'!$M:$M,'data (1)'!$J:$J,"="&amp;$A774,'data (1)'!$A:$A,"="&amp;вариация!D$2)</f>
        <v>1</v>
      </c>
      <c r="E774">
        <f>SUMIFS('data (1)'!$M:$M,'data (1)'!$J:$J,"="&amp;$A774,'data (1)'!$A:$A,"="&amp;вариация!E$2)</f>
        <v>0</v>
      </c>
      <c r="F774">
        <f>SUMIFS('data (1)'!$M:$M,'data (1)'!$J:$J,"="&amp;$A774,'data (1)'!$A:$A,"="&amp;вариация!F$2)</f>
        <v>0</v>
      </c>
      <c r="G774">
        <f>SUMIFS('data (1)'!$M:$M,'data (1)'!$J:$J,"="&amp;$A774,'data (1)'!$A:$A,"="&amp;вариация!G$2)</f>
        <v>0</v>
      </c>
      <c r="H774" t="str">
        <f t="shared" si="25"/>
        <v>No</v>
      </c>
    </row>
    <row r="775" spans="1:8" x14ac:dyDescent="0.25">
      <c r="A775" s="7" t="s">
        <v>75</v>
      </c>
      <c r="B775" s="25">
        <f t="shared" si="24"/>
        <v>1.6298006013006621</v>
      </c>
      <c r="C775">
        <f>SUMIFS('data (1)'!$M:$M,'data (1)'!$J:$J,"="&amp;$A775,'data (1)'!$A:$A,"="&amp;вариация!C$2)</f>
        <v>3</v>
      </c>
      <c r="D775">
        <f>SUMIFS('data (1)'!$M:$M,'data (1)'!$J:$J,"="&amp;$A775,'data (1)'!$A:$A,"="&amp;вариация!D$2)</f>
        <v>1</v>
      </c>
      <c r="E775">
        <f>SUMIFS('data (1)'!$M:$M,'data (1)'!$J:$J,"="&amp;$A775,'data (1)'!$A:$A,"="&amp;вариация!E$2)</f>
        <v>0</v>
      </c>
      <c r="F775">
        <f>SUMIFS('data (1)'!$M:$M,'data (1)'!$J:$J,"="&amp;$A775,'data (1)'!$A:$A,"="&amp;вариация!F$2)</f>
        <v>0</v>
      </c>
      <c r="G775">
        <f>SUMIFS('data (1)'!$M:$M,'data (1)'!$J:$J,"="&amp;$A775,'data (1)'!$A:$A,"="&amp;вариация!G$2)</f>
        <v>0</v>
      </c>
      <c r="H775" t="str">
        <f t="shared" si="25"/>
        <v>No</v>
      </c>
    </row>
    <row r="776" spans="1:8" x14ac:dyDescent="0.25">
      <c r="A776" s="7" t="s">
        <v>273</v>
      </c>
      <c r="B776" s="25">
        <f t="shared" si="24"/>
        <v>0.69721668877839638</v>
      </c>
      <c r="C776">
        <f>SUMIFS('data (1)'!$M:$M,'data (1)'!$J:$J,"="&amp;$A776,'data (1)'!$A:$A,"="&amp;вариация!C$2)</f>
        <v>2</v>
      </c>
      <c r="D776">
        <f>SUMIFS('data (1)'!$M:$M,'data (1)'!$J:$J,"="&amp;$A776,'data (1)'!$A:$A,"="&amp;вариация!D$2)</f>
        <v>2</v>
      </c>
      <c r="E776">
        <f>SUMIFS('data (1)'!$M:$M,'data (1)'!$J:$J,"="&amp;$A776,'data (1)'!$A:$A,"="&amp;вариация!E$2)</f>
        <v>1</v>
      </c>
      <c r="F776">
        <f>SUMIFS('data (1)'!$M:$M,'data (1)'!$J:$J,"="&amp;$A776,'data (1)'!$A:$A,"="&amp;вариация!F$2)</f>
        <v>1</v>
      </c>
      <c r="G776">
        <f>SUMIFS('data (1)'!$M:$M,'data (1)'!$J:$J,"="&amp;$A776,'data (1)'!$A:$A,"="&amp;вариация!G$2)</f>
        <v>0</v>
      </c>
      <c r="H776" t="str">
        <f t="shared" si="25"/>
        <v>Yes</v>
      </c>
    </row>
    <row r="777" spans="1:8" x14ac:dyDescent="0.25">
      <c r="A777" s="7" t="s">
        <v>270</v>
      </c>
      <c r="B777" s="25">
        <f t="shared" si="24"/>
        <v>1.4907119849998598</v>
      </c>
      <c r="C777">
        <f>SUMIFS('data (1)'!$M:$M,'data (1)'!$J:$J,"="&amp;$A777,'data (1)'!$A:$A,"="&amp;вариация!C$2)</f>
        <v>4</v>
      </c>
      <c r="D777">
        <f>SUMIFS('data (1)'!$M:$M,'data (1)'!$J:$J,"="&amp;$A777,'data (1)'!$A:$A,"="&amp;вариация!D$2)</f>
        <v>0</v>
      </c>
      <c r="E777">
        <f>SUMIFS('data (1)'!$M:$M,'data (1)'!$J:$J,"="&amp;$A777,'data (1)'!$A:$A,"="&amp;вариация!E$2)</f>
        <v>0</v>
      </c>
      <c r="F777">
        <f>SUMIFS('data (1)'!$M:$M,'data (1)'!$J:$J,"="&amp;$A777,'data (1)'!$A:$A,"="&amp;вариация!F$2)</f>
        <v>0</v>
      </c>
      <c r="G777">
        <f>SUMIFS('data (1)'!$M:$M,'data (1)'!$J:$J,"="&amp;$A777,'data (1)'!$A:$A,"="&amp;вариация!G$2)</f>
        <v>2</v>
      </c>
      <c r="H777" t="str">
        <f t="shared" si="25"/>
        <v>No</v>
      </c>
    </row>
    <row r="778" spans="1:8" x14ac:dyDescent="0.25">
      <c r="A778" s="7" t="s">
        <v>1151</v>
      </c>
      <c r="B778" s="25">
        <f t="shared" si="24"/>
        <v>2.2360679774997894</v>
      </c>
      <c r="C778">
        <f>SUMIFS('data (1)'!$M:$M,'data (1)'!$J:$J,"="&amp;$A778,'data (1)'!$A:$A,"="&amp;вариация!C$2)</f>
        <v>0</v>
      </c>
      <c r="D778">
        <f>SUMIFS('data (1)'!$M:$M,'data (1)'!$J:$J,"="&amp;$A778,'data (1)'!$A:$A,"="&amp;вариация!D$2)</f>
        <v>0</v>
      </c>
      <c r="E778">
        <f>SUMIFS('data (1)'!$M:$M,'data (1)'!$J:$J,"="&amp;$A778,'data (1)'!$A:$A,"="&amp;вариация!E$2)</f>
        <v>0</v>
      </c>
      <c r="F778">
        <f>SUMIFS('data (1)'!$M:$M,'data (1)'!$J:$J,"="&amp;$A778,'data (1)'!$A:$A,"="&amp;вариация!F$2)</f>
        <v>0</v>
      </c>
      <c r="G778">
        <f>SUMIFS('data (1)'!$M:$M,'data (1)'!$J:$J,"="&amp;$A778,'data (1)'!$A:$A,"="&amp;вариация!G$2)</f>
        <v>1</v>
      </c>
      <c r="H778" t="str">
        <f t="shared" si="25"/>
        <v>No</v>
      </c>
    </row>
    <row r="779" spans="1:8" x14ac:dyDescent="0.25">
      <c r="A779" s="7" t="s">
        <v>751</v>
      </c>
      <c r="B779" s="25">
        <f t="shared" si="24"/>
        <v>2.2360679774997894</v>
      </c>
      <c r="C779">
        <f>SUMIFS('data (1)'!$M:$M,'data (1)'!$J:$J,"="&amp;$A779,'data (1)'!$A:$A,"="&amp;вариация!C$2)</f>
        <v>0</v>
      </c>
      <c r="D779">
        <f>SUMIFS('data (1)'!$M:$M,'data (1)'!$J:$J,"="&amp;$A779,'data (1)'!$A:$A,"="&amp;вариация!D$2)</f>
        <v>0</v>
      </c>
      <c r="E779">
        <f>SUMIFS('data (1)'!$M:$M,'data (1)'!$J:$J,"="&amp;$A779,'data (1)'!$A:$A,"="&amp;вариация!E$2)</f>
        <v>1</v>
      </c>
      <c r="F779">
        <f>SUMIFS('data (1)'!$M:$M,'data (1)'!$J:$J,"="&amp;$A779,'data (1)'!$A:$A,"="&amp;вариация!F$2)</f>
        <v>0</v>
      </c>
      <c r="G779">
        <f>SUMIFS('data (1)'!$M:$M,'data (1)'!$J:$J,"="&amp;$A779,'data (1)'!$A:$A,"="&amp;вариация!G$2)</f>
        <v>0</v>
      </c>
      <c r="H779" t="str">
        <f t="shared" si="25"/>
        <v>No</v>
      </c>
    </row>
    <row r="780" spans="1:8" x14ac:dyDescent="0.25">
      <c r="A780" s="7" t="s">
        <v>116</v>
      </c>
      <c r="B780" s="25">
        <f t="shared" si="24"/>
        <v>2.2360679774997894</v>
      </c>
      <c r="C780">
        <f>SUMIFS('data (1)'!$M:$M,'data (1)'!$J:$J,"="&amp;$A780,'data (1)'!$A:$A,"="&amp;вариация!C$2)</f>
        <v>1</v>
      </c>
      <c r="D780">
        <f>SUMIFS('data (1)'!$M:$M,'data (1)'!$J:$J,"="&amp;$A780,'data (1)'!$A:$A,"="&amp;вариация!D$2)</f>
        <v>0</v>
      </c>
      <c r="E780">
        <f>SUMIFS('data (1)'!$M:$M,'data (1)'!$J:$J,"="&amp;$A780,'data (1)'!$A:$A,"="&amp;вариация!E$2)</f>
        <v>0</v>
      </c>
      <c r="F780">
        <f>SUMIFS('data (1)'!$M:$M,'data (1)'!$J:$J,"="&amp;$A780,'data (1)'!$A:$A,"="&amp;вариация!F$2)</f>
        <v>0</v>
      </c>
      <c r="G780">
        <f>SUMIFS('data (1)'!$M:$M,'data (1)'!$J:$J,"="&amp;$A780,'data (1)'!$A:$A,"="&amp;вариация!G$2)</f>
        <v>0</v>
      </c>
      <c r="H780" t="str">
        <f t="shared" si="25"/>
        <v>No</v>
      </c>
    </row>
    <row r="781" spans="1:8" x14ac:dyDescent="0.25">
      <c r="A781" s="7" t="s">
        <v>282</v>
      </c>
      <c r="B781" s="25">
        <f t="shared" si="24"/>
        <v>2.2360679774997894</v>
      </c>
      <c r="C781">
        <f>SUMIFS('data (1)'!$M:$M,'data (1)'!$J:$J,"="&amp;$A781,'data (1)'!$A:$A,"="&amp;вариация!C$2)</f>
        <v>1</v>
      </c>
      <c r="D781">
        <f>SUMIFS('data (1)'!$M:$M,'data (1)'!$J:$J,"="&amp;$A781,'data (1)'!$A:$A,"="&amp;вариация!D$2)</f>
        <v>0</v>
      </c>
      <c r="E781">
        <f>SUMIFS('data (1)'!$M:$M,'data (1)'!$J:$J,"="&amp;$A781,'data (1)'!$A:$A,"="&amp;вариация!E$2)</f>
        <v>0</v>
      </c>
      <c r="F781">
        <f>SUMIFS('data (1)'!$M:$M,'data (1)'!$J:$J,"="&amp;$A781,'data (1)'!$A:$A,"="&amp;вариация!F$2)</f>
        <v>0</v>
      </c>
      <c r="G781">
        <f>SUMIFS('data (1)'!$M:$M,'data (1)'!$J:$J,"="&amp;$A781,'data (1)'!$A:$A,"="&amp;вариация!G$2)</f>
        <v>0</v>
      </c>
      <c r="H781" t="str">
        <f t="shared" si="25"/>
        <v>No</v>
      </c>
    </row>
    <row r="782" spans="1:8" x14ac:dyDescent="0.25">
      <c r="A782" s="7" t="s">
        <v>408</v>
      </c>
      <c r="B782" s="25">
        <f t="shared" si="24"/>
        <v>1.4907119849998598</v>
      </c>
      <c r="C782">
        <f>SUMIFS('data (1)'!$M:$M,'data (1)'!$J:$J,"="&amp;$A782,'data (1)'!$A:$A,"="&amp;вариация!C$2)</f>
        <v>2</v>
      </c>
      <c r="D782">
        <f>SUMIFS('data (1)'!$M:$M,'data (1)'!$J:$J,"="&amp;$A782,'data (1)'!$A:$A,"="&amp;вариация!D$2)</f>
        <v>1</v>
      </c>
      <c r="E782">
        <f>SUMIFS('data (1)'!$M:$M,'data (1)'!$J:$J,"="&amp;$A782,'data (1)'!$A:$A,"="&amp;вариация!E$2)</f>
        <v>0</v>
      </c>
      <c r="F782">
        <f>SUMIFS('data (1)'!$M:$M,'data (1)'!$J:$J,"="&amp;$A782,'data (1)'!$A:$A,"="&amp;вариация!F$2)</f>
        <v>0</v>
      </c>
      <c r="G782">
        <f>SUMIFS('data (1)'!$M:$M,'data (1)'!$J:$J,"="&amp;$A782,'data (1)'!$A:$A,"="&amp;вариация!G$2)</f>
        <v>0</v>
      </c>
      <c r="H782" t="str">
        <f t="shared" si="25"/>
        <v>No</v>
      </c>
    </row>
    <row r="783" spans="1:8" x14ac:dyDescent="0.25">
      <c r="A783" s="7" t="s">
        <v>1105</v>
      </c>
      <c r="B783" s="25">
        <f t="shared" si="24"/>
        <v>2.2360679774997894</v>
      </c>
      <c r="C783">
        <f>SUMIFS('data (1)'!$M:$M,'data (1)'!$J:$J,"="&amp;$A783,'data (1)'!$A:$A,"="&amp;вариация!C$2)</f>
        <v>0</v>
      </c>
      <c r="D783">
        <f>SUMIFS('data (1)'!$M:$M,'data (1)'!$J:$J,"="&amp;$A783,'data (1)'!$A:$A,"="&amp;вариация!D$2)</f>
        <v>0</v>
      </c>
      <c r="E783">
        <f>SUMIFS('data (1)'!$M:$M,'data (1)'!$J:$J,"="&amp;$A783,'data (1)'!$A:$A,"="&amp;вариация!E$2)</f>
        <v>0</v>
      </c>
      <c r="F783">
        <f>SUMIFS('data (1)'!$M:$M,'data (1)'!$J:$J,"="&amp;$A783,'data (1)'!$A:$A,"="&amp;вариация!F$2)</f>
        <v>0</v>
      </c>
      <c r="G783">
        <f>SUMIFS('data (1)'!$M:$M,'data (1)'!$J:$J,"="&amp;$A783,'data (1)'!$A:$A,"="&amp;вариация!G$2)</f>
        <v>1</v>
      </c>
      <c r="H783" t="str">
        <f t="shared" si="25"/>
        <v>No</v>
      </c>
    </row>
    <row r="784" spans="1:8" x14ac:dyDescent="0.25">
      <c r="A784" s="7" t="s">
        <v>83</v>
      </c>
      <c r="B784" s="25">
        <f t="shared" si="24"/>
        <v>2.2360679774997894</v>
      </c>
      <c r="C784">
        <f>SUMIFS('data (1)'!$M:$M,'data (1)'!$J:$J,"="&amp;$A784,'data (1)'!$A:$A,"="&amp;вариация!C$2)</f>
        <v>2</v>
      </c>
      <c r="D784">
        <f>SUMIFS('data (1)'!$M:$M,'data (1)'!$J:$J,"="&amp;$A784,'data (1)'!$A:$A,"="&amp;вариация!D$2)</f>
        <v>0</v>
      </c>
      <c r="E784">
        <f>SUMIFS('data (1)'!$M:$M,'data (1)'!$J:$J,"="&amp;$A784,'data (1)'!$A:$A,"="&amp;вариация!E$2)</f>
        <v>0</v>
      </c>
      <c r="F784">
        <f>SUMIFS('data (1)'!$M:$M,'data (1)'!$J:$J,"="&amp;$A784,'data (1)'!$A:$A,"="&amp;вариация!F$2)</f>
        <v>0</v>
      </c>
      <c r="G784">
        <f>SUMIFS('data (1)'!$M:$M,'data (1)'!$J:$J,"="&amp;$A784,'data (1)'!$A:$A,"="&amp;вариация!G$2)</f>
        <v>0</v>
      </c>
      <c r="H784" t="str">
        <f t="shared" si="25"/>
        <v>No</v>
      </c>
    </row>
    <row r="785" spans="1:8" x14ac:dyDescent="0.25">
      <c r="A785" s="7" t="s">
        <v>1181</v>
      </c>
      <c r="B785" s="25">
        <f t="shared" si="24"/>
        <v>2.2360679774997894</v>
      </c>
      <c r="C785">
        <f>SUMIFS('data (1)'!$M:$M,'data (1)'!$J:$J,"="&amp;$A785,'data (1)'!$A:$A,"="&amp;вариация!C$2)</f>
        <v>0</v>
      </c>
      <c r="D785">
        <f>SUMIFS('data (1)'!$M:$M,'data (1)'!$J:$J,"="&amp;$A785,'data (1)'!$A:$A,"="&amp;вариация!D$2)</f>
        <v>0</v>
      </c>
      <c r="E785">
        <f>SUMIFS('data (1)'!$M:$M,'data (1)'!$J:$J,"="&amp;$A785,'data (1)'!$A:$A,"="&amp;вариация!E$2)</f>
        <v>0</v>
      </c>
      <c r="F785">
        <f>SUMIFS('data (1)'!$M:$M,'data (1)'!$J:$J,"="&amp;$A785,'data (1)'!$A:$A,"="&amp;вариация!F$2)</f>
        <v>0</v>
      </c>
      <c r="G785">
        <f>SUMIFS('data (1)'!$M:$M,'data (1)'!$J:$J,"="&amp;$A785,'data (1)'!$A:$A,"="&amp;вариация!G$2)</f>
        <v>1</v>
      </c>
      <c r="H785" t="str">
        <f t="shared" si="25"/>
        <v>No</v>
      </c>
    </row>
    <row r="786" spans="1:8" x14ac:dyDescent="0.25">
      <c r="A786" s="7" t="s">
        <v>1004</v>
      </c>
      <c r="B786" s="25">
        <f t="shared" si="24"/>
        <v>1.4907119849998598</v>
      </c>
      <c r="C786">
        <f>SUMIFS('data (1)'!$M:$M,'data (1)'!$J:$J,"="&amp;$A786,'data (1)'!$A:$A,"="&amp;вариация!C$2)</f>
        <v>0</v>
      </c>
      <c r="D786">
        <f>SUMIFS('data (1)'!$M:$M,'data (1)'!$J:$J,"="&amp;$A786,'data (1)'!$A:$A,"="&amp;вариация!D$2)</f>
        <v>0</v>
      </c>
      <c r="E786">
        <f>SUMIFS('data (1)'!$M:$M,'data (1)'!$J:$J,"="&amp;$A786,'data (1)'!$A:$A,"="&amp;вариация!E$2)</f>
        <v>0</v>
      </c>
      <c r="F786">
        <f>SUMIFS('data (1)'!$M:$M,'data (1)'!$J:$J,"="&amp;$A786,'data (1)'!$A:$A,"="&amp;вариация!F$2)</f>
        <v>2</v>
      </c>
      <c r="G786">
        <f>SUMIFS('data (1)'!$M:$M,'data (1)'!$J:$J,"="&amp;$A786,'data (1)'!$A:$A,"="&amp;вариация!G$2)</f>
        <v>1</v>
      </c>
      <c r="H786" t="str">
        <f t="shared" si="25"/>
        <v>No</v>
      </c>
    </row>
    <row r="787" spans="1:8" x14ac:dyDescent="0.25">
      <c r="A787" s="7" t="s">
        <v>827</v>
      </c>
      <c r="B787" s="25">
        <f t="shared" si="24"/>
        <v>2.2360679774997894</v>
      </c>
      <c r="C787">
        <f>SUMIFS('data (1)'!$M:$M,'data (1)'!$J:$J,"="&amp;$A787,'data (1)'!$A:$A,"="&amp;вариация!C$2)</f>
        <v>0</v>
      </c>
      <c r="D787">
        <f>SUMIFS('data (1)'!$M:$M,'data (1)'!$J:$J,"="&amp;$A787,'data (1)'!$A:$A,"="&amp;вариация!D$2)</f>
        <v>0</v>
      </c>
      <c r="E787">
        <f>SUMIFS('data (1)'!$M:$M,'data (1)'!$J:$J,"="&amp;$A787,'data (1)'!$A:$A,"="&amp;вариация!E$2)</f>
        <v>1</v>
      </c>
      <c r="F787">
        <f>SUMIFS('data (1)'!$M:$M,'data (1)'!$J:$J,"="&amp;$A787,'data (1)'!$A:$A,"="&amp;вариация!F$2)</f>
        <v>0</v>
      </c>
      <c r="G787">
        <f>SUMIFS('data (1)'!$M:$M,'data (1)'!$J:$J,"="&amp;$A787,'data (1)'!$A:$A,"="&amp;вариация!G$2)</f>
        <v>0</v>
      </c>
      <c r="H787" t="str">
        <f t="shared" si="25"/>
        <v>No</v>
      </c>
    </row>
    <row r="788" spans="1:8" x14ac:dyDescent="0.25">
      <c r="A788" s="7" t="s">
        <v>71</v>
      </c>
      <c r="B788" s="25">
        <f t="shared" si="24"/>
        <v>2.2360679774997894</v>
      </c>
      <c r="C788">
        <f>SUMIFS('data (1)'!$M:$M,'data (1)'!$J:$J,"="&amp;$A788,'data (1)'!$A:$A,"="&amp;вариация!C$2)</f>
        <v>2</v>
      </c>
      <c r="D788">
        <f>SUMIFS('data (1)'!$M:$M,'data (1)'!$J:$J,"="&amp;$A788,'data (1)'!$A:$A,"="&amp;вариация!D$2)</f>
        <v>0</v>
      </c>
      <c r="E788">
        <f>SUMIFS('data (1)'!$M:$M,'data (1)'!$J:$J,"="&amp;$A788,'data (1)'!$A:$A,"="&amp;вариация!E$2)</f>
        <v>0</v>
      </c>
      <c r="F788">
        <f>SUMIFS('data (1)'!$M:$M,'data (1)'!$J:$J,"="&amp;$A788,'data (1)'!$A:$A,"="&amp;вариация!F$2)</f>
        <v>0</v>
      </c>
      <c r="G788">
        <f>SUMIFS('data (1)'!$M:$M,'data (1)'!$J:$J,"="&amp;$A788,'data (1)'!$A:$A,"="&amp;вариация!G$2)</f>
        <v>0</v>
      </c>
      <c r="H788" t="str">
        <f t="shared" si="25"/>
        <v>No</v>
      </c>
    </row>
    <row r="789" spans="1:8" x14ac:dyDescent="0.25">
      <c r="A789" s="7" t="s">
        <v>28</v>
      </c>
      <c r="B789" s="25">
        <f t="shared" si="24"/>
        <v>1.3693063937629151</v>
      </c>
      <c r="C789">
        <f>SUMIFS('data (1)'!$M:$M,'data (1)'!$J:$J,"="&amp;$A789,'data (1)'!$A:$A,"="&amp;вариация!C$2)</f>
        <v>1</v>
      </c>
      <c r="D789">
        <f>SUMIFS('data (1)'!$M:$M,'data (1)'!$J:$J,"="&amp;$A789,'data (1)'!$A:$A,"="&amp;вариация!D$2)</f>
        <v>1</v>
      </c>
      <c r="E789">
        <f>SUMIFS('data (1)'!$M:$M,'data (1)'!$J:$J,"="&amp;$A789,'data (1)'!$A:$A,"="&amp;вариация!E$2)</f>
        <v>0</v>
      </c>
      <c r="F789">
        <f>SUMIFS('data (1)'!$M:$M,'data (1)'!$J:$J,"="&amp;$A789,'data (1)'!$A:$A,"="&amp;вариация!F$2)</f>
        <v>0</v>
      </c>
      <c r="G789">
        <f>SUMIFS('data (1)'!$M:$M,'data (1)'!$J:$J,"="&amp;$A789,'data (1)'!$A:$A,"="&amp;вариация!G$2)</f>
        <v>0</v>
      </c>
      <c r="H789" t="str">
        <f t="shared" si="25"/>
        <v>No</v>
      </c>
    </row>
    <row r="790" spans="1:8" x14ac:dyDescent="0.25">
      <c r="A790" s="7" t="s">
        <v>749</v>
      </c>
      <c r="B790" s="25">
        <f t="shared" si="24"/>
        <v>2.2360679774997894</v>
      </c>
      <c r="C790">
        <f>SUMIFS('data (1)'!$M:$M,'data (1)'!$J:$J,"="&amp;$A790,'data (1)'!$A:$A,"="&amp;вариация!C$2)</f>
        <v>0</v>
      </c>
      <c r="D790">
        <f>SUMIFS('data (1)'!$M:$M,'data (1)'!$J:$J,"="&amp;$A790,'data (1)'!$A:$A,"="&amp;вариация!D$2)</f>
        <v>0</v>
      </c>
      <c r="E790">
        <f>SUMIFS('data (1)'!$M:$M,'data (1)'!$J:$J,"="&amp;$A790,'data (1)'!$A:$A,"="&amp;вариация!E$2)</f>
        <v>1</v>
      </c>
      <c r="F790">
        <f>SUMIFS('data (1)'!$M:$M,'data (1)'!$J:$J,"="&amp;$A790,'data (1)'!$A:$A,"="&amp;вариация!F$2)</f>
        <v>0</v>
      </c>
      <c r="G790">
        <f>SUMIFS('data (1)'!$M:$M,'data (1)'!$J:$J,"="&amp;$A790,'data (1)'!$A:$A,"="&amp;вариация!G$2)</f>
        <v>0</v>
      </c>
      <c r="H790" t="str">
        <f t="shared" si="25"/>
        <v>No</v>
      </c>
    </row>
    <row r="791" spans="1:8" x14ac:dyDescent="0.25">
      <c r="A791" s="7" t="s">
        <v>821</v>
      </c>
      <c r="B791" s="25">
        <f t="shared" si="24"/>
        <v>1.4907119849998598</v>
      </c>
      <c r="C791">
        <f>SUMIFS('data (1)'!$M:$M,'data (1)'!$J:$J,"="&amp;$A791,'data (1)'!$A:$A,"="&amp;вариация!C$2)</f>
        <v>0</v>
      </c>
      <c r="D791">
        <f>SUMIFS('data (1)'!$M:$M,'data (1)'!$J:$J,"="&amp;$A791,'data (1)'!$A:$A,"="&amp;вариация!D$2)</f>
        <v>0</v>
      </c>
      <c r="E791">
        <f>SUMIFS('data (1)'!$M:$M,'data (1)'!$J:$J,"="&amp;$A791,'data (1)'!$A:$A,"="&amp;вариация!E$2)</f>
        <v>1</v>
      </c>
      <c r="F791">
        <f>SUMIFS('data (1)'!$M:$M,'data (1)'!$J:$J,"="&amp;$A791,'data (1)'!$A:$A,"="&amp;вариация!F$2)</f>
        <v>0</v>
      </c>
      <c r="G791">
        <f>SUMIFS('data (1)'!$M:$M,'data (1)'!$J:$J,"="&amp;$A791,'data (1)'!$A:$A,"="&amp;вариация!G$2)</f>
        <v>2</v>
      </c>
      <c r="H791" t="str">
        <f t="shared" si="25"/>
        <v>No</v>
      </c>
    </row>
    <row r="792" spans="1:8" x14ac:dyDescent="0.25">
      <c r="A792" s="7" t="s">
        <v>174</v>
      </c>
      <c r="B792" s="25">
        <f t="shared" si="24"/>
        <v>2.2360679774997894</v>
      </c>
      <c r="C792">
        <f>SUMIFS('data (1)'!$M:$M,'data (1)'!$J:$J,"="&amp;$A792,'data (1)'!$A:$A,"="&amp;вариация!C$2)</f>
        <v>1</v>
      </c>
      <c r="D792">
        <f>SUMIFS('data (1)'!$M:$M,'data (1)'!$J:$J,"="&amp;$A792,'data (1)'!$A:$A,"="&amp;вариация!D$2)</f>
        <v>0</v>
      </c>
      <c r="E792">
        <f>SUMIFS('data (1)'!$M:$M,'data (1)'!$J:$J,"="&amp;$A792,'data (1)'!$A:$A,"="&amp;вариация!E$2)</f>
        <v>0</v>
      </c>
      <c r="F792">
        <f>SUMIFS('data (1)'!$M:$M,'data (1)'!$J:$J,"="&amp;$A792,'data (1)'!$A:$A,"="&amp;вариация!F$2)</f>
        <v>0</v>
      </c>
      <c r="G792">
        <f>SUMIFS('data (1)'!$M:$M,'data (1)'!$J:$J,"="&amp;$A792,'data (1)'!$A:$A,"="&amp;вариация!G$2)</f>
        <v>0</v>
      </c>
      <c r="H792" t="str">
        <f t="shared" si="25"/>
        <v>No</v>
      </c>
    </row>
    <row r="793" spans="1:8" x14ac:dyDescent="0.25">
      <c r="A793" s="7" t="s">
        <v>215</v>
      </c>
      <c r="B793" s="25">
        <f t="shared" si="24"/>
        <v>1.4907119849998598</v>
      </c>
      <c r="C793">
        <f>SUMIFS('data (1)'!$M:$M,'data (1)'!$J:$J,"="&amp;$A793,'data (1)'!$A:$A,"="&amp;вариация!C$2)</f>
        <v>4</v>
      </c>
      <c r="D793">
        <f>SUMIFS('data (1)'!$M:$M,'data (1)'!$J:$J,"="&amp;$A793,'data (1)'!$A:$A,"="&amp;вариация!D$2)</f>
        <v>2</v>
      </c>
      <c r="E793">
        <f>SUMIFS('data (1)'!$M:$M,'data (1)'!$J:$J,"="&amp;$A793,'data (1)'!$A:$A,"="&amp;вариация!E$2)</f>
        <v>0</v>
      </c>
      <c r="F793">
        <f>SUMIFS('data (1)'!$M:$M,'data (1)'!$J:$J,"="&amp;$A793,'data (1)'!$A:$A,"="&amp;вариация!F$2)</f>
        <v>0</v>
      </c>
      <c r="G793">
        <f>SUMIFS('data (1)'!$M:$M,'data (1)'!$J:$J,"="&amp;$A793,'data (1)'!$A:$A,"="&amp;вариация!G$2)</f>
        <v>0</v>
      </c>
      <c r="H793" t="str">
        <f t="shared" si="25"/>
        <v>No</v>
      </c>
    </row>
    <row r="794" spans="1:8" x14ac:dyDescent="0.25">
      <c r="A794" s="7" t="s">
        <v>568</v>
      </c>
      <c r="B794" s="25">
        <f t="shared" si="24"/>
        <v>2.2360679774997894</v>
      </c>
      <c r="C794">
        <f>SUMIFS('data (1)'!$M:$M,'data (1)'!$J:$J,"="&amp;$A794,'data (1)'!$A:$A,"="&amp;вариация!C$2)</f>
        <v>0</v>
      </c>
      <c r="D794">
        <f>SUMIFS('data (1)'!$M:$M,'data (1)'!$J:$J,"="&amp;$A794,'data (1)'!$A:$A,"="&amp;вариация!D$2)</f>
        <v>2</v>
      </c>
      <c r="E794">
        <f>SUMIFS('data (1)'!$M:$M,'data (1)'!$J:$J,"="&amp;$A794,'data (1)'!$A:$A,"="&amp;вариация!E$2)</f>
        <v>0</v>
      </c>
      <c r="F794">
        <f>SUMIFS('data (1)'!$M:$M,'data (1)'!$J:$J,"="&amp;$A794,'data (1)'!$A:$A,"="&amp;вариация!F$2)</f>
        <v>0</v>
      </c>
      <c r="G794">
        <f>SUMIFS('data (1)'!$M:$M,'data (1)'!$J:$J,"="&amp;$A794,'data (1)'!$A:$A,"="&amp;вариация!G$2)</f>
        <v>0</v>
      </c>
      <c r="H794" t="str">
        <f t="shared" si="25"/>
        <v>No</v>
      </c>
    </row>
    <row r="795" spans="1:8" x14ac:dyDescent="0.25">
      <c r="A795" s="7" t="s">
        <v>33</v>
      </c>
      <c r="B795" s="25">
        <f t="shared" si="24"/>
        <v>2.2360679774997894</v>
      </c>
      <c r="C795">
        <f>SUMIFS('data (1)'!$M:$M,'data (1)'!$J:$J,"="&amp;$A795,'data (1)'!$A:$A,"="&amp;вариация!C$2)</f>
        <v>2</v>
      </c>
      <c r="D795">
        <f>SUMIFS('data (1)'!$M:$M,'data (1)'!$J:$J,"="&amp;$A795,'data (1)'!$A:$A,"="&amp;вариация!D$2)</f>
        <v>0</v>
      </c>
      <c r="E795">
        <f>SUMIFS('data (1)'!$M:$M,'data (1)'!$J:$J,"="&amp;$A795,'data (1)'!$A:$A,"="&amp;вариация!E$2)</f>
        <v>0</v>
      </c>
      <c r="F795">
        <f>SUMIFS('data (1)'!$M:$M,'data (1)'!$J:$J,"="&amp;$A795,'data (1)'!$A:$A,"="&amp;вариация!F$2)</f>
        <v>0</v>
      </c>
      <c r="G795">
        <f>SUMIFS('data (1)'!$M:$M,'data (1)'!$J:$J,"="&amp;$A795,'data (1)'!$A:$A,"="&amp;вариация!G$2)</f>
        <v>0</v>
      </c>
      <c r="H795" t="str">
        <f t="shared" si="25"/>
        <v>No</v>
      </c>
    </row>
    <row r="796" spans="1:8" x14ac:dyDescent="0.25">
      <c r="A796" s="7" t="s">
        <v>277</v>
      </c>
      <c r="B796" s="25">
        <f t="shared" si="24"/>
        <v>2.2360679774997894</v>
      </c>
      <c r="C796">
        <f>SUMIFS('data (1)'!$M:$M,'data (1)'!$J:$J,"="&amp;$A796,'data (1)'!$A:$A,"="&amp;вариация!C$2)</f>
        <v>1</v>
      </c>
      <c r="D796">
        <f>SUMIFS('data (1)'!$M:$M,'data (1)'!$J:$J,"="&amp;$A796,'data (1)'!$A:$A,"="&amp;вариация!D$2)</f>
        <v>0</v>
      </c>
      <c r="E796">
        <f>SUMIFS('data (1)'!$M:$M,'data (1)'!$J:$J,"="&amp;$A796,'data (1)'!$A:$A,"="&amp;вариация!E$2)</f>
        <v>0</v>
      </c>
      <c r="F796">
        <f>SUMIFS('data (1)'!$M:$M,'data (1)'!$J:$J,"="&amp;$A796,'data (1)'!$A:$A,"="&amp;вариация!F$2)</f>
        <v>0</v>
      </c>
      <c r="G796">
        <f>SUMIFS('data (1)'!$M:$M,'data (1)'!$J:$J,"="&amp;$A796,'data (1)'!$A:$A,"="&amp;вариация!G$2)</f>
        <v>0</v>
      </c>
      <c r="H796" t="str">
        <f t="shared" si="25"/>
        <v>No</v>
      </c>
    </row>
    <row r="797" spans="1:8" x14ac:dyDescent="0.25">
      <c r="A797" s="7" t="s">
        <v>981</v>
      </c>
      <c r="B797" s="25">
        <f t="shared" si="24"/>
        <v>2.2360679774997894</v>
      </c>
      <c r="C797">
        <f>SUMIFS('data (1)'!$M:$M,'data (1)'!$J:$J,"="&amp;$A797,'data (1)'!$A:$A,"="&amp;вариация!C$2)</f>
        <v>0</v>
      </c>
      <c r="D797">
        <f>SUMIFS('data (1)'!$M:$M,'data (1)'!$J:$J,"="&amp;$A797,'data (1)'!$A:$A,"="&amp;вариация!D$2)</f>
        <v>0</v>
      </c>
      <c r="E797">
        <f>SUMIFS('data (1)'!$M:$M,'data (1)'!$J:$J,"="&amp;$A797,'data (1)'!$A:$A,"="&amp;вариация!E$2)</f>
        <v>0</v>
      </c>
      <c r="F797">
        <f>SUMIFS('data (1)'!$M:$M,'data (1)'!$J:$J,"="&amp;$A797,'data (1)'!$A:$A,"="&amp;вариация!F$2)</f>
        <v>1</v>
      </c>
      <c r="G797">
        <f>SUMIFS('data (1)'!$M:$M,'data (1)'!$J:$J,"="&amp;$A797,'data (1)'!$A:$A,"="&amp;вариация!G$2)</f>
        <v>0</v>
      </c>
      <c r="H797" t="str">
        <f t="shared" si="25"/>
        <v>No</v>
      </c>
    </row>
    <row r="798" spans="1:8" x14ac:dyDescent="0.25">
      <c r="A798" s="7" t="s">
        <v>314</v>
      </c>
      <c r="B798" s="25">
        <f t="shared" si="24"/>
        <v>2.2360679774997894</v>
      </c>
      <c r="C798">
        <f>SUMIFS('data (1)'!$M:$M,'data (1)'!$J:$J,"="&amp;$A798,'data (1)'!$A:$A,"="&amp;вариация!C$2)</f>
        <v>1</v>
      </c>
      <c r="D798">
        <f>SUMIFS('data (1)'!$M:$M,'data (1)'!$J:$J,"="&amp;$A798,'data (1)'!$A:$A,"="&amp;вариация!D$2)</f>
        <v>0</v>
      </c>
      <c r="E798">
        <f>SUMIFS('data (1)'!$M:$M,'data (1)'!$J:$J,"="&amp;$A798,'data (1)'!$A:$A,"="&amp;вариация!E$2)</f>
        <v>0</v>
      </c>
      <c r="F798">
        <f>SUMIFS('data (1)'!$M:$M,'data (1)'!$J:$J,"="&amp;$A798,'data (1)'!$A:$A,"="&amp;вариация!F$2)</f>
        <v>0</v>
      </c>
      <c r="G798">
        <f>SUMIFS('data (1)'!$M:$M,'data (1)'!$J:$J,"="&amp;$A798,'data (1)'!$A:$A,"="&amp;вариация!G$2)</f>
        <v>0</v>
      </c>
      <c r="H798" t="str">
        <f t="shared" si="25"/>
        <v>No</v>
      </c>
    </row>
    <row r="799" spans="1:8" x14ac:dyDescent="0.25">
      <c r="A799" s="7" t="s">
        <v>221</v>
      </c>
      <c r="B799" s="25">
        <f t="shared" si="24"/>
        <v>2.2360679774997894</v>
      </c>
      <c r="C799">
        <f>SUMIFS('data (1)'!$M:$M,'data (1)'!$J:$J,"="&amp;$A799,'data (1)'!$A:$A,"="&amp;вариация!C$2)</f>
        <v>1</v>
      </c>
      <c r="D799">
        <f>SUMIFS('data (1)'!$M:$M,'data (1)'!$J:$J,"="&amp;$A799,'data (1)'!$A:$A,"="&amp;вариация!D$2)</f>
        <v>0</v>
      </c>
      <c r="E799">
        <f>SUMIFS('data (1)'!$M:$M,'data (1)'!$J:$J,"="&amp;$A799,'data (1)'!$A:$A,"="&amp;вариация!E$2)</f>
        <v>0</v>
      </c>
      <c r="F799">
        <f>SUMIFS('data (1)'!$M:$M,'data (1)'!$J:$J,"="&amp;$A799,'data (1)'!$A:$A,"="&amp;вариация!F$2)</f>
        <v>0</v>
      </c>
      <c r="G799">
        <f>SUMIFS('data (1)'!$M:$M,'data (1)'!$J:$J,"="&amp;$A799,'data (1)'!$A:$A,"="&amp;вариация!G$2)</f>
        <v>0</v>
      </c>
      <c r="H799" t="str">
        <f t="shared" si="25"/>
        <v>No</v>
      </c>
    </row>
    <row r="800" spans="1:8" x14ac:dyDescent="0.25">
      <c r="A800" s="7" t="s">
        <v>624</v>
      </c>
      <c r="B800" s="25">
        <f t="shared" si="24"/>
        <v>2.2360679774997894</v>
      </c>
      <c r="C800">
        <f>SUMIFS('data (1)'!$M:$M,'data (1)'!$J:$J,"="&amp;$A800,'data (1)'!$A:$A,"="&amp;вариация!C$2)</f>
        <v>0</v>
      </c>
      <c r="D800">
        <f>SUMIFS('data (1)'!$M:$M,'data (1)'!$J:$J,"="&amp;$A800,'data (1)'!$A:$A,"="&amp;вариация!D$2)</f>
        <v>1</v>
      </c>
      <c r="E800">
        <f>SUMIFS('data (1)'!$M:$M,'data (1)'!$J:$J,"="&amp;$A800,'data (1)'!$A:$A,"="&amp;вариация!E$2)</f>
        <v>0</v>
      </c>
      <c r="F800">
        <f>SUMIFS('data (1)'!$M:$M,'data (1)'!$J:$J,"="&amp;$A800,'data (1)'!$A:$A,"="&amp;вариация!F$2)</f>
        <v>0</v>
      </c>
      <c r="G800">
        <f>SUMIFS('data (1)'!$M:$M,'data (1)'!$J:$J,"="&amp;$A800,'data (1)'!$A:$A,"="&amp;вариация!G$2)</f>
        <v>0</v>
      </c>
      <c r="H800" t="str">
        <f t="shared" si="25"/>
        <v>No</v>
      </c>
    </row>
    <row r="801" spans="1:8" x14ac:dyDescent="0.25">
      <c r="A801" s="7" t="s">
        <v>251</v>
      </c>
      <c r="B801" s="25">
        <f t="shared" si="24"/>
        <v>0.63887656499993983</v>
      </c>
      <c r="C801">
        <f>SUMIFS('data (1)'!$M:$M,'data (1)'!$J:$J,"="&amp;$A801,'data (1)'!$A:$A,"="&amp;вариация!C$2)</f>
        <v>2</v>
      </c>
      <c r="D801">
        <f>SUMIFS('data (1)'!$M:$M,'data (1)'!$J:$J,"="&amp;$A801,'data (1)'!$A:$A,"="&amp;вариация!D$2)</f>
        <v>2</v>
      </c>
      <c r="E801">
        <f>SUMIFS('data (1)'!$M:$M,'data (1)'!$J:$J,"="&amp;$A801,'data (1)'!$A:$A,"="&amp;вариация!E$2)</f>
        <v>2</v>
      </c>
      <c r="F801">
        <f>SUMIFS('data (1)'!$M:$M,'data (1)'!$J:$J,"="&amp;$A801,'data (1)'!$A:$A,"="&amp;вариация!F$2)</f>
        <v>0</v>
      </c>
      <c r="G801">
        <f>SUMIFS('data (1)'!$M:$M,'data (1)'!$J:$J,"="&amp;$A801,'data (1)'!$A:$A,"="&amp;вариация!G$2)</f>
        <v>1</v>
      </c>
      <c r="H801" t="str">
        <f t="shared" si="25"/>
        <v>Yes</v>
      </c>
    </row>
    <row r="802" spans="1:8" x14ac:dyDescent="0.25">
      <c r="A802" s="7" t="s">
        <v>1050</v>
      </c>
      <c r="B802" s="25">
        <f t="shared" si="24"/>
        <v>2.2360679774997894</v>
      </c>
      <c r="C802">
        <f>SUMIFS('data (1)'!$M:$M,'data (1)'!$J:$J,"="&amp;$A802,'data (1)'!$A:$A,"="&amp;вариация!C$2)</f>
        <v>0</v>
      </c>
      <c r="D802">
        <f>SUMIFS('data (1)'!$M:$M,'data (1)'!$J:$J,"="&amp;$A802,'data (1)'!$A:$A,"="&amp;вариация!D$2)</f>
        <v>0</v>
      </c>
      <c r="E802">
        <f>SUMIFS('data (1)'!$M:$M,'data (1)'!$J:$J,"="&amp;$A802,'data (1)'!$A:$A,"="&amp;вариация!E$2)</f>
        <v>0</v>
      </c>
      <c r="F802">
        <f>SUMIFS('data (1)'!$M:$M,'data (1)'!$J:$J,"="&amp;$A802,'data (1)'!$A:$A,"="&amp;вариация!F$2)</f>
        <v>1</v>
      </c>
      <c r="G802">
        <f>SUMIFS('data (1)'!$M:$M,'data (1)'!$J:$J,"="&amp;$A802,'data (1)'!$A:$A,"="&amp;вариация!G$2)</f>
        <v>0</v>
      </c>
      <c r="H802" t="str">
        <f t="shared" si="25"/>
        <v>No</v>
      </c>
    </row>
    <row r="803" spans="1:8" x14ac:dyDescent="0.25">
      <c r="A803" s="7" t="s">
        <v>1187</v>
      </c>
      <c r="B803" s="25">
        <f t="shared" si="24"/>
        <v>2.2360679774997894</v>
      </c>
      <c r="C803">
        <f>SUMIFS('data (1)'!$M:$M,'data (1)'!$J:$J,"="&amp;$A803,'data (1)'!$A:$A,"="&amp;вариация!C$2)</f>
        <v>0</v>
      </c>
      <c r="D803">
        <f>SUMIFS('data (1)'!$M:$M,'data (1)'!$J:$J,"="&amp;$A803,'data (1)'!$A:$A,"="&amp;вариация!D$2)</f>
        <v>0</v>
      </c>
      <c r="E803">
        <f>SUMIFS('data (1)'!$M:$M,'data (1)'!$J:$J,"="&amp;$A803,'data (1)'!$A:$A,"="&amp;вариация!E$2)</f>
        <v>0</v>
      </c>
      <c r="F803">
        <f>SUMIFS('data (1)'!$M:$M,'data (1)'!$J:$J,"="&amp;$A803,'data (1)'!$A:$A,"="&amp;вариация!F$2)</f>
        <v>0</v>
      </c>
      <c r="G803">
        <f>SUMIFS('data (1)'!$M:$M,'data (1)'!$J:$J,"="&amp;$A803,'data (1)'!$A:$A,"="&amp;вариация!G$2)</f>
        <v>1</v>
      </c>
      <c r="H803" t="str">
        <f t="shared" si="25"/>
        <v>No</v>
      </c>
    </row>
    <row r="804" spans="1:8" x14ac:dyDescent="0.25">
      <c r="A804" s="7" t="s">
        <v>136</v>
      </c>
      <c r="B804" s="25">
        <f t="shared" si="24"/>
        <v>2.2360679774997894</v>
      </c>
      <c r="C804">
        <f>SUMIFS('data (1)'!$M:$M,'data (1)'!$J:$J,"="&amp;$A804,'data (1)'!$A:$A,"="&amp;вариация!C$2)</f>
        <v>1</v>
      </c>
      <c r="D804">
        <f>SUMIFS('data (1)'!$M:$M,'data (1)'!$J:$J,"="&amp;$A804,'data (1)'!$A:$A,"="&amp;вариация!D$2)</f>
        <v>0</v>
      </c>
      <c r="E804">
        <f>SUMIFS('data (1)'!$M:$M,'data (1)'!$J:$J,"="&amp;$A804,'data (1)'!$A:$A,"="&amp;вариация!E$2)</f>
        <v>0</v>
      </c>
      <c r="F804">
        <f>SUMIFS('data (1)'!$M:$M,'data (1)'!$J:$J,"="&amp;$A804,'data (1)'!$A:$A,"="&amp;вариация!F$2)</f>
        <v>0</v>
      </c>
      <c r="G804">
        <f>SUMIFS('data (1)'!$M:$M,'data (1)'!$J:$J,"="&amp;$A804,'data (1)'!$A:$A,"="&amp;вариация!G$2)</f>
        <v>0</v>
      </c>
      <c r="H804" t="str">
        <f t="shared" si="25"/>
        <v>No</v>
      </c>
    </row>
    <row r="805" spans="1:8" x14ac:dyDescent="0.25">
      <c r="A805" s="7" t="s">
        <v>1096</v>
      </c>
      <c r="B805" s="25">
        <f t="shared" si="24"/>
        <v>2.2360679774997894</v>
      </c>
      <c r="C805">
        <f>SUMIFS('data (1)'!$M:$M,'data (1)'!$J:$J,"="&amp;$A805,'data (1)'!$A:$A,"="&amp;вариация!C$2)</f>
        <v>0</v>
      </c>
      <c r="D805">
        <f>SUMIFS('data (1)'!$M:$M,'data (1)'!$J:$J,"="&amp;$A805,'data (1)'!$A:$A,"="&amp;вариация!D$2)</f>
        <v>0</v>
      </c>
      <c r="E805">
        <f>SUMIFS('data (1)'!$M:$M,'data (1)'!$J:$J,"="&amp;$A805,'data (1)'!$A:$A,"="&amp;вариация!E$2)</f>
        <v>0</v>
      </c>
      <c r="F805">
        <f>SUMIFS('data (1)'!$M:$M,'data (1)'!$J:$J,"="&amp;$A805,'data (1)'!$A:$A,"="&amp;вариация!F$2)</f>
        <v>0</v>
      </c>
      <c r="G805">
        <f>SUMIFS('data (1)'!$M:$M,'data (1)'!$J:$J,"="&amp;$A805,'data (1)'!$A:$A,"="&amp;вариация!G$2)</f>
        <v>1</v>
      </c>
      <c r="H805" t="str">
        <f t="shared" si="25"/>
        <v>No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9F51C-95DA-4756-A828-38B9622177A2}">
  <dimension ref="A3:B13"/>
  <sheetViews>
    <sheetView workbookViewId="0">
      <selection activeCell="A3" sqref="A3"/>
    </sheetView>
  </sheetViews>
  <sheetFormatPr defaultRowHeight="13.2" x14ac:dyDescent="0.25"/>
  <cols>
    <col min="1" max="1" width="17.6640625" bestFit="1" customWidth="1"/>
    <col min="2" max="2" width="32" bestFit="1" customWidth="1"/>
  </cols>
  <sheetData>
    <row r="3" spans="1:2" x14ac:dyDescent="0.25">
      <c r="A3" s="6" t="s">
        <v>1230</v>
      </c>
      <c r="B3" t="s">
        <v>1261</v>
      </c>
    </row>
    <row r="4" spans="1:2" x14ac:dyDescent="0.25">
      <c r="A4" s="7" t="s">
        <v>1252</v>
      </c>
      <c r="B4" s="8">
        <v>186</v>
      </c>
    </row>
    <row r="5" spans="1:2" x14ac:dyDescent="0.25">
      <c r="A5" s="7" t="s">
        <v>1253</v>
      </c>
      <c r="B5" s="8">
        <v>137</v>
      </c>
    </row>
    <row r="6" spans="1:2" x14ac:dyDescent="0.25">
      <c r="A6" s="7" t="s">
        <v>1254</v>
      </c>
      <c r="B6" s="8">
        <v>129</v>
      </c>
    </row>
    <row r="7" spans="1:2" x14ac:dyDescent="0.25">
      <c r="A7" s="7" t="s">
        <v>1255</v>
      </c>
      <c r="B7" s="8">
        <v>102</v>
      </c>
    </row>
    <row r="8" spans="1:2" x14ac:dyDescent="0.25">
      <c r="A8" s="7" t="s">
        <v>1256</v>
      </c>
      <c r="B8" s="8">
        <v>73</v>
      </c>
    </row>
    <row r="9" spans="1:2" x14ac:dyDescent="0.25">
      <c r="A9" s="7" t="s">
        <v>1257</v>
      </c>
      <c r="B9" s="8">
        <v>67</v>
      </c>
    </row>
    <row r="10" spans="1:2" x14ac:dyDescent="0.25">
      <c r="A10" s="7" t="s">
        <v>1258</v>
      </c>
      <c r="B10" s="8">
        <v>43</v>
      </c>
    </row>
    <row r="11" spans="1:2" x14ac:dyDescent="0.25">
      <c r="A11" s="7" t="s">
        <v>1259</v>
      </c>
      <c r="B11" s="8">
        <v>29</v>
      </c>
    </row>
    <row r="12" spans="1:2" x14ac:dyDescent="0.25">
      <c r="A12" s="7" t="s">
        <v>1260</v>
      </c>
      <c r="B12" s="8">
        <v>37</v>
      </c>
    </row>
    <row r="13" spans="1:2" x14ac:dyDescent="0.25">
      <c r="A13" s="7" t="s">
        <v>1231</v>
      </c>
      <c r="B13" s="8">
        <v>803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1A9BA-5A8B-44B0-B1D7-770E69FE049D}">
  <dimension ref="A3:E17"/>
  <sheetViews>
    <sheetView tabSelected="1" workbookViewId="0">
      <selection activeCell="N11" sqref="N11"/>
    </sheetView>
  </sheetViews>
  <sheetFormatPr defaultRowHeight="13.2" x14ac:dyDescent="0.25"/>
  <cols>
    <col min="1" max="1" width="17.6640625" bestFit="1" customWidth="1"/>
    <col min="2" max="2" width="35.44140625" bestFit="1" customWidth="1"/>
  </cols>
  <sheetData>
    <row r="3" spans="1:5" x14ac:dyDescent="0.25">
      <c r="A3" s="6" t="s">
        <v>1230</v>
      </c>
      <c r="B3" t="s">
        <v>1273</v>
      </c>
    </row>
    <row r="4" spans="1:5" x14ac:dyDescent="0.25">
      <c r="A4" s="7" t="s">
        <v>1252</v>
      </c>
      <c r="B4" s="8">
        <v>149</v>
      </c>
      <c r="E4" s="19" t="s">
        <v>1275</v>
      </c>
    </row>
    <row r="5" spans="1:5" x14ac:dyDescent="0.25">
      <c r="A5" s="7" t="s">
        <v>1269</v>
      </c>
      <c r="B5" s="8">
        <v>37</v>
      </c>
    </row>
    <row r="6" spans="1:5" x14ac:dyDescent="0.25">
      <c r="A6" s="7" t="s">
        <v>1253</v>
      </c>
      <c r="B6" s="8">
        <v>117</v>
      </c>
    </row>
    <row r="7" spans="1:5" x14ac:dyDescent="0.25">
      <c r="A7" s="7" t="s">
        <v>1270</v>
      </c>
      <c r="B7" s="8">
        <v>20</v>
      </c>
    </row>
    <row r="8" spans="1:5" x14ac:dyDescent="0.25">
      <c r="A8" s="7" t="s">
        <v>1254</v>
      </c>
      <c r="B8" s="8">
        <v>121</v>
      </c>
    </row>
    <row r="9" spans="1:5" x14ac:dyDescent="0.25">
      <c r="A9" s="7" t="s">
        <v>1271</v>
      </c>
      <c r="B9" s="8">
        <v>8</v>
      </c>
    </row>
    <row r="10" spans="1:5" x14ac:dyDescent="0.25">
      <c r="A10" s="7" t="s">
        <v>1255</v>
      </c>
      <c r="B10" s="8">
        <v>102</v>
      </c>
    </row>
    <row r="11" spans="1:5" x14ac:dyDescent="0.25">
      <c r="A11" s="7" t="s">
        <v>1256</v>
      </c>
      <c r="B11" s="8">
        <v>73</v>
      </c>
    </row>
    <row r="12" spans="1:5" x14ac:dyDescent="0.25">
      <c r="A12" s="7" t="s">
        <v>1257</v>
      </c>
      <c r="B12" s="8">
        <v>67</v>
      </c>
    </row>
    <row r="13" spans="1:5" x14ac:dyDescent="0.25">
      <c r="A13" s="7" t="s">
        <v>1258</v>
      </c>
      <c r="B13" s="8">
        <v>42</v>
      </c>
    </row>
    <row r="14" spans="1:5" x14ac:dyDescent="0.25">
      <c r="A14" s="7" t="s">
        <v>1272</v>
      </c>
      <c r="B14" s="8">
        <v>1</v>
      </c>
    </row>
    <row r="15" spans="1:5" x14ac:dyDescent="0.25">
      <c r="A15" s="7" t="s">
        <v>1259</v>
      </c>
      <c r="B15" s="8">
        <v>29</v>
      </c>
    </row>
    <row r="16" spans="1:5" x14ac:dyDescent="0.25">
      <c r="A16" s="7" t="s">
        <v>1260</v>
      </c>
      <c r="B16" s="8">
        <v>37</v>
      </c>
    </row>
    <row r="17" spans="1:2" x14ac:dyDescent="0.25">
      <c r="A17" s="7" t="s">
        <v>1231</v>
      </c>
      <c r="B17" s="8">
        <v>803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data (1)</vt:lpstr>
      <vt:lpstr>сводная</vt:lpstr>
      <vt:lpstr>расчеты</vt:lpstr>
      <vt:lpstr>вариация</vt:lpstr>
      <vt:lpstr>ABC-groups</vt:lpstr>
      <vt:lpstr>ABCDXYZ-groups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Huawei</dc:creator>
  <cp:lastModifiedBy>Елизавета Рачевская</cp:lastModifiedBy>
  <dcterms:created xsi:type="dcterms:W3CDTF">2025-10-05T18:33:23Z</dcterms:created>
  <dcterms:modified xsi:type="dcterms:W3CDTF">2025-10-07T19:05:23Z</dcterms:modified>
</cp:coreProperties>
</file>